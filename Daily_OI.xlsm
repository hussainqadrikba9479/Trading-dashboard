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drawings/drawing5.xml" ContentType="application/vnd.openxmlformats-officedocument.drawing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drawings/drawing6.xml" ContentType="application/vnd.openxmlformats-officedocument.drawing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drawings/drawing7.xml" ContentType="application/vnd.openxmlformats-officedocument.drawing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drawings/drawing8.xml" ContentType="application/vnd.openxmlformats-officedocument.drawing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drawings/drawing9.xml" ContentType="application/vnd.openxmlformats-officedocument.drawing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drawings/drawing10.xml" ContentType="application/vnd.openxmlformats-officedocument.drawing+xml"/>
  <Override PartName="/xl/charts/chart9.xml" ContentType="application/vnd.openxmlformats-officedocument.drawingml.chart+xml"/>
  <Override PartName="/xl/theme/themeOverride9.xml" ContentType="application/vnd.openxmlformats-officedocument.themeOverride+xml"/>
  <Override PartName="/xl/drawings/drawing11.xml" ContentType="application/vnd.openxmlformats-officedocument.drawing+xml"/>
  <Override PartName="/xl/charts/chart10.xml" ContentType="application/vnd.openxmlformats-officedocument.drawingml.chart+xml"/>
  <Override PartName="/xl/theme/themeOverride10.xml" ContentType="application/vnd.openxmlformats-officedocument.themeOverride+xml"/>
  <Override PartName="/xl/drawings/drawing12.xml" ContentType="application/vnd.openxmlformats-officedocument.drawing+xml"/>
  <Override PartName="/xl/charts/chart11.xml" ContentType="application/vnd.openxmlformats-officedocument.drawingml.chart+xml"/>
  <Override PartName="/xl/theme/themeOverride11.xml" ContentType="application/vnd.openxmlformats-officedocument.themeOverride+xml"/>
  <Override PartName="/xl/drawings/drawing13.xml" ContentType="application/vnd.openxmlformats-officedocument.drawing+xml"/>
  <Override PartName="/xl/charts/chart12.xml" ContentType="application/vnd.openxmlformats-officedocument.drawingml.chart+xml"/>
  <Override PartName="/xl/theme/themeOverride12.xml" ContentType="application/vnd.openxmlformats-officedocument.themeOverride+xml"/>
  <Override PartName="/xl/drawings/drawing14.xml" ContentType="application/vnd.openxmlformats-officedocument.drawing+xml"/>
  <Override PartName="/xl/charts/chart13.xml" ContentType="application/vnd.openxmlformats-officedocument.drawingml.chart+xml"/>
  <Override PartName="/xl/theme/themeOverride13.xml" ContentType="application/vnd.openxmlformats-officedocument.themeOverride+xml"/>
  <Override PartName="/xl/drawings/drawing15.xml" ContentType="application/vnd.openxmlformats-officedocument.drawing+xml"/>
  <Override PartName="/xl/charts/chart14.xml" ContentType="application/vnd.openxmlformats-officedocument.drawingml.chart+xml"/>
  <Override PartName="/xl/theme/themeOverride14.xml" ContentType="application/vnd.openxmlformats-officedocument.themeOverride+xml"/>
  <Override PartName="/xl/drawings/drawing16.xml" ContentType="application/vnd.openxmlformats-officedocument.drawing+xml"/>
  <Override PartName="/xl/charts/chart15.xml" ContentType="application/vnd.openxmlformats-officedocument.drawingml.chart+xml"/>
  <Override PartName="/xl/theme/themeOverride15.xml" ContentType="application/vnd.openxmlformats-officedocument.themeOverride+xml"/>
  <Override PartName="/xl/drawings/drawing17.xml" ContentType="application/vnd.openxmlformats-officedocument.drawing+xml"/>
  <Override PartName="/xl/charts/chart16.xml" ContentType="application/vnd.openxmlformats-officedocument.drawingml.chart+xml"/>
  <Override PartName="/xl/theme/themeOverride16.xml" ContentType="application/vnd.openxmlformats-officedocument.themeOverride+xml"/>
  <Override PartName="/xl/drawings/drawing18.xml" ContentType="application/vnd.openxmlformats-officedocument.drawing+xml"/>
  <Override PartName="/xl/charts/chart17.xml" ContentType="application/vnd.openxmlformats-officedocument.drawingml.chart+xml"/>
  <Override PartName="/xl/theme/themeOverride17.xml" ContentType="application/vnd.openxmlformats-officedocument.themeOverride+xml"/>
  <Override PartName="/xl/drawings/drawing19.xml" ContentType="application/vnd.openxmlformats-officedocument.drawing+xml"/>
  <Override PartName="/xl/charts/chart18.xml" ContentType="application/vnd.openxmlformats-officedocument.drawingml.chart+xml"/>
  <Override PartName="/xl/theme/themeOverride18.xml" ContentType="application/vnd.openxmlformats-officedocument.themeOverride+xml"/>
  <Override PartName="/xl/drawings/drawing20.xml" ContentType="application/vnd.openxmlformats-officedocument.drawing+xml"/>
  <Override PartName="/xl/charts/chart19.xml" ContentType="application/vnd.openxmlformats-officedocument.drawingml.chart+xml"/>
  <Override PartName="/xl/theme/themeOverride19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372AB895-14C1-FC20-EB20-F1B4BCFD95AE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$\OneDrive\Desktop\"/>
    </mc:Choice>
  </mc:AlternateContent>
  <xr:revisionPtr revIDLastSave="0" documentId="13_ncr:1_{B82DAE41-498F-4AA6-ACB5-81357FCF18FC}" xr6:coauthVersionLast="47" xr6:coauthVersionMax="47" xr10:uidLastSave="{00000000-0000-0000-0000-000000000000}"/>
  <bookViews>
    <workbookView xWindow="-108" yWindow="-108" windowWidth="23256" windowHeight="12456" tabRatio="782" xr2:uid="{00000000-000D-0000-FFFF-FFFF00000000}"/>
  </bookViews>
  <sheets>
    <sheet name="Data" sheetId="54" r:id="rId1"/>
    <sheet name="Main Panel" sheetId="53" r:id="rId2"/>
    <sheet name="USD (US) OI Chart" sheetId="75" r:id="rId3"/>
    <sheet name="EUR OI Chart" sheetId="56" r:id="rId4"/>
    <sheet name="GBP OI Chart" sheetId="57" r:id="rId5"/>
    <sheet name="JPY OI Chart" sheetId="58" r:id="rId6"/>
    <sheet name="CHF OI Chart" sheetId="59" r:id="rId7"/>
    <sheet name="AUD OI Chart" sheetId="60" r:id="rId8"/>
    <sheet name="NZD OI Chart" sheetId="61" r:id="rId9"/>
    <sheet name="CAD OI Chart" sheetId="62" r:id="rId10"/>
    <sheet name="Gold OI Chart" sheetId="63" r:id="rId11"/>
    <sheet name="Silver OI Chart" sheetId="64" r:id="rId12"/>
    <sheet name="Copper OI Chart" sheetId="65" r:id="rId13"/>
    <sheet name="OIL OI Chart" sheetId="66" r:id="rId14"/>
    <sheet name="N-Gas OI Chart" sheetId="67" r:id="rId15"/>
    <sheet name="E-mini S&amp;P 500 OI Chart" sheetId="68" r:id="rId16"/>
    <sheet name="E-mini Nadaq-100 OI Chart" sheetId="69" r:id="rId17"/>
    <sheet name="E-mini Dow ($5) OI Chart" sheetId="70" r:id="rId18"/>
    <sheet name="E-mini Russel OI Chart" sheetId="76" r:id="rId19"/>
    <sheet name="DAX OI Chart" sheetId="71" r:id="rId20"/>
    <sheet name="Bitcoin OI Chart" sheetId="74" r:id="rId21"/>
  </sheets>
  <externalReferences>
    <externalReference r:id="rId22"/>
  </externalReferences>
  <definedNames>
    <definedName name="Change_Gold" localSheetId="0">Data!#REF!</definedName>
    <definedName name="Change_Gold" localSheetId="1">[1]Gold!#REF!</definedName>
    <definedName name="Change_Gold" localSheetId="2">#REF!</definedName>
    <definedName name="Change_Gold">#REF!</definedName>
    <definedName name="Date_Gold" localSheetId="0">Data!#REF!</definedName>
    <definedName name="Date_Gold" localSheetId="1">[1]Gold!#REF!</definedName>
    <definedName name="Date_Gold" localSheetId="2">#REF!</definedName>
    <definedName name="Date_Gold">#REF!</definedName>
    <definedName name="Main_Panel" localSheetId="2">[1]Gold!#REF!</definedName>
    <definedName name="Main_Panel">[1]Gold!#REF!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4" i="61" l="1"/>
  <c r="B6" i="56"/>
  <c r="A5" i="56"/>
  <c r="B5" i="64"/>
  <c r="B3" i="58"/>
  <c r="B7" i="58"/>
  <c r="A2" i="69"/>
  <c r="B7" i="60"/>
  <c r="A7" i="65"/>
  <c r="B6" i="60"/>
  <c r="A6" i="62"/>
  <c r="B7" i="66"/>
  <c r="B2" i="64"/>
  <c r="A6" i="56"/>
  <c r="A5" i="65"/>
  <c r="A3" i="58"/>
  <c r="A3" i="56"/>
  <c r="A4" i="67"/>
  <c r="B5" i="56"/>
  <c r="B5" i="57"/>
  <c r="B4" i="57"/>
  <c r="B2" i="71"/>
  <c r="B4" i="71"/>
  <c r="A3" i="75"/>
  <c r="B4" i="65"/>
  <c r="A7" i="60"/>
  <c r="B7" i="74"/>
  <c r="A6" i="63"/>
  <c r="B4" i="76"/>
  <c r="A7" i="63"/>
  <c r="B6" i="66"/>
  <c r="B2" i="56"/>
  <c r="A6" i="76"/>
  <c r="A5" i="57"/>
  <c r="A3" i="59"/>
  <c r="A4" i="66"/>
  <c r="A3" i="71"/>
  <c r="B4" i="64"/>
  <c r="A7" i="64"/>
  <c r="B7" i="68"/>
  <c r="A6" i="61"/>
  <c r="B5" i="71"/>
  <c r="A7" i="67"/>
  <c r="A4" i="71"/>
  <c r="B4" i="69"/>
  <c r="B4" i="67"/>
  <c r="A2" i="65"/>
  <c r="B2" i="61"/>
  <c r="B3" i="76"/>
  <c r="A2" i="58"/>
  <c r="B7" i="63"/>
  <c r="B7" i="57"/>
  <c r="B5" i="66"/>
  <c r="A4" i="62"/>
  <c r="B3" i="59"/>
  <c r="B3" i="74"/>
  <c r="A3" i="65"/>
  <c r="B7" i="56"/>
  <c r="A5" i="75"/>
  <c r="B7" i="71"/>
  <c r="A2" i="76"/>
  <c r="B6" i="62"/>
  <c r="B6" i="69"/>
  <c r="B3" i="61"/>
  <c r="A2" i="66"/>
  <c r="A6" i="70"/>
  <c r="B3" i="75"/>
  <c r="B2" i="74"/>
  <c r="A7" i="61"/>
  <c r="A2" i="62"/>
  <c r="A4" i="61"/>
  <c r="A2" i="63"/>
  <c r="B2" i="75"/>
  <c r="A6" i="74"/>
  <c r="A4" i="56"/>
  <c r="A2" i="57"/>
  <c r="A3" i="61"/>
  <c r="A6" i="66"/>
  <c r="A6" i="64"/>
  <c r="A2" i="71"/>
  <c r="B7" i="59"/>
  <c r="B4" i="62"/>
  <c r="B6" i="58"/>
  <c r="B6" i="59"/>
  <c r="B7" i="61"/>
  <c r="A2" i="64"/>
  <c r="B4" i="63"/>
  <c r="A3" i="60"/>
  <c r="B7" i="75"/>
  <c r="B4" i="74"/>
  <c r="A5" i="70"/>
  <c r="A4" i="57"/>
  <c r="B5" i="61"/>
  <c r="B6" i="75"/>
  <c r="B3" i="57"/>
  <c r="B2" i="58"/>
  <c r="B3" i="66"/>
  <c r="A7" i="59"/>
  <c r="B7" i="64"/>
  <c r="A6" i="65"/>
  <c r="A3" i="64"/>
  <c r="B4" i="59"/>
  <c r="B5" i="68"/>
  <c r="A4" i="68"/>
  <c r="A6" i="60"/>
  <c r="A4" i="64"/>
  <c r="B2" i="65"/>
  <c r="A5" i="61"/>
  <c r="A2" i="56"/>
  <c r="A7" i="70"/>
  <c r="B2" i="59"/>
  <c r="B2" i="67"/>
  <c r="B4" i="58"/>
  <c r="B7" i="62"/>
  <c r="A6" i="71"/>
  <c r="A6" i="75"/>
  <c r="A7" i="68"/>
  <c r="B7" i="69"/>
  <c r="B3" i="56"/>
  <c r="A2" i="68"/>
  <c r="A5" i="64"/>
  <c r="B6" i="67"/>
  <c r="A5" i="62"/>
  <c r="B5" i="65"/>
  <c r="B2" i="63"/>
  <c r="A6" i="58"/>
  <c r="A6" i="59"/>
  <c r="B6" i="65"/>
  <c r="B4" i="66"/>
  <c r="B2" i="62"/>
  <c r="B4" i="70"/>
  <c r="A7" i="71"/>
  <c r="B5" i="62"/>
  <c r="B3" i="63"/>
  <c r="B5" i="75"/>
  <c r="B4" i="68"/>
  <c r="B2" i="57"/>
  <c r="A4" i="76"/>
  <c r="A3" i="76"/>
  <c r="A3" i="66"/>
  <c r="A4" i="63"/>
  <c r="A5" i="74"/>
  <c r="A7" i="76"/>
  <c r="B3" i="68"/>
  <c r="A7" i="57"/>
  <c r="A7" i="62"/>
  <c r="B5" i="76"/>
  <c r="A5" i="60"/>
  <c r="B6" i="57"/>
  <c r="A5" i="58"/>
  <c r="A4" i="65"/>
  <c r="B2" i="70"/>
  <c r="A2" i="60"/>
  <c r="A3" i="68"/>
  <c r="B2" i="66"/>
  <c r="B5" i="60"/>
  <c r="B6" i="68"/>
  <c r="A7" i="74"/>
  <c r="A4" i="59"/>
  <c r="B3" i="71"/>
  <c r="A2" i="61"/>
  <c r="A7" i="56"/>
  <c r="A5" i="59"/>
  <c r="B2" i="60"/>
  <c r="A4" i="58"/>
  <c r="A5" i="66"/>
  <c r="A5" i="71"/>
  <c r="A2" i="59"/>
  <c r="A3" i="70"/>
  <c r="B4" i="75"/>
  <c r="B3" i="65"/>
  <c r="A5" i="76"/>
  <c r="B2" i="69"/>
  <c r="A7" i="58"/>
  <c r="B5" i="58"/>
  <c r="B3" i="67"/>
  <c r="A3" i="67"/>
  <c r="A3" i="63"/>
  <c r="B3" i="60"/>
  <c r="B6" i="76"/>
  <c r="A7" i="69"/>
  <c r="B7" i="65"/>
  <c r="B7" i="67"/>
  <c r="A5" i="67"/>
  <c r="B7" i="70"/>
  <c r="B7" i="76"/>
  <c r="B3" i="64"/>
  <c r="B5" i="69"/>
  <c r="A5" i="69"/>
  <c r="B6" i="70"/>
  <c r="A3" i="74"/>
  <c r="B3" i="70"/>
  <c r="A3" i="57"/>
  <c r="A3" i="62"/>
  <c r="A7" i="66"/>
  <c r="B5" i="63"/>
  <c r="A7" i="75"/>
  <c r="A3" i="69"/>
  <c r="A6" i="68"/>
  <c r="B5" i="59"/>
  <c r="A6" i="69"/>
  <c r="B6" i="74"/>
  <c r="B5" i="74"/>
  <c r="A5" i="63"/>
  <c r="A2" i="75"/>
  <c r="B3" i="69"/>
  <c r="A4" i="60"/>
  <c r="B6" i="64"/>
  <c r="A5" i="68"/>
  <c r="B2" i="76"/>
  <c r="B3" i="62"/>
  <c r="A4" i="74"/>
  <c r="A4" i="69"/>
  <c r="B5" i="67"/>
  <c r="A6" i="57"/>
  <c r="A2" i="67"/>
  <c r="B4" i="60"/>
  <c r="A6" i="67"/>
  <c r="B6" i="71"/>
  <c r="B4" i="56"/>
  <c r="A2" i="74"/>
  <c r="A4" i="75"/>
  <c r="A2" i="70"/>
  <c r="B5" i="70"/>
  <c r="B2" i="68"/>
  <c r="A4" i="70"/>
  <c r="B6" i="61"/>
  <c r="B6" i="63"/>
</calcChain>
</file>

<file path=xl/sharedStrings.xml><?xml version="1.0" encoding="utf-8"?>
<sst xmlns="http://schemas.openxmlformats.org/spreadsheetml/2006/main" count="86" uniqueCount="48">
  <si>
    <t>Date</t>
  </si>
  <si>
    <t>22/12/16</t>
  </si>
  <si>
    <t>21/12/16</t>
  </si>
  <si>
    <t>20/12/16</t>
  </si>
  <si>
    <t>19/12/16</t>
  </si>
  <si>
    <t>16/12/16</t>
  </si>
  <si>
    <t>15/12/16</t>
  </si>
  <si>
    <t>14/12/16</t>
  </si>
  <si>
    <t>13/12/16</t>
  </si>
  <si>
    <t>`</t>
  </si>
  <si>
    <t>DAX</t>
  </si>
  <si>
    <t>Bitcoin
Futures</t>
  </si>
  <si>
    <t>E-mini
Dow ($5)
Futures</t>
  </si>
  <si>
    <t>E-mini
Nasdaq-100
Futures</t>
  </si>
  <si>
    <t>E-mini
S&amp;P 500
Futures</t>
  </si>
  <si>
    <t>Australian
Dollar
Futures</t>
  </si>
  <si>
    <t>British
Pound
Futures</t>
  </si>
  <si>
    <t>Canadian
Dollar
Futures</t>
  </si>
  <si>
    <t>Euro FX
Futures</t>
  </si>
  <si>
    <t>Japanese
Yen
Futures</t>
  </si>
  <si>
    <t>New Zealand
Dollar
Futures</t>
  </si>
  <si>
    <t>Swiss
Franc
Futures</t>
  </si>
  <si>
    <t>Copper
Futures</t>
  </si>
  <si>
    <t>Gold
Futures</t>
  </si>
  <si>
    <t>Silver
Futures</t>
  </si>
  <si>
    <t>Crude Oil
Futures</t>
  </si>
  <si>
    <t>Henry Hub
Natural Gas
Futures</t>
  </si>
  <si>
    <t>USD
(US)</t>
  </si>
  <si>
    <t>USD (ICE US) Daily Futures Open Interest</t>
  </si>
  <si>
    <t>EUR Daily Futures Open Interest</t>
  </si>
  <si>
    <t>GBP Daily Futues Open Interest</t>
  </si>
  <si>
    <t>JPY Daily Futures Open Interest</t>
  </si>
  <si>
    <t>CHF Daily Futures Open Interest</t>
  </si>
  <si>
    <t>AUD Daily Futures Open Interest</t>
  </si>
  <si>
    <t>NZD Daily Futures Open Interest</t>
  </si>
  <si>
    <t>CAD Daily Futures Open Interest</t>
  </si>
  <si>
    <t>Gold Daily Futures Open Interest</t>
  </si>
  <si>
    <t>Silver Daily Futures Open Interest</t>
  </si>
  <si>
    <t>Copper Daily Futures Open Interest</t>
  </si>
  <si>
    <t>Crude Oil Daily Futures Open Interest</t>
  </si>
  <si>
    <t>Natural Gas Daily Futures Open Interest</t>
  </si>
  <si>
    <t>E-mini S&amp;P 500 Daily Futures Open Interest</t>
  </si>
  <si>
    <t>E-mini Nasdaq-100 Daily Futures Open Interest</t>
  </si>
  <si>
    <t>E-mini Dow ($5) Daily Futures Open Interest</t>
  </si>
  <si>
    <t>DAX Daily Futures Open Interest</t>
  </si>
  <si>
    <t>Bitcoin Daily Futures Open Interest</t>
  </si>
  <si>
    <t>E-mini
Russell
2000</t>
  </si>
  <si>
    <t>E-mini Russell 2000 Daily Futures Open Interest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</si>
</sst>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-* #,##0.00_-;\-* #,##0.00_-;_-* &quot;-&quot;??_-;_-@_-"/>
    <numFmt numFmtId="165" formatCode="dd/mm/yy;@"/>
    <numFmt numFmtId="166" formatCode="m/d/yy;@"/>
    <numFmt numFmtId="167" formatCode="_(* #,##0_);_(* \(#,##0\);_(* &quot;-&quot;??_);_(@_)"/>
  </numFmts>
  <fonts count="20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  <charset val="204"/>
    </font>
    <font>
      <b/>
      <sz val="11"/>
      <color theme="1"/>
      <name val="Calibri"/>
      <family val="2"/>
      <scheme val="minor"/>
    </font>
    <font>
      <sz val="10"/>
      <name val="Arial"/>
      <family val="2"/>
      <charset val="204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sz val="18"/>
      <color theme="1"/>
      <name val="Calibri"/>
      <family val="2"/>
      <scheme val="minor"/>
    </font>
    <font>
      <b/>
      <sz val="17"/>
      <color theme="1"/>
      <name val="Calibri"/>
      <family val="2"/>
      <scheme val="minor"/>
    </font>
    <font>
      <sz val="11"/>
      <color rgb="FF231F20"/>
      <name val="Calibri"/>
      <family val="2"/>
      <scheme val="minor"/>
    </font>
    <font>
      <sz val="11"/>
      <color rgb="FF231F20"/>
      <name val="Calibri"/>
      <family val="2"/>
    </font>
    <font>
      <sz val="11"/>
      <color theme="1"/>
      <name val="Calibri"/>
      <family val="2"/>
    </font>
    <font>
      <sz val="11"/>
      <color rgb="FF2E2E2E"/>
      <name val="Calibri"/>
      <family val="2"/>
      <scheme val="minor"/>
    </font>
    <font>
      <sz val="11"/>
      <color rgb="FF00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medium">
        <color rgb="FFEBEBEB"/>
      </bottom>
      <diagonal/>
    </border>
  </borders>
  <cellStyleXfs count="6">
    <xf numFmtId="0" fontId="0" fillId="0" borderId="0"/>
    <xf numFmtId="0" fontId="6" fillId="0" borderId="0"/>
    <xf numFmtId="0" fontId="8" fillId="0" borderId="0"/>
    <xf numFmtId="164" fontId="9" fillId="0" borderId="0" applyFont="0" applyFill="0" applyBorder="0" applyAlignment="0" applyProtection="0"/>
    <xf numFmtId="0" fontId="12" fillId="0" borderId="0"/>
    <xf numFmtId="0" fontId="9" fillId="0" borderId="0"/>
  </cellStyleXfs>
  <cellXfs count="50">
    <xf numFmtId="0" fontId="0" fillId="0" borderId="0" xfId="0"/>
    <xf numFmtId="3" fontId="7" fillId="0" borderId="0" xfId="0" applyNumberFormat="1" applyFont="1" applyAlignment="1">
      <alignment horizontal="center" vertical="center" wrapText="1"/>
    </xf>
    <xf numFmtId="14" fontId="7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3" fontId="0" fillId="0" borderId="0" xfId="0" applyNumberFormat="1"/>
    <xf numFmtId="3" fontId="0" fillId="0" borderId="0" xfId="0" applyNumberFormat="1" applyAlignment="1">
      <alignment horizontal="center" vertical="center" wrapText="1"/>
    </xf>
    <xf numFmtId="165" fontId="0" fillId="0" borderId="0" xfId="0" applyNumberFormat="1" applyAlignment="1">
      <alignment horizontal="center" vertical="center"/>
    </xf>
    <xf numFmtId="14" fontId="5" fillId="0" borderId="0" xfId="0" applyNumberFormat="1" applyFont="1" applyAlignment="1">
      <alignment horizontal="center" vertical="center"/>
    </xf>
    <xf numFmtId="3" fontId="5" fillId="0" borderId="0" xfId="0" applyNumberFormat="1" applyFont="1" applyAlignment="1">
      <alignment horizontal="center" vertical="center" wrapText="1"/>
    </xf>
    <xf numFmtId="14" fontId="4" fillId="0" borderId="0" xfId="0" applyNumberFormat="1" applyFont="1" applyAlignment="1">
      <alignment horizontal="center" vertical="center"/>
    </xf>
    <xf numFmtId="166" fontId="5" fillId="0" borderId="0" xfId="0" applyNumberFormat="1" applyFont="1" applyAlignment="1">
      <alignment horizontal="center" vertical="center"/>
    </xf>
    <xf numFmtId="165" fontId="5" fillId="0" borderId="0" xfId="0" applyNumberFormat="1" applyFont="1" applyAlignment="1">
      <alignment horizontal="center" vertical="center"/>
    </xf>
    <xf numFmtId="167" fontId="0" fillId="0" borderId="0" xfId="3" applyNumberFormat="1" applyFont="1" applyAlignment="1">
      <alignment horizontal="center" vertical="center" wrapText="1"/>
    </xf>
    <xf numFmtId="167" fontId="0" fillId="0" borderId="0" xfId="3" applyNumberFormat="1" applyFont="1" applyAlignment="1">
      <alignment horizontal="center" vertical="center"/>
    </xf>
    <xf numFmtId="3" fontId="3" fillId="0" borderId="0" xfId="0" applyNumberFormat="1" applyFont="1" applyAlignment="1">
      <alignment horizontal="center" vertical="center" wrapText="1"/>
    </xf>
    <xf numFmtId="0" fontId="10" fillId="0" borderId="0" xfId="0" applyFont="1" applyAlignment="1">
      <alignment horizontal="center" vertical="center"/>
    </xf>
    <xf numFmtId="0" fontId="10" fillId="0" borderId="0" xfId="0" applyFont="1"/>
    <xf numFmtId="14" fontId="11" fillId="0" borderId="0" xfId="0" applyNumberFormat="1" applyFont="1" applyAlignment="1">
      <alignment horizontal="center" vertical="center"/>
    </xf>
    <xf numFmtId="0" fontId="9" fillId="0" borderId="0" xfId="5" applyAlignment="1">
      <alignment horizontal="center" vertical="center"/>
    </xf>
    <xf numFmtId="0" fontId="9" fillId="0" borderId="0" xfId="5" applyAlignment="1">
      <alignment horizontal="center" vertical="center" wrapText="1"/>
    </xf>
    <xf numFmtId="0" fontId="9" fillId="0" borderId="0" xfId="5"/>
    <xf numFmtId="14" fontId="7" fillId="0" borderId="0" xfId="5" applyNumberFormat="1" applyFont="1" applyAlignment="1">
      <alignment horizontal="center" vertical="center"/>
    </xf>
    <xf numFmtId="3" fontId="13" fillId="0" borderId="0" xfId="5" applyNumberFormat="1" applyFont="1" applyAlignment="1">
      <alignment vertical="center"/>
    </xf>
    <xf numFmtId="3" fontId="14" fillId="0" borderId="0" xfId="5" applyNumberFormat="1" applyFont="1" applyAlignment="1">
      <alignment vertical="center"/>
    </xf>
    <xf numFmtId="3" fontId="9" fillId="0" borderId="0" xfId="5" applyNumberFormat="1"/>
    <xf numFmtId="167" fontId="5" fillId="0" borderId="0" xfId="3" applyNumberFormat="1" applyFont="1" applyAlignment="1">
      <alignment horizontal="center" vertical="center"/>
    </xf>
    <xf numFmtId="167" fontId="4" fillId="0" borderId="0" xfId="3" applyNumberFormat="1" applyFont="1" applyAlignment="1">
      <alignment horizontal="center" vertical="center"/>
    </xf>
    <xf numFmtId="167" fontId="7" fillId="0" borderId="0" xfId="3" applyNumberFormat="1" applyFont="1" applyAlignment="1">
      <alignment horizontal="center" vertical="center"/>
    </xf>
    <xf numFmtId="167" fontId="0" fillId="0" borderId="0" xfId="3" applyNumberFormat="1" applyFont="1"/>
    <xf numFmtId="167" fontId="0" fillId="0" borderId="0" xfId="3" applyNumberFormat="1" applyFont="1" applyFill="1" applyBorder="1"/>
    <xf numFmtId="167" fontId="15" fillId="0" borderId="0" xfId="3" applyNumberFormat="1" applyFont="1"/>
    <xf numFmtId="167" fontId="0" fillId="0" borderId="0" xfId="3" applyNumberFormat="1" applyFont="1" applyAlignment="1">
      <alignment horizontal="right"/>
    </xf>
    <xf numFmtId="3" fontId="16" fillId="0" borderId="0" xfId="0" applyNumberFormat="1" applyFont="1" applyAlignment="1">
      <alignment horizontal="right" vertical="top" wrapText="1"/>
    </xf>
    <xf numFmtId="3" fontId="16" fillId="0" borderId="0" xfId="0" applyNumberFormat="1" applyFont="1"/>
    <xf numFmtId="3" fontId="17" fillId="0" borderId="0" xfId="0" applyNumberFormat="1" applyFont="1"/>
    <xf numFmtId="3" fontId="15" fillId="0" borderId="0" xfId="0" applyNumberFormat="1" applyFont="1"/>
    <xf numFmtId="3" fontId="0" fillId="0" borderId="0" xfId="0" applyNumberFormat="1" applyAlignment="1">
      <alignment wrapText="1"/>
    </xf>
    <xf numFmtId="3" fontId="0" fillId="0" borderId="0" xfId="0" applyNumberFormat="1" applyAlignment="1">
      <alignment horizontal="right"/>
    </xf>
    <xf numFmtId="3" fontId="18" fillId="0" borderId="0" xfId="0" applyNumberFormat="1" applyFont="1" applyAlignment="1">
      <alignment vertical="center" wrapText="1"/>
    </xf>
    <xf numFmtId="3" fontId="18" fillId="0" borderId="0" xfId="0" applyNumberFormat="1" applyFont="1"/>
    <xf numFmtId="3" fontId="19" fillId="2" borderId="1" xfId="0" applyNumberFormat="1" applyFont="1" applyFill="1" applyBorder="1" applyAlignment="1">
      <alignment horizontal="right" vertical="top" wrapText="1"/>
    </xf>
    <xf numFmtId="3" fontId="9" fillId="0" borderId="0" xfId="5" applyNumberFormat="1" applyAlignment="1">
      <alignment horizontal="center" vertical="center" wrapText="1"/>
    </xf>
    <xf numFmtId="3" fontId="0" fillId="0" borderId="0" xfId="0" applyNumberFormat="1" applyAlignment="1">
      <alignment horizontal="center" vertical="center"/>
    </xf>
    <xf numFmtId="167" fontId="2" fillId="0" borderId="0" xfId="3" applyNumberFormat="1" applyFont="1" applyAlignment="1">
      <alignment horizontal="center" vertical="center"/>
    </xf>
    <xf numFmtId="3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167" fontId="1" fillId="0" borderId="0" xfId="3" applyNumberFormat="1" applyFont="1" applyAlignment="1">
      <alignment horizontal="center" vertical="center" wrapText="1"/>
    </xf>
    <xf numFmtId="3" fontId="9" fillId="0" borderId="0" xfId="5" applyNumberFormat="1" applyAlignment="1">
      <alignment horizontal="right" vertical="center" wrapText="1"/>
    </xf>
    <xf numFmtId="165" fontId="9" fillId="0" borderId="0" xfId="5" applyNumberFormat="1" applyAlignment="1">
      <alignment horizontal="center" vertical="center"/>
    </xf>
  </cellXfs>
  <cellStyles count="6">
    <cellStyle name="Comma" xfId="3" builtinId="3"/>
    <cellStyle name="Normal" xfId="0" builtinId="0"/>
    <cellStyle name="Normal 2" xfId="4" xr:uid="{00000000-0005-0000-0000-000002000000}"/>
    <cellStyle name="Normal 2 2" xfId="5" xr:uid="{00000000-0005-0000-0000-000003000000}"/>
    <cellStyle name="Обычный 2" xfId="1" xr:uid="{00000000-0005-0000-0000-000004000000}"/>
    <cellStyle name="Обычный 3" xfId="2" xr:uid="{00000000-0005-0000-0000-000005000000}"/>
  </cellStyles>
  <dxfs count="0"/>
  <tableStyles count="0" defaultTableStyle="TableStyleMedium9" defaultPivotStyle="PivotStyleLight16"/>
  <colors>
    <mruColors>
      <color rgb="FFB9FFA3"/>
      <color rgb="FF00FF00"/>
      <color rgb="FF00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1.xml"/><Relationship Id="rId27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.xml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4.xml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5.xml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6.xml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7.xml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8.xml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4.5361664643855833E-2"/>
          <c:y val="5.4771748697575846E-2"/>
          <c:w val="0.95254985254732916"/>
          <c:h val="0.88710576294242249"/>
        </c:manualLayout>
      </c:layout>
      <c:lineChart>
        <c:grouping val="stacked"/>
        <c:varyColors val="0"/>
        <c:ser>
          <c:idx val="0"/>
          <c:order val="0"/>
          <c:tx>
            <c:strRef>
              <c:f>'USD (US) OI Chart'!$B$1</c:f>
              <c:strCache>
                <c:ptCount val="1"/>
                <c:pt idx="0">
                  <c:v>USD (ICE US) Daily Futures Open Interest</c:v>
                </c:pt>
              </c:strCache>
            </c:strRef>
          </c:tx>
          <c:spPr>
            <a:ln w="50800" cap="rnd">
              <a:solidFill>
                <a:sysClr val="window" lastClr="FFFFFF"/>
              </a:solidFill>
              <a:round/>
            </a:ln>
            <a:effectLst>
              <a:outerShdw blurRad="50800" dist="38100" dir="5400000" rotWithShape="0">
                <a:srgbClr val="000000">
                  <a:alpha val="46000"/>
                </a:srgbClr>
              </a:outerShdw>
            </a:effectLst>
          </c:spPr>
          <c:marker>
            <c:symbol val="circle"/>
            <c:size val="6"/>
            <c:spPr>
              <a:solidFill>
                <a:sysClr val="windowText" lastClr="000000"/>
              </a:solidFill>
              <a:ln w="9525">
                <a:solidFill>
                  <a:sysClr val="windowText" lastClr="000000"/>
                </a:solidFill>
                <a:round/>
              </a:ln>
              <a:effectLst>
                <a:outerShdw blurRad="50800" dist="38100" dir="5400000" rotWithShape="0">
                  <a:srgbClr val="000000">
                    <a:alpha val="46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/>
              </a:scene3d>
              <a:sp3d prstMaterial="plastic">
                <a:bevelT w="25400" h="25400"/>
              </a:sp3d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900" b="1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'USD (US) OI Chart'!$A$2:$A$7</c:f>
              <c:numCache>
                <c:formatCode>m/d/yyyy</c:formatCode>
                <c:ptCount val="6"/>
                <c:pt idx="0">
                  <c:v>46128</c:v>
                </c:pt>
                <c:pt idx="1">
                  <c:v>46129</c:v>
                </c:pt>
                <c:pt idx="2">
                  <c:v>46132</c:v>
                </c:pt>
                <c:pt idx="3">
                  <c:v>46133</c:v>
                </c:pt>
                <c:pt idx="4">
                  <c:v>46134</c:v>
                </c:pt>
                <c:pt idx="5">
                  <c:v>46135</c:v>
                </c:pt>
              </c:numCache>
            </c:numRef>
          </c:cat>
          <c:val>
            <c:numRef>
              <c:f>'USD (US) OI Chart'!$B$2:$B$7</c:f>
              <c:numCache>
                <c:formatCode>_(* #,##0_);_(* \(#,##0\);_(* "-"??_);_(@_)</c:formatCode>
                <c:ptCount val="6"/>
                <c:pt idx="0">
                  <c:v>32209</c:v>
                </c:pt>
                <c:pt idx="1">
                  <c:v>31407</c:v>
                </c:pt>
                <c:pt idx="2">
                  <c:v>30488</c:v>
                </c:pt>
                <c:pt idx="3">
                  <c:v>30651</c:v>
                </c:pt>
                <c:pt idx="4">
                  <c:v>29531</c:v>
                </c:pt>
                <c:pt idx="5">
                  <c:v>29659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7CB-44D9-9FF6-D0CC36C763D7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46619776"/>
        <c:axId val="146621568"/>
      </c:lineChart>
      <c:catAx>
        <c:axId val="14661977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6621568"/>
        <c:crosses val="autoZero"/>
        <c:auto val="0"/>
        <c:lblAlgn val="ctr"/>
        <c:lblOffset val="100"/>
        <c:noMultiLvlLbl val="1"/>
      </c:catAx>
      <c:valAx>
        <c:axId val="146621568"/>
        <c:scaling>
          <c:orientation val="minMax"/>
          <c:min val="2950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66197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2000" b="1" i="0" u="none" strike="noStrike" kern="1200" spc="100" baseline="0">
                <a:ln>
                  <a:noFill/>
                </a:ln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2000" b="0" i="0" u="none" strike="noStrike" kern="1200" baseline="0">
              <a:ln>
                <a:noFill/>
              </a:ln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  <c:extLst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1155" l="0.70000000000000062" r="0.70000000000000062" t="0.75000000000001155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4.5361664643855833E-2"/>
          <c:y val="5.4771748697575846E-2"/>
          <c:w val="0.95254985254732893"/>
          <c:h val="0.88710576294242249"/>
        </c:manualLayout>
      </c:layout>
      <c:lineChart>
        <c:grouping val="stacked"/>
        <c:varyColors val="0"/>
        <c:ser>
          <c:idx val="0"/>
          <c:order val="0"/>
          <c:tx>
            <c:strRef>
              <c:f>'EUR OI Chart'!$B$1</c:f>
              <c:strCache>
                <c:ptCount val="1"/>
                <c:pt idx="0">
                  <c:v> EUR Daily Futures Open Interest </c:v>
                </c:pt>
              </c:strCache>
            </c:strRef>
          </c:tx>
          <c:spPr>
            <a:ln w="50800" cap="rnd">
              <a:solidFill>
                <a:sysClr val="window" lastClr="FFFFFF"/>
              </a:solidFill>
              <a:round/>
            </a:ln>
            <a:effectLst>
              <a:outerShdw blurRad="50800" dist="38100" dir="5400000" rotWithShape="0">
                <a:srgbClr val="000000">
                  <a:alpha val="46000"/>
                </a:srgbClr>
              </a:outerShdw>
            </a:effectLst>
          </c:spPr>
          <c:marker>
            <c:symbol val="circle"/>
            <c:size val="6"/>
            <c:spPr>
              <a:solidFill>
                <a:sysClr val="windowText" lastClr="000000"/>
              </a:solidFill>
              <a:ln w="9525">
                <a:solidFill>
                  <a:sysClr val="windowText" lastClr="000000"/>
                </a:solidFill>
                <a:round/>
              </a:ln>
              <a:effectLst>
                <a:outerShdw blurRad="50800" dist="38100" dir="5400000" rotWithShape="0">
                  <a:srgbClr val="000000">
                    <a:alpha val="46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/>
              </a:scene3d>
              <a:sp3d prstMaterial="plastic">
                <a:bevelT w="25400" h="25400"/>
              </a:sp3d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900" b="1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'EUR OI Chart'!$A$2:$A$7</c:f>
              <c:numCache>
                <c:formatCode>m/d/yyyy</c:formatCode>
                <c:ptCount val="6"/>
                <c:pt idx="0">
                  <c:v>46129</c:v>
                </c:pt>
                <c:pt idx="1">
                  <c:v>46132</c:v>
                </c:pt>
                <c:pt idx="2">
                  <c:v>46133</c:v>
                </c:pt>
                <c:pt idx="3">
                  <c:v>46134</c:v>
                </c:pt>
                <c:pt idx="4">
                  <c:v>46135</c:v>
                </c:pt>
                <c:pt idx="5">
                  <c:v>46136</c:v>
                </c:pt>
              </c:numCache>
            </c:numRef>
          </c:cat>
          <c:val>
            <c:numRef>
              <c:f>'EUR OI Chart'!$B$2:$B$7</c:f>
              <c:numCache>
                <c:formatCode>_(* #,##0_);_(* \(#,##0\);_(* "-"??_);_(@_)</c:formatCode>
                <c:ptCount val="6"/>
                <c:pt idx="0">
                  <c:v>790662</c:v>
                </c:pt>
                <c:pt idx="1">
                  <c:v>788774</c:v>
                </c:pt>
                <c:pt idx="2">
                  <c:v>790622</c:v>
                </c:pt>
                <c:pt idx="3">
                  <c:v>795637</c:v>
                </c:pt>
                <c:pt idx="4">
                  <c:v>790730</c:v>
                </c:pt>
                <c:pt idx="5">
                  <c:v>794445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1B-4D20-AC3B-FAD700DEA4FF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17708288"/>
        <c:axId val="117709824"/>
      </c:lineChart>
      <c:catAx>
        <c:axId val="11770828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7709824"/>
        <c:crosses val="autoZero"/>
        <c:auto val="0"/>
        <c:lblAlgn val="ctr"/>
        <c:lblOffset val="100"/>
        <c:noMultiLvlLbl val="1"/>
      </c:catAx>
      <c:valAx>
        <c:axId val="117709824"/>
        <c:scaling>
          <c:orientation val="minMax"/>
          <c:min val="78800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77082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2000" b="1" i="0" u="none" strike="noStrike" kern="1200" spc="100" baseline="0">
                <a:ln>
                  <a:noFill/>
                </a:ln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2000" b="0" i="0" u="none" strike="noStrike" kern="1200" baseline="0">
              <a:ln>
                <a:noFill/>
              </a:ln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  <c:extLst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1132" l="0.70000000000000062" r="0.70000000000000062" t="0.7500000000000113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4.5361664643855833E-2"/>
          <c:y val="5.4771748697575846E-2"/>
          <c:w val="0.95254985254732893"/>
          <c:h val="0.88710576294242249"/>
        </c:manualLayout>
      </c:layout>
      <c:lineChart>
        <c:grouping val="stacked"/>
        <c:varyColors val="0"/>
        <c:ser>
          <c:idx val="0"/>
          <c:order val="0"/>
          <c:tx>
            <c:strRef>
              <c:f>'GBP OI Chart'!$B$1</c:f>
              <c:strCache>
                <c:ptCount val="1"/>
                <c:pt idx="0">
                  <c:v>GBP Daily Futues Open Interest</c:v>
                </c:pt>
              </c:strCache>
            </c:strRef>
          </c:tx>
          <c:spPr>
            <a:ln w="50800" cap="rnd">
              <a:solidFill>
                <a:sysClr val="window" lastClr="FFFFFF"/>
              </a:solidFill>
              <a:round/>
            </a:ln>
            <a:effectLst>
              <a:outerShdw blurRad="50800" dist="38100" dir="5400000" rotWithShape="0">
                <a:srgbClr val="000000">
                  <a:alpha val="46000"/>
                </a:srgbClr>
              </a:outerShdw>
            </a:effectLst>
          </c:spPr>
          <c:marker>
            <c:symbol val="circle"/>
            <c:size val="6"/>
            <c:spPr>
              <a:solidFill>
                <a:sysClr val="windowText" lastClr="000000"/>
              </a:solidFill>
              <a:ln w="9525">
                <a:solidFill>
                  <a:sysClr val="windowText" lastClr="000000"/>
                </a:solidFill>
                <a:round/>
              </a:ln>
              <a:effectLst>
                <a:outerShdw blurRad="50800" dist="38100" dir="5400000" rotWithShape="0">
                  <a:srgbClr val="000000">
                    <a:alpha val="46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/>
              </a:scene3d>
              <a:sp3d prstMaterial="plastic">
                <a:bevelT w="25400" h="25400"/>
              </a:sp3d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900" b="1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'GBP OI Chart'!$A$2:$A$7</c:f>
              <c:numCache>
                <c:formatCode>m/d/yyyy</c:formatCode>
                <c:ptCount val="6"/>
                <c:pt idx="0">
                  <c:v>46129</c:v>
                </c:pt>
                <c:pt idx="1">
                  <c:v>46132</c:v>
                </c:pt>
                <c:pt idx="2">
                  <c:v>46133</c:v>
                </c:pt>
                <c:pt idx="3">
                  <c:v>46134</c:v>
                </c:pt>
                <c:pt idx="4">
                  <c:v>46135</c:v>
                </c:pt>
                <c:pt idx="5">
                  <c:v>46136</c:v>
                </c:pt>
              </c:numCache>
            </c:numRef>
          </c:cat>
          <c:val>
            <c:numRef>
              <c:f>'GBP OI Chart'!$B$2:$B$7</c:f>
              <c:numCache>
                <c:formatCode>_(* #,##0_);_(* \(#,##0\);_(* "-"??_);_(@_)</c:formatCode>
                <c:ptCount val="6"/>
                <c:pt idx="0">
                  <c:v>261166</c:v>
                </c:pt>
                <c:pt idx="1">
                  <c:v>263168</c:v>
                </c:pt>
                <c:pt idx="2">
                  <c:v>263523</c:v>
                </c:pt>
                <c:pt idx="3">
                  <c:v>263919</c:v>
                </c:pt>
                <c:pt idx="4">
                  <c:v>262853</c:v>
                </c:pt>
                <c:pt idx="5">
                  <c:v>261584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7D1-42E4-89C6-39CAC23713B7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17788032"/>
        <c:axId val="117798016"/>
      </c:lineChart>
      <c:catAx>
        <c:axId val="11778803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7798016"/>
        <c:crosses val="autoZero"/>
        <c:auto val="0"/>
        <c:lblAlgn val="ctr"/>
        <c:lblOffset val="100"/>
        <c:noMultiLvlLbl val="1"/>
      </c:catAx>
      <c:valAx>
        <c:axId val="117798016"/>
        <c:scaling>
          <c:orientation val="minMax"/>
          <c:min val="26100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77880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2000" b="1" i="0" u="none" strike="noStrike" kern="1200" spc="100" baseline="0">
                <a:ln>
                  <a:noFill/>
                </a:ln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2000" b="0" i="0" u="none" strike="noStrike" kern="1200" baseline="0">
              <a:ln>
                <a:noFill/>
              </a:ln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  <c:extLst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1132" l="0.70000000000000062" r="0.70000000000000062" t="0.7500000000000113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4.5361664643855833E-2"/>
          <c:y val="5.4771748697575846E-2"/>
          <c:w val="0.95254985254732893"/>
          <c:h val="0.88710576294242249"/>
        </c:manualLayout>
      </c:layout>
      <c:lineChart>
        <c:grouping val="stacked"/>
        <c:varyColors val="0"/>
        <c:ser>
          <c:idx val="0"/>
          <c:order val="0"/>
          <c:tx>
            <c:strRef>
              <c:f>'JPY OI Chart'!$B$1</c:f>
              <c:strCache>
                <c:ptCount val="1"/>
                <c:pt idx="0">
                  <c:v>JPY Daily Futures Open Interest</c:v>
                </c:pt>
              </c:strCache>
            </c:strRef>
          </c:tx>
          <c:spPr>
            <a:ln w="50800" cap="rnd">
              <a:solidFill>
                <a:sysClr val="window" lastClr="FFFFFF"/>
              </a:solidFill>
              <a:round/>
            </a:ln>
            <a:effectLst>
              <a:outerShdw blurRad="50800" dist="38100" dir="5400000" rotWithShape="0">
                <a:srgbClr val="000000">
                  <a:alpha val="46000"/>
                </a:srgbClr>
              </a:outerShdw>
            </a:effectLst>
          </c:spPr>
          <c:marker>
            <c:symbol val="circle"/>
            <c:size val="6"/>
            <c:spPr>
              <a:solidFill>
                <a:sysClr val="windowText" lastClr="000000"/>
              </a:solidFill>
              <a:ln w="9525">
                <a:solidFill>
                  <a:sysClr val="windowText" lastClr="000000"/>
                </a:solidFill>
                <a:round/>
              </a:ln>
              <a:effectLst>
                <a:outerShdw blurRad="50800" dist="38100" dir="5400000" rotWithShape="0">
                  <a:srgbClr val="000000">
                    <a:alpha val="46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/>
              </a:scene3d>
              <a:sp3d prstMaterial="plastic">
                <a:bevelT w="25400" h="25400"/>
              </a:sp3d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'JPY OI Chart'!$A$2:$A$7</c:f>
              <c:numCache>
                <c:formatCode>m/d/yyyy</c:formatCode>
                <c:ptCount val="6"/>
                <c:pt idx="0">
                  <c:v>46129</c:v>
                </c:pt>
                <c:pt idx="1">
                  <c:v>46132</c:v>
                </c:pt>
                <c:pt idx="2">
                  <c:v>46133</c:v>
                </c:pt>
                <c:pt idx="3">
                  <c:v>46134</c:v>
                </c:pt>
                <c:pt idx="4">
                  <c:v>46135</c:v>
                </c:pt>
                <c:pt idx="5">
                  <c:v>46136</c:v>
                </c:pt>
              </c:numCache>
            </c:numRef>
          </c:cat>
          <c:val>
            <c:numRef>
              <c:f>'JPY OI Chart'!$B$2:$B$7</c:f>
              <c:numCache>
                <c:formatCode>_(* #,##0_);_(* \(#,##0\);_(* "-"??_);_(@_)</c:formatCode>
                <c:ptCount val="6"/>
                <c:pt idx="0">
                  <c:v>354180</c:v>
                </c:pt>
                <c:pt idx="1">
                  <c:v>352544</c:v>
                </c:pt>
                <c:pt idx="2">
                  <c:v>351782</c:v>
                </c:pt>
                <c:pt idx="3">
                  <c:v>349335</c:v>
                </c:pt>
                <c:pt idx="4">
                  <c:v>355319</c:v>
                </c:pt>
                <c:pt idx="5">
                  <c:v>358300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55F-4E5D-9E3E-DBE38BE81DDF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17954048"/>
        <c:axId val="117955584"/>
      </c:lineChart>
      <c:catAx>
        <c:axId val="11795404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7955584"/>
        <c:crosses val="autoZero"/>
        <c:auto val="0"/>
        <c:lblAlgn val="ctr"/>
        <c:lblOffset val="100"/>
        <c:noMultiLvlLbl val="1"/>
      </c:catAx>
      <c:valAx>
        <c:axId val="117955584"/>
        <c:scaling>
          <c:orientation val="minMax"/>
          <c:min val="34900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79540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2000" b="1" i="0" u="none" strike="noStrike" kern="1200" spc="100" baseline="0">
                <a:ln>
                  <a:noFill/>
                </a:ln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2000" b="0" i="0" u="none" strike="noStrike" kern="1200" baseline="0">
              <a:ln>
                <a:noFill/>
              </a:ln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  <c:extLst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1132" l="0.70000000000000062" r="0.70000000000000062" t="0.7500000000000113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4.5361664643855833E-2"/>
          <c:y val="5.4771748697575846E-2"/>
          <c:w val="0.95254985254732893"/>
          <c:h val="0.88710576294242249"/>
        </c:manualLayout>
      </c:layout>
      <c:lineChart>
        <c:grouping val="stacked"/>
        <c:varyColors val="0"/>
        <c:ser>
          <c:idx val="0"/>
          <c:order val="0"/>
          <c:tx>
            <c:strRef>
              <c:f>'CHF OI Chart'!$B$1</c:f>
              <c:strCache>
                <c:ptCount val="1"/>
                <c:pt idx="0">
                  <c:v>CHF Daily Futures Open Interest</c:v>
                </c:pt>
              </c:strCache>
            </c:strRef>
          </c:tx>
          <c:spPr>
            <a:ln w="50800" cap="rnd">
              <a:solidFill>
                <a:sysClr val="window" lastClr="FFFFFF"/>
              </a:solidFill>
              <a:round/>
            </a:ln>
            <a:effectLst>
              <a:outerShdw blurRad="50800" dist="38100" dir="5400000" rotWithShape="0">
                <a:srgbClr val="000000">
                  <a:alpha val="46000"/>
                </a:srgbClr>
              </a:outerShdw>
            </a:effectLst>
          </c:spPr>
          <c:marker>
            <c:symbol val="circle"/>
            <c:size val="6"/>
            <c:spPr>
              <a:solidFill>
                <a:sysClr val="windowText" lastClr="000000"/>
              </a:solidFill>
              <a:ln w="9525">
                <a:solidFill>
                  <a:sysClr val="windowText" lastClr="000000"/>
                </a:solidFill>
                <a:round/>
              </a:ln>
              <a:effectLst>
                <a:outerShdw blurRad="50800" dist="38100" dir="5400000" rotWithShape="0">
                  <a:srgbClr val="000000">
                    <a:alpha val="46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/>
              </a:scene3d>
              <a:sp3d prstMaterial="plastic">
                <a:bevelT w="25400" h="25400"/>
              </a:sp3d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900" b="1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'CHF OI Chart'!$A$2:$A$7</c:f>
              <c:numCache>
                <c:formatCode>m/d/yyyy</c:formatCode>
                <c:ptCount val="6"/>
                <c:pt idx="0">
                  <c:v>46129</c:v>
                </c:pt>
                <c:pt idx="1">
                  <c:v>46132</c:v>
                </c:pt>
                <c:pt idx="2">
                  <c:v>46133</c:v>
                </c:pt>
                <c:pt idx="3">
                  <c:v>46134</c:v>
                </c:pt>
                <c:pt idx="4">
                  <c:v>46135</c:v>
                </c:pt>
                <c:pt idx="5">
                  <c:v>46136</c:v>
                </c:pt>
              </c:numCache>
            </c:numRef>
          </c:cat>
          <c:val>
            <c:numRef>
              <c:f>'CHF OI Chart'!$B$2:$B$7</c:f>
              <c:numCache>
                <c:formatCode>_(* #,##0_);_(* \(#,##0\);_(* "-"??_);_(@_)</c:formatCode>
                <c:ptCount val="6"/>
                <c:pt idx="0">
                  <c:v>92569</c:v>
                </c:pt>
                <c:pt idx="1">
                  <c:v>91796</c:v>
                </c:pt>
                <c:pt idx="2">
                  <c:v>91532</c:v>
                </c:pt>
                <c:pt idx="3">
                  <c:v>92815</c:v>
                </c:pt>
                <c:pt idx="4">
                  <c:v>93075</c:v>
                </c:pt>
                <c:pt idx="5">
                  <c:v>93344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CFB-4C78-ABFC-1CC5CBED3D62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19504256"/>
        <c:axId val="119551104"/>
      </c:lineChart>
      <c:catAx>
        <c:axId val="11950425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551104"/>
        <c:crosses val="autoZero"/>
        <c:auto val="0"/>
        <c:lblAlgn val="ctr"/>
        <c:lblOffset val="100"/>
        <c:noMultiLvlLbl val="1"/>
      </c:catAx>
      <c:valAx>
        <c:axId val="119551104"/>
        <c:scaling>
          <c:orientation val="minMax"/>
          <c:min val="9150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5042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2000" b="1" i="0" u="none" strike="noStrike" kern="1200" spc="100" baseline="0">
                <a:ln>
                  <a:noFill/>
                </a:ln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2000" b="0" i="0" u="none" strike="noStrike" kern="1200" baseline="0">
              <a:ln>
                <a:noFill/>
              </a:ln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  <c:extLst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1132" l="0.70000000000000062" r="0.70000000000000062" t="0.7500000000000113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4.5361664643855833E-2"/>
          <c:y val="5.4771748697575846E-2"/>
          <c:w val="0.95254985254732893"/>
          <c:h val="0.88710576294242249"/>
        </c:manualLayout>
      </c:layout>
      <c:lineChart>
        <c:grouping val="stacked"/>
        <c:varyColors val="0"/>
        <c:ser>
          <c:idx val="0"/>
          <c:order val="0"/>
          <c:tx>
            <c:strRef>
              <c:f>'AUD OI Chart'!$B$1</c:f>
              <c:strCache>
                <c:ptCount val="1"/>
                <c:pt idx="0">
                  <c:v>AUD Daily Futures Open Interest</c:v>
                </c:pt>
              </c:strCache>
            </c:strRef>
          </c:tx>
          <c:spPr>
            <a:ln w="50800" cap="rnd">
              <a:solidFill>
                <a:sysClr val="window" lastClr="FFFFFF"/>
              </a:solidFill>
              <a:round/>
            </a:ln>
            <a:effectLst>
              <a:outerShdw blurRad="50800" dist="38100" dir="5400000" rotWithShape="0">
                <a:srgbClr val="000000">
                  <a:alpha val="46000"/>
                </a:srgbClr>
              </a:outerShdw>
            </a:effectLst>
          </c:spPr>
          <c:marker>
            <c:symbol val="circle"/>
            <c:size val="6"/>
            <c:spPr>
              <a:solidFill>
                <a:sysClr val="windowText" lastClr="000000"/>
              </a:solidFill>
              <a:ln w="9525">
                <a:solidFill>
                  <a:sysClr val="windowText" lastClr="000000"/>
                </a:solidFill>
                <a:round/>
              </a:ln>
              <a:effectLst>
                <a:outerShdw blurRad="50800" dist="38100" dir="5400000" rotWithShape="0">
                  <a:srgbClr val="000000">
                    <a:alpha val="46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/>
              </a:scene3d>
              <a:sp3d prstMaterial="plastic">
                <a:bevelT w="25400" h="25400"/>
              </a:sp3d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900" b="1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'AUD OI Chart'!$A$2:$A$7</c:f>
              <c:numCache>
                <c:formatCode>m/d/yyyy</c:formatCode>
                <c:ptCount val="6"/>
                <c:pt idx="0">
                  <c:v>46129</c:v>
                </c:pt>
                <c:pt idx="1">
                  <c:v>46132</c:v>
                </c:pt>
                <c:pt idx="2">
                  <c:v>46133</c:v>
                </c:pt>
                <c:pt idx="3">
                  <c:v>46134</c:v>
                </c:pt>
                <c:pt idx="4">
                  <c:v>46135</c:v>
                </c:pt>
                <c:pt idx="5">
                  <c:v>46136</c:v>
                </c:pt>
              </c:numCache>
            </c:numRef>
          </c:cat>
          <c:val>
            <c:numRef>
              <c:f>'AUD OI Chart'!$B$2:$B$7</c:f>
              <c:numCache>
                <c:formatCode>_(* #,##0_);_(* \(#,##0\);_(* "-"??_);_(@_)</c:formatCode>
                <c:ptCount val="6"/>
                <c:pt idx="0">
                  <c:v>275867</c:v>
                </c:pt>
                <c:pt idx="1">
                  <c:v>277236</c:v>
                </c:pt>
                <c:pt idx="2">
                  <c:v>275415</c:v>
                </c:pt>
                <c:pt idx="3">
                  <c:v>276955</c:v>
                </c:pt>
                <c:pt idx="4">
                  <c:v>278860</c:v>
                </c:pt>
                <c:pt idx="5">
                  <c:v>279768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EDD-448F-BFE7-7F36C97A6A42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19662080"/>
        <c:axId val="119663616"/>
      </c:lineChart>
      <c:catAx>
        <c:axId val="11966208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663616"/>
        <c:crosses val="autoZero"/>
        <c:auto val="0"/>
        <c:lblAlgn val="ctr"/>
        <c:lblOffset val="100"/>
        <c:noMultiLvlLbl val="1"/>
      </c:catAx>
      <c:valAx>
        <c:axId val="119663616"/>
        <c:scaling>
          <c:orientation val="minMax"/>
          <c:min val="27500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6620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2000" b="1" i="0" u="none" strike="noStrike" kern="1200" spc="100" baseline="0">
                <a:ln>
                  <a:noFill/>
                </a:ln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2000" b="0" i="0" u="none" strike="noStrike" kern="1200" baseline="0">
              <a:ln>
                <a:noFill/>
              </a:ln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  <c:extLst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1132" l="0.70000000000000062" r="0.70000000000000062" t="0.7500000000000113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4.5361664643855833E-2"/>
          <c:y val="5.4771748697575846E-2"/>
          <c:w val="0.95254985254732893"/>
          <c:h val="0.88710576294242249"/>
        </c:manualLayout>
      </c:layout>
      <c:lineChart>
        <c:grouping val="stacked"/>
        <c:varyColors val="0"/>
        <c:ser>
          <c:idx val="0"/>
          <c:order val="0"/>
          <c:tx>
            <c:strRef>
              <c:f>'NZD OI Chart'!$B$1</c:f>
              <c:strCache>
                <c:ptCount val="1"/>
                <c:pt idx="0">
                  <c:v>NZD Daily Futures Open Interest</c:v>
                </c:pt>
              </c:strCache>
            </c:strRef>
          </c:tx>
          <c:spPr>
            <a:ln w="50800" cap="rnd">
              <a:solidFill>
                <a:sysClr val="window" lastClr="FFFFFF"/>
              </a:solidFill>
              <a:round/>
            </a:ln>
            <a:effectLst>
              <a:outerShdw blurRad="50800" dist="38100" dir="5400000" rotWithShape="0">
                <a:srgbClr val="000000">
                  <a:alpha val="46000"/>
                </a:srgbClr>
              </a:outerShdw>
            </a:effectLst>
          </c:spPr>
          <c:marker>
            <c:symbol val="circle"/>
            <c:size val="6"/>
            <c:spPr>
              <a:solidFill>
                <a:sysClr val="windowText" lastClr="000000"/>
              </a:solidFill>
              <a:ln w="9525">
                <a:solidFill>
                  <a:sysClr val="windowText" lastClr="000000"/>
                </a:solidFill>
                <a:round/>
              </a:ln>
              <a:effectLst>
                <a:outerShdw blurRad="50800" dist="38100" dir="5400000" rotWithShape="0">
                  <a:srgbClr val="000000">
                    <a:alpha val="46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/>
              </a:scene3d>
              <a:sp3d prstMaterial="plastic">
                <a:bevelT w="25400" h="25400"/>
              </a:sp3d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900" b="1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'NZD OI Chart'!$A$2:$A$7</c:f>
              <c:numCache>
                <c:formatCode>m/d/yyyy</c:formatCode>
                <c:ptCount val="6"/>
                <c:pt idx="0">
                  <c:v>46129</c:v>
                </c:pt>
                <c:pt idx="1">
                  <c:v>46132</c:v>
                </c:pt>
                <c:pt idx="2">
                  <c:v>46133</c:v>
                </c:pt>
                <c:pt idx="3">
                  <c:v>46134</c:v>
                </c:pt>
                <c:pt idx="4">
                  <c:v>46135</c:v>
                </c:pt>
                <c:pt idx="5">
                  <c:v>46136</c:v>
                </c:pt>
              </c:numCache>
            </c:numRef>
          </c:cat>
          <c:val>
            <c:numRef>
              <c:f>'NZD OI Chart'!$B$2:$B$7</c:f>
              <c:numCache>
                <c:formatCode>_(* #,##0_);_(* \(#,##0\);_(* "-"??_);_(@_)</c:formatCode>
                <c:ptCount val="6"/>
                <c:pt idx="0">
                  <c:v>81641</c:v>
                </c:pt>
                <c:pt idx="1">
                  <c:v>82565</c:v>
                </c:pt>
                <c:pt idx="2">
                  <c:v>82508</c:v>
                </c:pt>
                <c:pt idx="3">
                  <c:v>82536</c:v>
                </c:pt>
                <c:pt idx="4">
                  <c:v>83423</c:v>
                </c:pt>
                <c:pt idx="5">
                  <c:v>83437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24B-431E-9E16-21029265E0AF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19704960"/>
        <c:axId val="119805056"/>
      </c:lineChart>
      <c:catAx>
        <c:axId val="11970496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805056"/>
        <c:crosses val="autoZero"/>
        <c:auto val="0"/>
        <c:lblAlgn val="ctr"/>
        <c:lblOffset val="100"/>
        <c:noMultiLvlLbl val="1"/>
      </c:catAx>
      <c:valAx>
        <c:axId val="119805056"/>
        <c:scaling>
          <c:orientation val="minMax"/>
          <c:min val="8100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7049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2000" b="1" i="0" u="none" strike="noStrike" kern="1200" spc="100" baseline="0">
                <a:ln>
                  <a:noFill/>
                </a:ln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2000" b="0" i="0" u="none" strike="noStrike" kern="1200" baseline="0">
              <a:ln>
                <a:noFill/>
              </a:ln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  <c:extLst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1132" l="0.70000000000000062" r="0.70000000000000062" t="0.7500000000000113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4.5361664643855833E-2"/>
          <c:y val="5.4771748697575846E-2"/>
          <c:w val="0.95254985254732893"/>
          <c:h val="0.88710576294242249"/>
        </c:manualLayout>
      </c:layout>
      <c:lineChart>
        <c:grouping val="stacked"/>
        <c:varyColors val="0"/>
        <c:ser>
          <c:idx val="0"/>
          <c:order val="0"/>
          <c:tx>
            <c:strRef>
              <c:f>'CAD OI Chart'!$B$1</c:f>
              <c:strCache>
                <c:ptCount val="1"/>
                <c:pt idx="0">
                  <c:v>CAD Daily Futures Open Interest</c:v>
                </c:pt>
              </c:strCache>
            </c:strRef>
          </c:tx>
          <c:spPr>
            <a:ln w="50800" cap="rnd">
              <a:solidFill>
                <a:sysClr val="window" lastClr="FFFFFF"/>
              </a:solidFill>
              <a:round/>
            </a:ln>
            <a:effectLst>
              <a:outerShdw blurRad="50800" dist="38100" dir="5400000" rotWithShape="0">
                <a:srgbClr val="000000">
                  <a:alpha val="46000"/>
                </a:srgbClr>
              </a:outerShdw>
            </a:effectLst>
          </c:spPr>
          <c:marker>
            <c:symbol val="circle"/>
            <c:size val="6"/>
            <c:spPr>
              <a:solidFill>
                <a:sysClr val="windowText" lastClr="000000"/>
              </a:solidFill>
              <a:ln w="9525">
                <a:solidFill>
                  <a:sysClr val="windowText" lastClr="000000"/>
                </a:solidFill>
                <a:round/>
              </a:ln>
              <a:effectLst>
                <a:outerShdw blurRad="50800" dist="38100" dir="5400000" rotWithShape="0">
                  <a:srgbClr val="000000">
                    <a:alpha val="46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/>
              </a:scene3d>
              <a:sp3d prstMaterial="plastic">
                <a:bevelT w="25400" h="25400"/>
              </a:sp3d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900" b="1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'CAD OI Chart'!$A$2:$A$7</c:f>
              <c:numCache>
                <c:formatCode>m/d/yyyy</c:formatCode>
                <c:ptCount val="6"/>
                <c:pt idx="0">
                  <c:v>46129</c:v>
                </c:pt>
                <c:pt idx="1">
                  <c:v>46132</c:v>
                </c:pt>
                <c:pt idx="2">
                  <c:v>46133</c:v>
                </c:pt>
                <c:pt idx="3">
                  <c:v>46134</c:v>
                </c:pt>
                <c:pt idx="4">
                  <c:v>46135</c:v>
                </c:pt>
                <c:pt idx="5">
                  <c:v>46136</c:v>
                </c:pt>
              </c:numCache>
            </c:numRef>
          </c:cat>
          <c:val>
            <c:numRef>
              <c:f>'CAD OI Chart'!$B$2:$B$7</c:f>
              <c:numCache>
                <c:formatCode>_(* #,##0_);_(* \(#,##0\);_(* "-"??_);_(@_)</c:formatCode>
                <c:ptCount val="6"/>
                <c:pt idx="0">
                  <c:v>261032</c:v>
                </c:pt>
                <c:pt idx="1">
                  <c:v>260504</c:v>
                </c:pt>
                <c:pt idx="2">
                  <c:v>255128</c:v>
                </c:pt>
                <c:pt idx="3">
                  <c:v>251709</c:v>
                </c:pt>
                <c:pt idx="4">
                  <c:v>249849</c:v>
                </c:pt>
                <c:pt idx="5">
                  <c:v>249179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0F3-4A7D-98FF-CDD90D77371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19895552"/>
        <c:axId val="119897088"/>
      </c:lineChart>
      <c:catAx>
        <c:axId val="11989555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897088"/>
        <c:crosses val="autoZero"/>
        <c:auto val="0"/>
        <c:lblAlgn val="ctr"/>
        <c:lblOffset val="100"/>
        <c:noMultiLvlLbl val="1"/>
      </c:catAx>
      <c:valAx>
        <c:axId val="119897088"/>
        <c:scaling>
          <c:orientation val="minMax"/>
          <c:min val="24900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8955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2000" b="1" i="0" u="none" strike="noStrike" kern="1200" spc="100" baseline="0">
                <a:ln>
                  <a:noFill/>
                </a:ln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2000" b="0" i="0" u="none" strike="noStrike" kern="1200" baseline="0">
              <a:ln>
                <a:noFill/>
              </a:ln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  <c:extLst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1132" l="0.70000000000000062" r="0.70000000000000062" t="0.75000000000001132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4.5361664643855833E-2"/>
          <c:y val="5.4771748697575846E-2"/>
          <c:w val="0.95254985254732893"/>
          <c:h val="0.88710576294242249"/>
        </c:manualLayout>
      </c:layout>
      <c:lineChart>
        <c:grouping val="stacked"/>
        <c:varyColors val="0"/>
        <c:ser>
          <c:idx val="0"/>
          <c:order val="0"/>
          <c:tx>
            <c:strRef>
              <c:f>'Gold OI Chart'!$B$1</c:f>
              <c:strCache>
                <c:ptCount val="1"/>
                <c:pt idx="0">
                  <c:v>Gold Daily Futures Open Interest</c:v>
                </c:pt>
              </c:strCache>
            </c:strRef>
          </c:tx>
          <c:spPr>
            <a:ln w="50800" cap="rnd">
              <a:solidFill>
                <a:sysClr val="window" lastClr="FFFFFF"/>
              </a:solidFill>
              <a:round/>
            </a:ln>
            <a:effectLst>
              <a:outerShdw blurRad="50800" dist="38100" dir="5400000" rotWithShape="0">
                <a:srgbClr val="000000">
                  <a:alpha val="46000"/>
                </a:srgbClr>
              </a:outerShdw>
            </a:effectLst>
          </c:spPr>
          <c:marker>
            <c:symbol val="circle"/>
            <c:size val="6"/>
            <c:spPr>
              <a:solidFill>
                <a:sysClr val="windowText" lastClr="000000"/>
              </a:solidFill>
              <a:ln w="9525">
                <a:solidFill>
                  <a:sysClr val="windowText" lastClr="000000"/>
                </a:solidFill>
                <a:round/>
              </a:ln>
              <a:effectLst>
                <a:outerShdw blurRad="50800" dist="38100" dir="5400000" rotWithShape="0">
                  <a:srgbClr val="000000">
                    <a:alpha val="46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/>
              </a:scene3d>
              <a:sp3d prstMaterial="plastic">
                <a:bevelT w="25400" h="25400"/>
              </a:sp3d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900" b="1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'Gold OI Chart'!$A$2:$A$7</c:f>
              <c:numCache>
                <c:formatCode>m/d/yyyy</c:formatCode>
                <c:ptCount val="6"/>
                <c:pt idx="0">
                  <c:v>46129</c:v>
                </c:pt>
                <c:pt idx="1">
                  <c:v>46132</c:v>
                </c:pt>
                <c:pt idx="2">
                  <c:v>46133</c:v>
                </c:pt>
                <c:pt idx="3">
                  <c:v>46134</c:v>
                </c:pt>
                <c:pt idx="4">
                  <c:v>46135</c:v>
                </c:pt>
                <c:pt idx="5">
                  <c:v>46136</c:v>
                </c:pt>
              </c:numCache>
            </c:numRef>
          </c:cat>
          <c:val>
            <c:numRef>
              <c:f>'Gold OI Chart'!$B$2:$B$7</c:f>
              <c:numCache>
                <c:formatCode>_(* #,##0_);_(* \(#,##0\);_(* "-"??_);_(@_)</c:formatCode>
                <c:ptCount val="6"/>
                <c:pt idx="0">
                  <c:v>368202</c:v>
                </c:pt>
                <c:pt idx="1">
                  <c:v>366491</c:v>
                </c:pt>
                <c:pt idx="2">
                  <c:v>365842</c:v>
                </c:pt>
                <c:pt idx="3">
                  <c:v>366008</c:v>
                </c:pt>
                <c:pt idx="4">
                  <c:v>364471</c:v>
                </c:pt>
                <c:pt idx="5">
                  <c:v>368241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260-404A-9625-1E24D4C7989E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45571200"/>
        <c:axId val="145626240"/>
      </c:lineChart>
      <c:catAx>
        <c:axId val="14557120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5626240"/>
        <c:crosses val="autoZero"/>
        <c:auto val="0"/>
        <c:lblAlgn val="ctr"/>
        <c:lblOffset val="100"/>
        <c:noMultiLvlLbl val="1"/>
      </c:catAx>
      <c:valAx>
        <c:axId val="145626240"/>
        <c:scaling>
          <c:orientation val="minMax"/>
          <c:min val="36400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55712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2000" b="1" i="0" u="none" strike="noStrike" kern="1200" spc="100" baseline="0">
                <a:ln>
                  <a:noFill/>
                </a:ln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2000" b="0" i="0" u="none" strike="noStrike" kern="1200" baseline="0">
              <a:ln>
                <a:noFill/>
              </a:ln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  <c:extLst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1132" l="0.70000000000000062" r="0.70000000000000062" t="0.75000000000001132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4.5361664643855833E-2"/>
          <c:y val="5.4771748697575846E-2"/>
          <c:w val="0.95254985254732893"/>
          <c:h val="0.88710576294242249"/>
        </c:manualLayout>
      </c:layout>
      <c:lineChart>
        <c:grouping val="stacked"/>
        <c:varyColors val="0"/>
        <c:ser>
          <c:idx val="0"/>
          <c:order val="0"/>
          <c:tx>
            <c:strRef>
              <c:f>'Silver OI Chart'!$B$1</c:f>
              <c:strCache>
                <c:ptCount val="1"/>
                <c:pt idx="0">
                  <c:v>Silver Daily Futures Open Interest</c:v>
                </c:pt>
              </c:strCache>
            </c:strRef>
          </c:tx>
          <c:spPr>
            <a:ln w="50800" cap="rnd">
              <a:solidFill>
                <a:sysClr val="window" lastClr="FFFFFF"/>
              </a:solidFill>
              <a:round/>
            </a:ln>
            <a:effectLst>
              <a:outerShdw blurRad="50800" dist="38100" dir="5400000" rotWithShape="0">
                <a:srgbClr val="000000">
                  <a:alpha val="46000"/>
                </a:srgbClr>
              </a:outerShdw>
            </a:effectLst>
          </c:spPr>
          <c:marker>
            <c:symbol val="circle"/>
            <c:size val="6"/>
            <c:spPr>
              <a:solidFill>
                <a:sysClr val="windowText" lastClr="000000"/>
              </a:solidFill>
              <a:ln w="9525">
                <a:solidFill>
                  <a:sysClr val="windowText" lastClr="000000"/>
                </a:solidFill>
                <a:round/>
              </a:ln>
              <a:effectLst>
                <a:outerShdw blurRad="50800" dist="38100" dir="5400000" rotWithShape="0">
                  <a:srgbClr val="000000">
                    <a:alpha val="46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/>
              </a:scene3d>
              <a:sp3d prstMaterial="plastic">
                <a:bevelT w="25400" h="25400"/>
              </a:sp3d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900" b="1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'Silver OI Chart'!$A$2:$A$7</c:f>
              <c:numCache>
                <c:formatCode>m/d/yyyy</c:formatCode>
                <c:ptCount val="6"/>
                <c:pt idx="0">
                  <c:v>46129</c:v>
                </c:pt>
                <c:pt idx="1">
                  <c:v>46132</c:v>
                </c:pt>
                <c:pt idx="2">
                  <c:v>46133</c:v>
                </c:pt>
                <c:pt idx="3">
                  <c:v>46134</c:v>
                </c:pt>
                <c:pt idx="4">
                  <c:v>46135</c:v>
                </c:pt>
                <c:pt idx="5">
                  <c:v>46136</c:v>
                </c:pt>
              </c:numCache>
            </c:numRef>
          </c:cat>
          <c:val>
            <c:numRef>
              <c:f>'Silver OI Chart'!$B$2:$B$7</c:f>
              <c:numCache>
                <c:formatCode>_(* #,##0_);_(* \(#,##0\);_(* "-"??_);_(@_)</c:formatCode>
                <c:ptCount val="6"/>
                <c:pt idx="0">
                  <c:v>117836</c:v>
                </c:pt>
                <c:pt idx="1">
                  <c:v>117265</c:v>
                </c:pt>
                <c:pt idx="2">
                  <c:v>115462</c:v>
                </c:pt>
                <c:pt idx="3">
                  <c:v>114173</c:v>
                </c:pt>
                <c:pt idx="4">
                  <c:v>112566</c:v>
                </c:pt>
                <c:pt idx="5">
                  <c:v>110587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EE7-42D2-A2EE-766973A6DBB5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45769984"/>
        <c:axId val="145771520"/>
      </c:lineChart>
      <c:catAx>
        <c:axId val="14576998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5771520"/>
        <c:crosses val="autoZero"/>
        <c:auto val="0"/>
        <c:lblAlgn val="ctr"/>
        <c:lblOffset val="100"/>
        <c:noMultiLvlLbl val="1"/>
      </c:catAx>
      <c:valAx>
        <c:axId val="145771520"/>
        <c:scaling>
          <c:orientation val="minMax"/>
          <c:min val="11050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57699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2000" b="1" i="0" u="none" strike="noStrike" kern="1200" spc="100" baseline="0">
                <a:ln>
                  <a:noFill/>
                </a:ln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2000" b="0" i="0" u="none" strike="noStrike" kern="1200" baseline="0">
              <a:ln>
                <a:noFill/>
              </a:ln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  <c:extLst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1132" l="0.70000000000000062" r="0.70000000000000062" t="0.75000000000001132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4.5361664643855833E-2"/>
          <c:y val="5.4771748697575846E-2"/>
          <c:w val="0.95254985254732893"/>
          <c:h val="0.88710576294242249"/>
        </c:manualLayout>
      </c:layout>
      <c:lineChart>
        <c:grouping val="stacked"/>
        <c:varyColors val="0"/>
        <c:ser>
          <c:idx val="0"/>
          <c:order val="0"/>
          <c:tx>
            <c:strRef>
              <c:f>'Copper OI Chart'!$B$1</c:f>
              <c:strCache>
                <c:ptCount val="1"/>
                <c:pt idx="0">
                  <c:v>Copper Daily Futures Open Interest</c:v>
                </c:pt>
              </c:strCache>
            </c:strRef>
          </c:tx>
          <c:spPr>
            <a:ln w="50800" cap="rnd">
              <a:solidFill>
                <a:sysClr val="window" lastClr="FFFFFF"/>
              </a:solidFill>
              <a:round/>
            </a:ln>
            <a:effectLst>
              <a:outerShdw blurRad="50800" dist="38100" dir="5400000" rotWithShape="0">
                <a:srgbClr val="000000">
                  <a:alpha val="46000"/>
                </a:srgbClr>
              </a:outerShdw>
            </a:effectLst>
          </c:spPr>
          <c:marker>
            <c:symbol val="circle"/>
            <c:size val="6"/>
            <c:spPr>
              <a:solidFill>
                <a:sysClr val="windowText" lastClr="000000"/>
              </a:solidFill>
              <a:ln w="9525">
                <a:solidFill>
                  <a:sysClr val="windowText" lastClr="000000"/>
                </a:solidFill>
                <a:round/>
              </a:ln>
              <a:effectLst>
                <a:outerShdw blurRad="50800" dist="38100" dir="5400000" rotWithShape="0">
                  <a:srgbClr val="000000">
                    <a:alpha val="46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/>
              </a:scene3d>
              <a:sp3d prstMaterial="plastic">
                <a:bevelT w="25400" h="25400"/>
              </a:sp3d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900" b="1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'Copper OI Chart'!$A$2:$A$7</c:f>
              <c:numCache>
                <c:formatCode>m/d/yyyy</c:formatCode>
                <c:ptCount val="6"/>
                <c:pt idx="0">
                  <c:v>46129</c:v>
                </c:pt>
                <c:pt idx="1">
                  <c:v>46132</c:v>
                </c:pt>
                <c:pt idx="2">
                  <c:v>46133</c:v>
                </c:pt>
                <c:pt idx="3">
                  <c:v>46134</c:v>
                </c:pt>
                <c:pt idx="4">
                  <c:v>46135</c:v>
                </c:pt>
                <c:pt idx="5">
                  <c:v>46136</c:v>
                </c:pt>
              </c:numCache>
            </c:numRef>
          </c:cat>
          <c:val>
            <c:numRef>
              <c:f>'Copper OI Chart'!$B$2:$B$7</c:f>
              <c:numCache>
                <c:formatCode>_(* #,##0_);_(* \(#,##0\);_(* "-"??_);_(@_)</c:formatCode>
                <c:ptCount val="6"/>
                <c:pt idx="0">
                  <c:v>252852</c:v>
                </c:pt>
                <c:pt idx="1">
                  <c:v>252425</c:v>
                </c:pt>
                <c:pt idx="2">
                  <c:v>250504</c:v>
                </c:pt>
                <c:pt idx="3">
                  <c:v>257130</c:v>
                </c:pt>
                <c:pt idx="4">
                  <c:v>253321</c:v>
                </c:pt>
                <c:pt idx="5">
                  <c:v>250026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A5A-47C6-AB2B-08F6AA8A9A14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45841536"/>
        <c:axId val="145855616"/>
      </c:lineChart>
      <c:catAx>
        <c:axId val="14584153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5855616"/>
        <c:crosses val="autoZero"/>
        <c:auto val="0"/>
        <c:lblAlgn val="ctr"/>
        <c:lblOffset val="100"/>
        <c:noMultiLvlLbl val="1"/>
      </c:catAx>
      <c:valAx>
        <c:axId val="145855616"/>
        <c:scaling>
          <c:orientation val="minMax"/>
          <c:min val="22000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58415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2000" b="1" i="0" u="none" strike="noStrike" kern="1200" spc="100" baseline="0">
                <a:ln>
                  <a:noFill/>
                </a:ln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2000" b="0" i="0" u="none" strike="noStrike" kern="1200" baseline="0">
              <a:ln>
                <a:noFill/>
              </a:ln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  <c:extLst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1132" l="0.70000000000000062" r="0.70000000000000062" t="0.75000000000001132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4.5361664643855833E-2"/>
          <c:y val="5.4771748697575846E-2"/>
          <c:w val="0.95254985254732893"/>
          <c:h val="0.88710576294242249"/>
        </c:manualLayout>
      </c:layout>
      <c:lineChart>
        <c:grouping val="stacked"/>
        <c:varyColors val="0"/>
        <c:ser>
          <c:idx val="0"/>
          <c:order val="0"/>
          <c:tx>
            <c:strRef>
              <c:f>'OIL OI Chart'!$B$1</c:f>
              <c:strCache>
                <c:ptCount val="1"/>
                <c:pt idx="0">
                  <c:v>Crude Oil Daily Futures Open Interest</c:v>
                </c:pt>
              </c:strCache>
            </c:strRef>
          </c:tx>
          <c:spPr>
            <a:ln w="50800" cap="rnd">
              <a:solidFill>
                <a:sysClr val="window" lastClr="FFFFFF"/>
              </a:solidFill>
              <a:round/>
            </a:ln>
            <a:effectLst>
              <a:outerShdw blurRad="50800" dist="38100" dir="5400000" rotWithShape="0">
                <a:srgbClr val="000000">
                  <a:alpha val="46000"/>
                </a:srgbClr>
              </a:outerShdw>
            </a:effectLst>
          </c:spPr>
          <c:marker>
            <c:symbol val="circle"/>
            <c:size val="6"/>
            <c:spPr>
              <a:solidFill>
                <a:sysClr val="windowText" lastClr="000000"/>
              </a:solidFill>
              <a:ln w="9525">
                <a:solidFill>
                  <a:sysClr val="windowText" lastClr="000000"/>
                </a:solidFill>
                <a:round/>
              </a:ln>
              <a:effectLst>
                <a:outerShdw blurRad="50800" dist="38100" dir="5400000" rotWithShape="0">
                  <a:srgbClr val="000000">
                    <a:alpha val="46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/>
              </a:scene3d>
              <a:sp3d prstMaterial="plastic">
                <a:bevelT w="25400" h="25400"/>
              </a:sp3d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900" b="1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'OIL OI Chart'!$A$2:$A$7</c:f>
              <c:numCache>
                <c:formatCode>m/d/yyyy</c:formatCode>
                <c:ptCount val="6"/>
                <c:pt idx="0">
                  <c:v>46129</c:v>
                </c:pt>
                <c:pt idx="1">
                  <c:v>46132</c:v>
                </c:pt>
                <c:pt idx="2">
                  <c:v>46133</c:v>
                </c:pt>
                <c:pt idx="3">
                  <c:v>46134</c:v>
                </c:pt>
                <c:pt idx="4">
                  <c:v>46135</c:v>
                </c:pt>
                <c:pt idx="5">
                  <c:v>46136</c:v>
                </c:pt>
              </c:numCache>
            </c:numRef>
          </c:cat>
          <c:val>
            <c:numRef>
              <c:f>'OIL OI Chart'!$B$2:$B$7</c:f>
              <c:numCache>
                <c:formatCode>_(* #,##0_);_(* \(#,##0\);_(* "-"??_);_(@_)</c:formatCode>
                <c:ptCount val="6"/>
                <c:pt idx="0">
                  <c:v>2026576</c:v>
                </c:pt>
                <c:pt idx="1">
                  <c:v>1994974</c:v>
                </c:pt>
                <c:pt idx="2">
                  <c:v>1984747</c:v>
                </c:pt>
                <c:pt idx="3">
                  <c:v>1988692</c:v>
                </c:pt>
                <c:pt idx="4">
                  <c:v>1990645</c:v>
                </c:pt>
                <c:pt idx="5">
                  <c:v>2000131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9E3-4E79-A44F-1AAB2ABFDD02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45704448"/>
        <c:axId val="145705984"/>
      </c:lineChart>
      <c:catAx>
        <c:axId val="14570444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5705984"/>
        <c:crosses val="autoZero"/>
        <c:auto val="0"/>
        <c:lblAlgn val="ctr"/>
        <c:lblOffset val="100"/>
        <c:noMultiLvlLbl val="1"/>
      </c:catAx>
      <c:valAx>
        <c:axId val="145705984"/>
        <c:scaling>
          <c:orientation val="minMax"/>
          <c:min val="2021999.999999999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57044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2000" b="1" i="0" u="none" strike="noStrike" kern="1200" spc="100" baseline="0">
                <a:ln>
                  <a:noFill/>
                </a:ln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2000" b="0" i="0" u="none" strike="noStrike" kern="1200" baseline="0">
              <a:ln>
                <a:noFill/>
              </a:ln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  <c:extLst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1132" l="0.70000000000000062" r="0.70000000000000062" t="0.75000000000001132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4.5361664643855833E-2"/>
          <c:y val="5.4771748697575846E-2"/>
          <c:w val="0.95254985254732893"/>
          <c:h val="0.88710576294242249"/>
        </c:manualLayout>
      </c:layout>
      <c:lineChart>
        <c:grouping val="stacked"/>
        <c:varyColors val="0"/>
        <c:ser>
          <c:idx val="0"/>
          <c:order val="0"/>
          <c:tx>
            <c:strRef>
              <c:f>'N-Gas OI Chart'!$B$1</c:f>
              <c:strCache>
                <c:ptCount val="1"/>
                <c:pt idx="0">
                  <c:v>Natural Gas Daily Futures Open Interest</c:v>
                </c:pt>
              </c:strCache>
            </c:strRef>
          </c:tx>
          <c:spPr>
            <a:ln w="50800" cap="rnd">
              <a:solidFill>
                <a:sysClr val="window" lastClr="FFFFFF"/>
              </a:solidFill>
              <a:round/>
            </a:ln>
            <a:effectLst>
              <a:outerShdw blurRad="50800" dist="38100" dir="5400000" rotWithShape="0">
                <a:srgbClr val="000000">
                  <a:alpha val="46000"/>
                </a:srgbClr>
              </a:outerShdw>
            </a:effectLst>
          </c:spPr>
          <c:marker>
            <c:symbol val="circle"/>
            <c:size val="6"/>
            <c:spPr>
              <a:solidFill>
                <a:sysClr val="windowText" lastClr="000000"/>
              </a:solidFill>
              <a:ln w="9525">
                <a:solidFill>
                  <a:sysClr val="windowText" lastClr="000000"/>
                </a:solidFill>
                <a:round/>
              </a:ln>
              <a:effectLst>
                <a:outerShdw blurRad="50800" dist="38100" dir="5400000" rotWithShape="0">
                  <a:srgbClr val="000000">
                    <a:alpha val="46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/>
              </a:scene3d>
              <a:sp3d prstMaterial="plastic">
                <a:bevelT w="25400" h="25400"/>
              </a:sp3d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900" b="1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'N-Gas OI Chart'!$A$2:$A$7</c:f>
              <c:numCache>
                <c:formatCode>m/d/yyyy</c:formatCode>
                <c:ptCount val="6"/>
                <c:pt idx="0">
                  <c:v>46129</c:v>
                </c:pt>
                <c:pt idx="1">
                  <c:v>46132</c:v>
                </c:pt>
                <c:pt idx="2">
                  <c:v>46133</c:v>
                </c:pt>
                <c:pt idx="3">
                  <c:v>46134</c:v>
                </c:pt>
                <c:pt idx="4">
                  <c:v>46135</c:v>
                </c:pt>
                <c:pt idx="5">
                  <c:v>46136</c:v>
                </c:pt>
              </c:numCache>
            </c:numRef>
          </c:cat>
          <c:val>
            <c:numRef>
              <c:f>'N-Gas OI Chart'!$B$2:$B$7</c:f>
              <c:numCache>
                <c:formatCode>_(* #,##0_);_(* \(#,##0\);_(* "-"??_);_(@_)</c:formatCode>
                <c:ptCount val="6"/>
                <c:pt idx="0">
                  <c:v>1578791</c:v>
                </c:pt>
                <c:pt idx="1">
                  <c:v>1583233</c:v>
                </c:pt>
                <c:pt idx="2">
                  <c:v>1576663</c:v>
                </c:pt>
                <c:pt idx="3">
                  <c:v>1575557</c:v>
                </c:pt>
                <c:pt idx="4">
                  <c:v>1580834</c:v>
                </c:pt>
                <c:pt idx="5">
                  <c:v>1589567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0AB-49DF-8FE7-94B69231B540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18001024"/>
        <c:axId val="146093184"/>
      </c:lineChart>
      <c:catAx>
        <c:axId val="11800102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6093184"/>
        <c:crosses val="autoZero"/>
        <c:auto val="0"/>
        <c:lblAlgn val="ctr"/>
        <c:lblOffset val="100"/>
        <c:noMultiLvlLbl val="1"/>
      </c:catAx>
      <c:valAx>
        <c:axId val="146093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0010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2000" b="1" i="0" u="none" strike="noStrike" kern="1200" spc="100" baseline="0">
                <a:ln>
                  <a:noFill/>
                </a:ln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2000" b="0" i="0" u="none" strike="noStrike" kern="1200" baseline="0">
              <a:ln>
                <a:noFill/>
              </a:ln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  <c:extLst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1132" l="0.70000000000000062" r="0.70000000000000062" t="0.75000000000001132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4.5361664643855833E-2"/>
          <c:y val="5.4771748697575846E-2"/>
          <c:w val="0.95254985254732893"/>
          <c:h val="0.88710576294242249"/>
        </c:manualLayout>
      </c:layout>
      <c:lineChart>
        <c:grouping val="stacked"/>
        <c:varyColors val="0"/>
        <c:ser>
          <c:idx val="0"/>
          <c:order val="0"/>
          <c:tx>
            <c:strRef>
              <c:f>'E-mini S&amp;P 500 OI Chart'!$B$1</c:f>
              <c:strCache>
                <c:ptCount val="1"/>
                <c:pt idx="0">
                  <c:v>E-mini S&amp;P 500 Daily Futures Open Interest</c:v>
                </c:pt>
              </c:strCache>
            </c:strRef>
          </c:tx>
          <c:spPr>
            <a:ln w="50800" cap="rnd">
              <a:solidFill>
                <a:sysClr val="window" lastClr="FFFFFF"/>
              </a:solidFill>
              <a:round/>
            </a:ln>
            <a:effectLst>
              <a:outerShdw blurRad="50800" dist="38100" dir="5400000" rotWithShape="0">
                <a:srgbClr val="000000">
                  <a:alpha val="46000"/>
                </a:srgbClr>
              </a:outerShdw>
            </a:effectLst>
          </c:spPr>
          <c:marker>
            <c:symbol val="circle"/>
            <c:size val="6"/>
            <c:spPr>
              <a:solidFill>
                <a:sysClr val="windowText" lastClr="000000"/>
              </a:solidFill>
              <a:ln w="9525">
                <a:solidFill>
                  <a:sysClr val="windowText" lastClr="000000"/>
                </a:solidFill>
                <a:round/>
              </a:ln>
              <a:effectLst>
                <a:outerShdw blurRad="50800" dist="38100" dir="5400000" rotWithShape="0">
                  <a:srgbClr val="000000">
                    <a:alpha val="46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/>
              </a:scene3d>
              <a:sp3d prstMaterial="plastic">
                <a:bevelT w="25400" h="25400"/>
              </a:sp3d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900" b="1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'E-mini S&amp;P 500 OI Chart'!$A$2:$A$7</c:f>
              <c:numCache>
                <c:formatCode>m/d/yyyy</c:formatCode>
                <c:ptCount val="6"/>
                <c:pt idx="0">
                  <c:v>46129</c:v>
                </c:pt>
                <c:pt idx="1">
                  <c:v>46132</c:v>
                </c:pt>
                <c:pt idx="2">
                  <c:v>46133</c:v>
                </c:pt>
                <c:pt idx="3">
                  <c:v>46134</c:v>
                </c:pt>
                <c:pt idx="4">
                  <c:v>46135</c:v>
                </c:pt>
                <c:pt idx="5">
                  <c:v>46136</c:v>
                </c:pt>
              </c:numCache>
            </c:numRef>
          </c:cat>
          <c:val>
            <c:numRef>
              <c:f>'E-mini S&amp;P 500 OI Chart'!$B$2:$B$7</c:f>
              <c:numCache>
                <c:formatCode>_(* #,##0_);_(* \(#,##0\);_(* "-"??_);_(@_)</c:formatCode>
                <c:ptCount val="6"/>
                <c:pt idx="0">
                  <c:v>1969043</c:v>
                </c:pt>
                <c:pt idx="1">
                  <c:v>1962204</c:v>
                </c:pt>
                <c:pt idx="2">
                  <c:v>1963317</c:v>
                </c:pt>
                <c:pt idx="3">
                  <c:v>1963408</c:v>
                </c:pt>
                <c:pt idx="4">
                  <c:v>1964936</c:v>
                </c:pt>
                <c:pt idx="5">
                  <c:v>1970654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D3B-48D6-9B30-CF69EDC0AB81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46184064"/>
        <c:axId val="146185600"/>
      </c:lineChart>
      <c:catAx>
        <c:axId val="14618406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6185600"/>
        <c:crosses val="autoZero"/>
        <c:auto val="0"/>
        <c:lblAlgn val="ctr"/>
        <c:lblOffset val="100"/>
        <c:noMultiLvlLbl val="1"/>
      </c:catAx>
      <c:valAx>
        <c:axId val="146185600"/>
        <c:scaling>
          <c:orientation val="minMax"/>
          <c:min val="1946999.999999999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61840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2000" b="1" i="0" u="none" strike="noStrike" kern="1200" spc="100" baseline="0">
                <a:ln>
                  <a:noFill/>
                </a:ln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2000" b="0" i="0" u="none" strike="noStrike" kern="1200" baseline="0">
              <a:ln>
                <a:noFill/>
              </a:ln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  <c:extLst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1132" l="0.70000000000000062" r="0.70000000000000062" t="0.75000000000001132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4.5361664643855833E-2"/>
          <c:y val="5.4771748697575846E-2"/>
          <c:w val="0.95254985254732893"/>
          <c:h val="0.88710576294242249"/>
        </c:manualLayout>
      </c:layout>
      <c:lineChart>
        <c:grouping val="stacked"/>
        <c:varyColors val="0"/>
        <c:ser>
          <c:idx val="0"/>
          <c:order val="0"/>
          <c:tx>
            <c:strRef>
              <c:f>'E-mini Nadaq-100 OI Chart'!$B$1</c:f>
              <c:strCache>
                <c:ptCount val="1"/>
                <c:pt idx="0">
                  <c:v>E-mini Nasdaq-100 Daily Futures Open Interest</c:v>
                </c:pt>
              </c:strCache>
            </c:strRef>
          </c:tx>
          <c:spPr>
            <a:ln w="50800" cap="rnd">
              <a:solidFill>
                <a:sysClr val="window" lastClr="FFFFFF"/>
              </a:solidFill>
              <a:round/>
            </a:ln>
            <a:effectLst>
              <a:outerShdw blurRad="50800" dist="38100" dir="5400000" rotWithShape="0">
                <a:srgbClr val="000000">
                  <a:alpha val="46000"/>
                </a:srgbClr>
              </a:outerShdw>
            </a:effectLst>
          </c:spPr>
          <c:marker>
            <c:symbol val="circle"/>
            <c:size val="6"/>
            <c:spPr>
              <a:solidFill>
                <a:sysClr val="windowText" lastClr="000000"/>
              </a:solidFill>
              <a:ln w="9525">
                <a:solidFill>
                  <a:sysClr val="windowText" lastClr="000000"/>
                </a:solidFill>
                <a:round/>
              </a:ln>
              <a:effectLst>
                <a:outerShdw blurRad="50800" dist="38100" dir="5400000" rotWithShape="0">
                  <a:srgbClr val="000000">
                    <a:alpha val="46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/>
              </a:scene3d>
              <a:sp3d prstMaterial="plastic">
                <a:bevelT w="25400" h="25400"/>
              </a:sp3d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900" b="1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'E-mini Nadaq-100 OI Chart'!$A$2:$A$7</c:f>
              <c:numCache>
                <c:formatCode>m/d/yyyy</c:formatCode>
                <c:ptCount val="6"/>
                <c:pt idx="0">
                  <c:v>46129</c:v>
                </c:pt>
                <c:pt idx="1">
                  <c:v>46132</c:v>
                </c:pt>
                <c:pt idx="2">
                  <c:v>46133</c:v>
                </c:pt>
                <c:pt idx="3">
                  <c:v>46134</c:v>
                </c:pt>
                <c:pt idx="4">
                  <c:v>46135</c:v>
                </c:pt>
                <c:pt idx="5">
                  <c:v>46136</c:v>
                </c:pt>
              </c:numCache>
            </c:numRef>
          </c:cat>
          <c:val>
            <c:numRef>
              <c:f>'E-mini Nadaq-100 OI Chart'!$B$2:$B$7</c:f>
              <c:numCache>
                <c:formatCode>_(* #,##0_);_(* \(#,##0\);_(* "-"??_);_(@_)</c:formatCode>
                <c:ptCount val="6"/>
                <c:pt idx="0">
                  <c:v>264625</c:v>
                </c:pt>
                <c:pt idx="1">
                  <c:v>271088</c:v>
                </c:pt>
                <c:pt idx="2">
                  <c:v>267620</c:v>
                </c:pt>
                <c:pt idx="3">
                  <c:v>270960</c:v>
                </c:pt>
                <c:pt idx="4">
                  <c:v>269869</c:v>
                </c:pt>
                <c:pt idx="5">
                  <c:v>278000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C0C-41F2-9407-408DB600B5E1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46268160"/>
        <c:axId val="146269696"/>
      </c:lineChart>
      <c:catAx>
        <c:axId val="14626816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6269696"/>
        <c:crosses val="autoZero"/>
        <c:auto val="0"/>
        <c:lblAlgn val="ctr"/>
        <c:lblOffset val="100"/>
        <c:noMultiLvlLbl val="1"/>
      </c:catAx>
      <c:valAx>
        <c:axId val="146269696"/>
        <c:scaling>
          <c:orientation val="minMax"/>
          <c:min val="25000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62681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2000" b="1" i="0" u="none" strike="noStrike" kern="1200" spc="100" baseline="0">
                <a:ln>
                  <a:noFill/>
                </a:ln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2000" b="0" i="0" u="none" strike="noStrike" kern="1200" baseline="0">
              <a:ln>
                <a:noFill/>
              </a:ln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  <c:extLst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1132" l="0.70000000000000062" r="0.70000000000000062" t="0.75000000000001132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4.5361664643855833E-2"/>
          <c:y val="5.4771748697575846E-2"/>
          <c:w val="0.95254985254732893"/>
          <c:h val="0.88710576294242249"/>
        </c:manualLayout>
      </c:layout>
      <c:lineChart>
        <c:grouping val="stacked"/>
        <c:varyColors val="0"/>
        <c:ser>
          <c:idx val="0"/>
          <c:order val="0"/>
          <c:tx>
            <c:strRef>
              <c:f>'E-mini Dow ($5) OI Chart'!$B$1</c:f>
              <c:strCache>
                <c:ptCount val="1"/>
                <c:pt idx="0">
                  <c:v>E-mini Dow ($5) Daily Futures Open Interest</c:v>
                </c:pt>
              </c:strCache>
            </c:strRef>
          </c:tx>
          <c:spPr>
            <a:ln w="50800" cap="rnd">
              <a:solidFill>
                <a:sysClr val="window" lastClr="FFFFFF"/>
              </a:solidFill>
              <a:round/>
            </a:ln>
            <a:effectLst>
              <a:outerShdw blurRad="50800" dist="38100" dir="5400000" rotWithShape="0">
                <a:srgbClr val="000000">
                  <a:alpha val="46000"/>
                </a:srgbClr>
              </a:outerShdw>
            </a:effectLst>
          </c:spPr>
          <c:marker>
            <c:symbol val="circle"/>
            <c:size val="6"/>
            <c:spPr>
              <a:solidFill>
                <a:sysClr val="windowText" lastClr="000000"/>
              </a:solidFill>
              <a:ln w="9525">
                <a:solidFill>
                  <a:sysClr val="windowText" lastClr="000000"/>
                </a:solidFill>
                <a:round/>
              </a:ln>
              <a:effectLst>
                <a:outerShdw blurRad="50800" dist="38100" dir="5400000" rotWithShape="0">
                  <a:srgbClr val="000000">
                    <a:alpha val="46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/>
              </a:scene3d>
              <a:sp3d prstMaterial="plastic">
                <a:bevelT w="25400" h="25400"/>
              </a:sp3d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900" b="1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'E-mini Dow ($5) OI Chart'!$A$2:$A$7</c:f>
              <c:numCache>
                <c:formatCode>m/d/yyyy</c:formatCode>
                <c:ptCount val="6"/>
                <c:pt idx="0">
                  <c:v>46129</c:v>
                </c:pt>
                <c:pt idx="1">
                  <c:v>46132</c:v>
                </c:pt>
                <c:pt idx="2">
                  <c:v>46133</c:v>
                </c:pt>
                <c:pt idx="3">
                  <c:v>46134</c:v>
                </c:pt>
                <c:pt idx="4">
                  <c:v>46135</c:v>
                </c:pt>
                <c:pt idx="5">
                  <c:v>46136</c:v>
                </c:pt>
              </c:numCache>
            </c:numRef>
          </c:cat>
          <c:val>
            <c:numRef>
              <c:f>'E-mini Dow ($5) OI Chart'!$B$2:$B$7</c:f>
              <c:numCache>
                <c:formatCode>_(* #,##0_);_(* \(#,##0\);_(* "-"??_);_(@_)</c:formatCode>
                <c:ptCount val="6"/>
                <c:pt idx="0">
                  <c:v>71068</c:v>
                </c:pt>
                <c:pt idx="1">
                  <c:v>70536</c:v>
                </c:pt>
                <c:pt idx="2">
                  <c:v>71200</c:v>
                </c:pt>
                <c:pt idx="3">
                  <c:v>71644</c:v>
                </c:pt>
                <c:pt idx="4">
                  <c:v>73405</c:v>
                </c:pt>
                <c:pt idx="5">
                  <c:v>74259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FF0-4AC2-BD69-8CC23B37BF5D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46347904"/>
        <c:axId val="146349440"/>
      </c:lineChart>
      <c:catAx>
        <c:axId val="14634790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6349440"/>
        <c:crosses val="autoZero"/>
        <c:auto val="0"/>
        <c:lblAlgn val="ctr"/>
        <c:lblOffset val="100"/>
        <c:noMultiLvlLbl val="1"/>
      </c:catAx>
      <c:valAx>
        <c:axId val="146349440"/>
        <c:scaling>
          <c:orientation val="minMax"/>
          <c:min val="6700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63479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2000" b="1" i="0" u="none" strike="noStrike" kern="1200" spc="100" baseline="0">
                <a:ln>
                  <a:noFill/>
                </a:ln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2000" b="0" i="0" u="none" strike="noStrike" kern="1200" baseline="0">
              <a:ln>
                <a:noFill/>
              </a:ln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  <c:extLst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1132" l="0.70000000000000062" r="0.70000000000000062" t="0.75000000000001132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4.5361664643855833E-2"/>
          <c:y val="5.4771748697575846E-2"/>
          <c:w val="0.95254985254732893"/>
          <c:h val="0.88710576294242249"/>
        </c:manualLayout>
      </c:layout>
      <c:lineChart>
        <c:grouping val="stacked"/>
        <c:varyColors val="0"/>
        <c:ser>
          <c:idx val="0"/>
          <c:order val="0"/>
          <c:tx>
            <c:strRef>
              <c:f>'E-mini Russel OI Chart'!$B$1</c:f>
              <c:strCache>
                <c:ptCount val="1"/>
                <c:pt idx="0">
                  <c:v>E-mini Russell 2000 Daily Futures Open Interest</c:v>
                </c:pt>
              </c:strCache>
            </c:strRef>
          </c:tx>
          <c:spPr>
            <a:ln w="50800" cap="rnd">
              <a:solidFill>
                <a:sysClr val="window" lastClr="FFFFFF"/>
              </a:solidFill>
              <a:round/>
            </a:ln>
            <a:effectLst>
              <a:outerShdw blurRad="50800" dist="38100" dir="5400000" rotWithShape="0">
                <a:srgbClr val="000000">
                  <a:alpha val="46000"/>
                </a:srgbClr>
              </a:outerShdw>
            </a:effectLst>
          </c:spPr>
          <c:marker>
            <c:symbol val="circle"/>
            <c:size val="6"/>
            <c:spPr>
              <a:solidFill>
                <a:sysClr val="windowText" lastClr="000000"/>
              </a:solidFill>
              <a:ln w="9525">
                <a:solidFill>
                  <a:sysClr val="windowText" lastClr="000000"/>
                </a:solidFill>
                <a:round/>
              </a:ln>
              <a:effectLst>
                <a:outerShdw blurRad="50800" dist="38100" dir="5400000" rotWithShape="0">
                  <a:srgbClr val="000000">
                    <a:alpha val="46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/>
              </a:scene3d>
              <a:sp3d prstMaterial="plastic">
                <a:bevelT w="25400" h="25400"/>
              </a:sp3d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900" b="1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'E-mini Russel OI Chart'!$A$2:$A$7</c:f>
              <c:numCache>
                <c:formatCode>m/d/yyyy</c:formatCode>
                <c:ptCount val="6"/>
                <c:pt idx="0">
                  <c:v>46129</c:v>
                </c:pt>
                <c:pt idx="1">
                  <c:v>46132</c:v>
                </c:pt>
                <c:pt idx="2">
                  <c:v>46133</c:v>
                </c:pt>
                <c:pt idx="3">
                  <c:v>46134</c:v>
                </c:pt>
                <c:pt idx="4">
                  <c:v>46135</c:v>
                </c:pt>
                <c:pt idx="5">
                  <c:v>46136</c:v>
                </c:pt>
              </c:numCache>
            </c:numRef>
          </c:cat>
          <c:val>
            <c:numRef>
              <c:f>'E-mini Russel OI Chart'!$B$2:$B$7</c:f>
              <c:numCache>
                <c:formatCode>_(* #,##0_);_(* \(#,##0\);_(* "-"??_);_(@_)</c:formatCode>
                <c:ptCount val="6"/>
                <c:pt idx="0">
                  <c:v>411483</c:v>
                </c:pt>
                <c:pt idx="1">
                  <c:v>412145</c:v>
                </c:pt>
                <c:pt idx="2">
                  <c:v>411435</c:v>
                </c:pt>
                <c:pt idx="3">
                  <c:v>409193</c:v>
                </c:pt>
                <c:pt idx="4">
                  <c:v>405726</c:v>
                </c:pt>
                <c:pt idx="5">
                  <c:v>405450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D41-4F7B-BA66-7FB211C578C4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46347904"/>
        <c:axId val="146349440"/>
      </c:lineChart>
      <c:catAx>
        <c:axId val="14634790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6349440"/>
        <c:crosses val="autoZero"/>
        <c:auto val="0"/>
        <c:lblAlgn val="ctr"/>
        <c:lblOffset val="100"/>
        <c:noMultiLvlLbl val="1"/>
      </c:catAx>
      <c:valAx>
        <c:axId val="146349440"/>
        <c:scaling>
          <c:orientation val="minMax"/>
          <c:min val="39500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63479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2000" b="1" i="0" u="none" strike="noStrike" kern="1200" spc="100" baseline="0">
                <a:ln>
                  <a:noFill/>
                </a:ln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2000" b="0" i="0" u="none" strike="noStrike" kern="1200" baseline="0">
              <a:ln>
                <a:noFill/>
              </a:ln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  <c:extLst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1132" l="0.70000000000000062" r="0.70000000000000062" t="0.75000000000001132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4.5361664643855833E-2"/>
          <c:y val="5.4771748697575846E-2"/>
          <c:w val="0.95254985254732893"/>
          <c:h val="0.88710576294242249"/>
        </c:manualLayout>
      </c:layout>
      <c:lineChart>
        <c:grouping val="stacked"/>
        <c:varyColors val="0"/>
        <c:ser>
          <c:idx val="0"/>
          <c:order val="0"/>
          <c:tx>
            <c:strRef>
              <c:f>'DAX OI Chart'!$B$1</c:f>
              <c:strCache>
                <c:ptCount val="1"/>
                <c:pt idx="0">
                  <c:v>DAX Daily Futures Open Interest</c:v>
                </c:pt>
              </c:strCache>
            </c:strRef>
          </c:tx>
          <c:spPr>
            <a:ln w="50800" cap="rnd">
              <a:solidFill>
                <a:sysClr val="window" lastClr="FFFFFF"/>
              </a:solidFill>
              <a:round/>
            </a:ln>
            <a:effectLst>
              <a:outerShdw blurRad="50800" dist="38100" dir="5400000" rotWithShape="0">
                <a:srgbClr val="000000">
                  <a:alpha val="46000"/>
                </a:srgbClr>
              </a:outerShdw>
            </a:effectLst>
          </c:spPr>
          <c:marker>
            <c:symbol val="circle"/>
            <c:size val="6"/>
            <c:spPr>
              <a:solidFill>
                <a:sysClr val="windowText" lastClr="000000"/>
              </a:solidFill>
              <a:ln w="9525">
                <a:solidFill>
                  <a:sysClr val="windowText" lastClr="000000"/>
                </a:solidFill>
                <a:round/>
              </a:ln>
              <a:effectLst>
                <a:outerShdw blurRad="50800" dist="38100" dir="5400000" rotWithShape="0">
                  <a:srgbClr val="000000">
                    <a:alpha val="46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/>
              </a:scene3d>
              <a:sp3d prstMaterial="plastic">
                <a:bevelT w="25400" h="25400"/>
              </a:sp3d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'DAX OI Chart'!$A$2:$A$7</c:f>
              <c:numCache>
                <c:formatCode>m/d/yyyy</c:formatCode>
                <c:ptCount val="6"/>
                <c:pt idx="0">
                  <c:v>46129</c:v>
                </c:pt>
                <c:pt idx="1">
                  <c:v>46132</c:v>
                </c:pt>
                <c:pt idx="2">
                  <c:v>46133</c:v>
                </c:pt>
                <c:pt idx="3">
                  <c:v>46134</c:v>
                </c:pt>
                <c:pt idx="4">
                  <c:v>46135</c:v>
                </c:pt>
                <c:pt idx="5">
                  <c:v>46136</c:v>
                </c:pt>
              </c:numCache>
            </c:numRef>
          </c:cat>
          <c:val>
            <c:numRef>
              <c:f>'DAX OI Chart'!$B$2:$B$7</c:f>
              <c:numCache>
                <c:formatCode>_(* #,##0_);_(* \(#,##0\);_(* "-"??_);_(@_)</c:formatCode>
                <c:ptCount val="6"/>
                <c:pt idx="0">
                  <c:v>47714</c:v>
                </c:pt>
                <c:pt idx="1">
                  <c:v>44165</c:v>
                </c:pt>
                <c:pt idx="2">
                  <c:v>45187</c:v>
                </c:pt>
                <c:pt idx="3">
                  <c:v>45233</c:v>
                </c:pt>
                <c:pt idx="4">
                  <c:v>47834</c:v>
                </c:pt>
                <c:pt idx="5">
                  <c:v>47707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509-4306-A9E6-9FD7C8C17E27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46440192"/>
        <c:axId val="146441728"/>
      </c:lineChart>
      <c:catAx>
        <c:axId val="14644019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6441728"/>
        <c:crosses val="autoZero"/>
        <c:auto val="0"/>
        <c:lblAlgn val="ctr"/>
        <c:lblOffset val="100"/>
        <c:noMultiLvlLbl val="1"/>
      </c:catAx>
      <c:valAx>
        <c:axId val="146441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64401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2000" b="1" i="0" u="none" strike="noStrike" kern="1200" spc="100" baseline="0">
                <a:ln>
                  <a:noFill/>
                </a:ln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2000" b="0" i="0" u="none" strike="noStrike" kern="1200" baseline="0">
              <a:ln>
                <a:noFill/>
              </a:ln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  <c:extLst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1132" l="0.70000000000000062" r="0.70000000000000062" t="0.75000000000001132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4.5361664643855833E-2"/>
          <c:y val="5.4771748697575846E-2"/>
          <c:w val="0.95254985254732893"/>
          <c:h val="0.88710576294242249"/>
        </c:manualLayout>
      </c:layout>
      <c:lineChart>
        <c:grouping val="stacked"/>
        <c:varyColors val="0"/>
        <c:ser>
          <c:idx val="0"/>
          <c:order val="0"/>
          <c:tx>
            <c:strRef>
              <c:f>'Bitcoin OI Chart'!$B$1</c:f>
              <c:strCache>
                <c:ptCount val="1"/>
                <c:pt idx="0">
                  <c:v>Bitcoin Daily Futures Open Interest</c:v>
                </c:pt>
              </c:strCache>
            </c:strRef>
          </c:tx>
          <c:spPr>
            <a:ln w="50800" cap="rnd">
              <a:solidFill>
                <a:sysClr val="window" lastClr="FFFFFF"/>
              </a:solidFill>
              <a:round/>
            </a:ln>
            <a:effectLst>
              <a:outerShdw blurRad="50800" dist="38100" dir="5400000" rotWithShape="0">
                <a:srgbClr val="000000">
                  <a:alpha val="46000"/>
                </a:srgbClr>
              </a:outerShdw>
            </a:effectLst>
          </c:spPr>
          <c:marker>
            <c:symbol val="circle"/>
            <c:size val="6"/>
            <c:spPr>
              <a:solidFill>
                <a:sysClr val="windowText" lastClr="000000"/>
              </a:solidFill>
              <a:ln w="9525">
                <a:solidFill>
                  <a:sysClr val="windowText" lastClr="000000"/>
                </a:solidFill>
                <a:round/>
              </a:ln>
              <a:effectLst>
                <a:outerShdw blurRad="50800" dist="38100" dir="5400000" rotWithShape="0">
                  <a:srgbClr val="000000">
                    <a:alpha val="46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/>
              </a:scene3d>
              <a:sp3d prstMaterial="plastic">
                <a:bevelT w="25400" h="25400"/>
              </a:sp3d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900" b="1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'Bitcoin OI Chart'!$A$2:$A$7</c:f>
              <c:numCache>
                <c:formatCode>m/d/yyyy</c:formatCode>
                <c:ptCount val="6"/>
                <c:pt idx="0">
                  <c:v>46129</c:v>
                </c:pt>
                <c:pt idx="1">
                  <c:v>46132</c:v>
                </c:pt>
                <c:pt idx="2">
                  <c:v>46133</c:v>
                </c:pt>
                <c:pt idx="3">
                  <c:v>46134</c:v>
                </c:pt>
                <c:pt idx="4">
                  <c:v>46135</c:v>
                </c:pt>
                <c:pt idx="5">
                  <c:v>46136</c:v>
                </c:pt>
              </c:numCache>
            </c:numRef>
          </c:cat>
          <c:val>
            <c:numRef>
              <c:f>'Bitcoin OI Chart'!$B$2:$B$7</c:f>
              <c:numCache>
                <c:formatCode>_(* #,##0_);_(* \(#,##0\);_(* "-"??_);_(@_)</c:formatCode>
                <c:ptCount val="6"/>
                <c:pt idx="0">
                  <c:v>25797</c:v>
                </c:pt>
                <c:pt idx="1">
                  <c:v>25406</c:v>
                </c:pt>
                <c:pt idx="2">
                  <c:v>24994</c:v>
                </c:pt>
                <c:pt idx="3">
                  <c:v>25238</c:v>
                </c:pt>
                <c:pt idx="4">
                  <c:v>24356</c:v>
                </c:pt>
                <c:pt idx="5">
                  <c:v>24543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7CB-44D9-9FF6-D0CC36C763D7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46532224"/>
        <c:axId val="146533760"/>
      </c:lineChart>
      <c:catAx>
        <c:axId val="14653222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6533760"/>
        <c:crosses val="autoZero"/>
        <c:auto val="0"/>
        <c:lblAlgn val="ctr"/>
        <c:lblOffset val="100"/>
        <c:noMultiLvlLbl val="1"/>
      </c:catAx>
      <c:valAx>
        <c:axId val="146533760"/>
        <c:scaling>
          <c:orientation val="minMax"/>
          <c:min val="2000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65322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2000" b="1" i="0" u="none" strike="noStrike" kern="1200" spc="100" baseline="0">
                <a:ln>
                  <a:noFill/>
                </a:ln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2000" b="0" i="0" u="none" strike="noStrike" kern="1200" baseline="0">
              <a:ln>
                <a:noFill/>
              </a:ln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  <c:extLst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1132" l="0.70000000000000062" r="0.70000000000000062" t="0.75000000000001132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'Gold OI Chart'!A1"/><Relationship Id="rId13" Type="http://schemas.openxmlformats.org/officeDocument/2006/relationships/hyperlink" Target="#'E-mini S&amp;P 500 OI Chart'!A1"/><Relationship Id="rId18" Type="http://schemas.openxmlformats.org/officeDocument/2006/relationships/hyperlink" Target="#'USD (US) OI Chart'!A1"/><Relationship Id="rId3" Type="http://schemas.openxmlformats.org/officeDocument/2006/relationships/hyperlink" Target="#'JPY OI Chart'!A1"/><Relationship Id="rId7" Type="http://schemas.openxmlformats.org/officeDocument/2006/relationships/hyperlink" Target="#'CAD OI Chart'!A1"/><Relationship Id="rId12" Type="http://schemas.openxmlformats.org/officeDocument/2006/relationships/hyperlink" Target="#'N-Gas OI Chart'!A1"/><Relationship Id="rId17" Type="http://schemas.openxmlformats.org/officeDocument/2006/relationships/hyperlink" Target="#'Bitcoin OI Chart'!A1"/><Relationship Id="rId2" Type="http://schemas.openxmlformats.org/officeDocument/2006/relationships/hyperlink" Target="#'GBP OI Chart'!A1"/><Relationship Id="rId16" Type="http://schemas.openxmlformats.org/officeDocument/2006/relationships/hyperlink" Target="#'DAX OI Chart'!A1"/><Relationship Id="rId1" Type="http://schemas.openxmlformats.org/officeDocument/2006/relationships/hyperlink" Target="#'EUR OI Chart'!A1"/><Relationship Id="rId6" Type="http://schemas.openxmlformats.org/officeDocument/2006/relationships/hyperlink" Target="#'NZD OI Chart'!A1"/><Relationship Id="rId11" Type="http://schemas.openxmlformats.org/officeDocument/2006/relationships/hyperlink" Target="#'OIL OI Chart'!A1"/><Relationship Id="rId5" Type="http://schemas.openxmlformats.org/officeDocument/2006/relationships/hyperlink" Target="#'AUD OI Chart'!A1"/><Relationship Id="rId15" Type="http://schemas.openxmlformats.org/officeDocument/2006/relationships/hyperlink" Target="#'E-mini Dow ($5) OI Chart'!A1"/><Relationship Id="rId10" Type="http://schemas.openxmlformats.org/officeDocument/2006/relationships/hyperlink" Target="#'Copper OI Chart'!A1"/><Relationship Id="rId19" Type="http://schemas.openxmlformats.org/officeDocument/2006/relationships/hyperlink" Target="#'E-mini Russel OI Chart'!A1"/><Relationship Id="rId4" Type="http://schemas.openxmlformats.org/officeDocument/2006/relationships/hyperlink" Target="#'CHF OI Chart'!A1"/><Relationship Id="rId9" Type="http://schemas.openxmlformats.org/officeDocument/2006/relationships/hyperlink" Target="#'Silver OI Chart'!A1"/><Relationship Id="rId14" Type="http://schemas.openxmlformats.org/officeDocument/2006/relationships/hyperlink" Target="#'E-mini Nadaq-100 OI Chart'!A1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hyperlink" Target="#'Main Panel'!A1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hyperlink" Target="#'Main Panel'!A1"/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hyperlink" Target="#'Main Panel'!A1"/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hyperlink" Target="#'Main Panel'!A1"/><Relationship Id="rId1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hyperlink" Target="#'Main Panel'!A1"/><Relationship Id="rId1" Type="http://schemas.openxmlformats.org/officeDocument/2006/relationships/chart" Target="../charts/chart5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hyperlink" Target="#'Main Panel'!A1"/><Relationship Id="rId1" Type="http://schemas.openxmlformats.org/officeDocument/2006/relationships/chart" Target="../charts/chart6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hyperlink" Target="#'Main Panel'!A1"/><Relationship Id="rId1" Type="http://schemas.openxmlformats.org/officeDocument/2006/relationships/chart" Target="../charts/chart7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hyperlink" Target="#'Main Panel'!A1"/><Relationship Id="rId1" Type="http://schemas.openxmlformats.org/officeDocument/2006/relationships/chart" Target="../charts/chart8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hyperlink" Target="#'Main Panel'!A1"/><Relationship Id="rId1" Type="http://schemas.openxmlformats.org/officeDocument/2006/relationships/chart" Target="../charts/chart9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hyperlink" Target="#'Main Panel'!A1"/><Relationship Id="rId1" Type="http://schemas.openxmlformats.org/officeDocument/2006/relationships/chart" Target="../charts/chart10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hyperlink" Target="#'Main Panel'!A1"/><Relationship Id="rId1" Type="http://schemas.openxmlformats.org/officeDocument/2006/relationships/chart" Target="../charts/chart11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hyperlink" Target="#'Main Panel'!A1"/><Relationship Id="rId1" Type="http://schemas.openxmlformats.org/officeDocument/2006/relationships/chart" Target="../charts/chart12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hyperlink" Target="#'Main Panel'!A1"/><Relationship Id="rId1" Type="http://schemas.openxmlformats.org/officeDocument/2006/relationships/chart" Target="../charts/chart13.xml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hyperlink" Target="#'Main Panel'!A1"/><Relationship Id="rId1" Type="http://schemas.openxmlformats.org/officeDocument/2006/relationships/chart" Target="../charts/chart14.xml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hyperlink" Target="#'Main Panel'!A1"/><Relationship Id="rId1" Type="http://schemas.openxmlformats.org/officeDocument/2006/relationships/chart" Target="../charts/chart15.xml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hyperlink" Target="#'Main Panel'!A1"/><Relationship Id="rId1" Type="http://schemas.openxmlformats.org/officeDocument/2006/relationships/chart" Target="../charts/chart16.xml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hyperlink" Target="#'Main Panel'!A1"/><Relationship Id="rId1" Type="http://schemas.openxmlformats.org/officeDocument/2006/relationships/chart" Target="../charts/chart17.xml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hyperlink" Target="#'Main Panel'!A1"/><Relationship Id="rId1" Type="http://schemas.openxmlformats.org/officeDocument/2006/relationships/chart" Target="../charts/chart18.xml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hyperlink" Target="#'Main Panel'!A1"/><Relationship Id="rId1" Type="http://schemas.openxmlformats.org/officeDocument/2006/relationships/chart" Target="../charts/chart1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95248</xdr:colOff>
      <xdr:row>8</xdr:row>
      <xdr:rowOff>85725</xdr:rowOff>
    </xdr:from>
    <xdr:to>
      <xdr:col>3</xdr:col>
      <xdr:colOff>244048</xdr:colOff>
      <xdr:row>11</xdr:row>
      <xdr:rowOff>54225</xdr:rowOff>
    </xdr:to>
    <xdr:sp macro="" textlink="">
      <xdr:nvSpPr>
        <xdr:cNvPr id="2" name="Rectangle: Rounded Corner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704848" y="1609725"/>
          <a:ext cx="1368000" cy="540000"/>
        </a:xfrm>
        <a:prstGeom prst="roundRect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/>
            <a:t>EUR</a:t>
          </a:r>
        </a:p>
      </xdr:txBody>
    </xdr:sp>
    <xdr:clientData/>
  </xdr:twoCellAnchor>
  <xdr:twoCellAnchor>
    <xdr:from>
      <xdr:col>1</xdr:col>
      <xdr:colOff>95250</xdr:colOff>
      <xdr:row>11</xdr:row>
      <xdr:rowOff>142875</xdr:rowOff>
    </xdr:from>
    <xdr:to>
      <xdr:col>3</xdr:col>
      <xdr:colOff>244050</xdr:colOff>
      <xdr:row>14</xdr:row>
      <xdr:rowOff>111375</xdr:rowOff>
    </xdr:to>
    <xdr:sp macro="" textlink="">
      <xdr:nvSpPr>
        <xdr:cNvPr id="3" name="Rectangle: Rounded Corner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704850" y="2238375"/>
          <a:ext cx="1368000" cy="540000"/>
        </a:xfrm>
        <a:prstGeom prst="roundRect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/>
            <a:t>GBP</a:t>
          </a:r>
        </a:p>
      </xdr:txBody>
    </xdr:sp>
    <xdr:clientData/>
  </xdr:twoCellAnchor>
  <xdr:twoCellAnchor>
    <xdr:from>
      <xdr:col>1</xdr:col>
      <xdr:colOff>95250</xdr:colOff>
      <xdr:row>15</xdr:row>
      <xdr:rowOff>9525</xdr:rowOff>
    </xdr:from>
    <xdr:to>
      <xdr:col>3</xdr:col>
      <xdr:colOff>244050</xdr:colOff>
      <xdr:row>17</xdr:row>
      <xdr:rowOff>168525</xdr:rowOff>
    </xdr:to>
    <xdr:sp macro="" textlink="">
      <xdr:nvSpPr>
        <xdr:cNvPr id="4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704850" y="2867025"/>
          <a:ext cx="1368000" cy="540000"/>
        </a:xfrm>
        <a:prstGeom prst="roundRect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/>
            <a:t>JPY</a:t>
          </a:r>
        </a:p>
      </xdr:txBody>
    </xdr:sp>
    <xdr:clientData/>
  </xdr:twoCellAnchor>
  <xdr:twoCellAnchor>
    <xdr:from>
      <xdr:col>1</xdr:col>
      <xdr:colOff>95248</xdr:colOff>
      <xdr:row>18</xdr:row>
      <xdr:rowOff>76200</xdr:rowOff>
    </xdr:from>
    <xdr:to>
      <xdr:col>3</xdr:col>
      <xdr:colOff>244048</xdr:colOff>
      <xdr:row>21</xdr:row>
      <xdr:rowOff>44700</xdr:rowOff>
    </xdr:to>
    <xdr:sp macro="" textlink="">
      <xdr:nvSpPr>
        <xdr:cNvPr id="5" name="Rectangle: Rounded Corner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704848" y="3505200"/>
          <a:ext cx="1368000" cy="540000"/>
        </a:xfrm>
        <a:prstGeom prst="roundRect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/>
            <a:t>CHF</a:t>
          </a:r>
        </a:p>
      </xdr:txBody>
    </xdr:sp>
    <xdr:clientData/>
  </xdr:twoCellAnchor>
  <xdr:twoCellAnchor>
    <xdr:from>
      <xdr:col>1</xdr:col>
      <xdr:colOff>104775</xdr:colOff>
      <xdr:row>21</xdr:row>
      <xdr:rowOff>161925</xdr:rowOff>
    </xdr:from>
    <xdr:to>
      <xdr:col>3</xdr:col>
      <xdr:colOff>253575</xdr:colOff>
      <xdr:row>24</xdr:row>
      <xdr:rowOff>130425</xdr:rowOff>
    </xdr:to>
    <xdr:sp macro="" textlink="">
      <xdr:nvSpPr>
        <xdr:cNvPr id="6" name="Rectangle: Rounded Corners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714375" y="4162425"/>
          <a:ext cx="1368000" cy="540000"/>
        </a:xfrm>
        <a:prstGeom prst="roundRect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/>
            <a:t>AUD</a:t>
          </a:r>
        </a:p>
      </xdr:txBody>
    </xdr:sp>
    <xdr:clientData/>
  </xdr:twoCellAnchor>
  <xdr:twoCellAnchor>
    <xdr:from>
      <xdr:col>1</xdr:col>
      <xdr:colOff>85723</xdr:colOff>
      <xdr:row>25</xdr:row>
      <xdr:rowOff>66675</xdr:rowOff>
    </xdr:from>
    <xdr:to>
      <xdr:col>3</xdr:col>
      <xdr:colOff>234523</xdr:colOff>
      <xdr:row>28</xdr:row>
      <xdr:rowOff>35175</xdr:rowOff>
    </xdr:to>
    <xdr:sp macro="" textlink="">
      <xdr:nvSpPr>
        <xdr:cNvPr id="7" name="Rectangle: Rounded Corners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695323" y="4829175"/>
          <a:ext cx="1368000" cy="540000"/>
        </a:xfrm>
        <a:prstGeom prst="roundRect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/>
            <a:t>NZD</a:t>
          </a:r>
        </a:p>
      </xdr:txBody>
    </xdr:sp>
    <xdr:clientData/>
  </xdr:twoCellAnchor>
  <xdr:twoCellAnchor>
    <xdr:from>
      <xdr:col>1</xdr:col>
      <xdr:colOff>95248</xdr:colOff>
      <xdr:row>28</xdr:row>
      <xdr:rowOff>171450</xdr:rowOff>
    </xdr:from>
    <xdr:to>
      <xdr:col>3</xdr:col>
      <xdr:colOff>244048</xdr:colOff>
      <xdr:row>31</xdr:row>
      <xdr:rowOff>139950</xdr:rowOff>
    </xdr:to>
    <xdr:sp macro="" textlink="">
      <xdr:nvSpPr>
        <xdr:cNvPr id="8" name="Rectangle: Rounded Corners 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704848" y="5505450"/>
          <a:ext cx="1368000" cy="540000"/>
        </a:xfrm>
        <a:prstGeom prst="roundRect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/>
            <a:t>CAD</a:t>
          </a:r>
        </a:p>
      </xdr:txBody>
    </xdr:sp>
    <xdr:clientData/>
  </xdr:twoCellAnchor>
  <xdr:twoCellAnchor>
    <xdr:from>
      <xdr:col>5</xdr:col>
      <xdr:colOff>9524</xdr:colOff>
      <xdr:row>4</xdr:row>
      <xdr:rowOff>190499</xdr:rowOff>
    </xdr:from>
    <xdr:to>
      <xdr:col>7</xdr:col>
      <xdr:colOff>50324</xdr:colOff>
      <xdr:row>7</xdr:row>
      <xdr:rowOff>158999</xdr:rowOff>
    </xdr:to>
    <xdr:sp macro="" textlink="">
      <xdr:nvSpPr>
        <xdr:cNvPr id="9" name="Rectangle: Rounded Corners 8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3057524" y="952499"/>
          <a:ext cx="1260000" cy="540000"/>
        </a:xfrm>
        <a:prstGeom prst="roundRect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/>
            <a:t>GOLD</a:t>
          </a:r>
        </a:p>
      </xdr:txBody>
    </xdr:sp>
    <xdr:clientData/>
  </xdr:twoCellAnchor>
  <xdr:twoCellAnchor>
    <xdr:from>
      <xdr:col>4</xdr:col>
      <xdr:colOff>609599</xdr:colOff>
      <xdr:row>8</xdr:row>
      <xdr:rowOff>161925</xdr:rowOff>
    </xdr:from>
    <xdr:to>
      <xdr:col>7</xdr:col>
      <xdr:colOff>40799</xdr:colOff>
      <xdr:row>11</xdr:row>
      <xdr:rowOff>130425</xdr:rowOff>
    </xdr:to>
    <xdr:sp macro="" textlink="">
      <xdr:nvSpPr>
        <xdr:cNvPr id="10" name="Rectangle: Rounded Corners 9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3047999" y="1685925"/>
          <a:ext cx="1260000" cy="540000"/>
        </a:xfrm>
        <a:prstGeom prst="roundRect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/>
            <a:t>SILVER</a:t>
          </a:r>
        </a:p>
      </xdr:txBody>
    </xdr:sp>
    <xdr:clientData/>
  </xdr:twoCellAnchor>
  <xdr:twoCellAnchor>
    <xdr:from>
      <xdr:col>4</xdr:col>
      <xdr:colOff>609599</xdr:colOff>
      <xdr:row>12</xdr:row>
      <xdr:rowOff>180975</xdr:rowOff>
    </xdr:from>
    <xdr:to>
      <xdr:col>7</xdr:col>
      <xdr:colOff>40799</xdr:colOff>
      <xdr:row>15</xdr:row>
      <xdr:rowOff>149475</xdr:rowOff>
    </xdr:to>
    <xdr:sp macro="" textlink="">
      <xdr:nvSpPr>
        <xdr:cNvPr id="11" name="Rectangle: Rounded Corners 1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>
        <a:xfrm>
          <a:off x="3047999" y="2466975"/>
          <a:ext cx="1260000" cy="540000"/>
        </a:xfrm>
        <a:prstGeom prst="roundRect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200"/>
            <a:t>COPPER</a:t>
          </a:r>
        </a:p>
      </xdr:txBody>
    </xdr:sp>
    <xdr:clientData/>
  </xdr:twoCellAnchor>
  <xdr:twoCellAnchor>
    <xdr:from>
      <xdr:col>5</xdr:col>
      <xdr:colOff>9524</xdr:colOff>
      <xdr:row>22</xdr:row>
      <xdr:rowOff>47625</xdr:rowOff>
    </xdr:from>
    <xdr:to>
      <xdr:col>7</xdr:col>
      <xdr:colOff>50324</xdr:colOff>
      <xdr:row>25</xdr:row>
      <xdr:rowOff>16125</xdr:rowOff>
    </xdr:to>
    <xdr:sp macro="" textlink="">
      <xdr:nvSpPr>
        <xdr:cNvPr id="15" name="Rectangle: Rounded Corners 14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/>
      </xdr:nvSpPr>
      <xdr:spPr>
        <a:xfrm>
          <a:off x="3057524" y="4238625"/>
          <a:ext cx="1260000" cy="540000"/>
        </a:xfrm>
        <a:prstGeom prst="roundRect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700"/>
            <a:t>CRUDE OIL</a:t>
          </a:r>
        </a:p>
      </xdr:txBody>
    </xdr:sp>
    <xdr:clientData/>
  </xdr:twoCellAnchor>
  <xdr:twoCellAnchor>
    <xdr:from>
      <xdr:col>5</xdr:col>
      <xdr:colOff>19049</xdr:colOff>
      <xdr:row>26</xdr:row>
      <xdr:rowOff>114300</xdr:rowOff>
    </xdr:from>
    <xdr:to>
      <xdr:col>7</xdr:col>
      <xdr:colOff>59849</xdr:colOff>
      <xdr:row>30</xdr:row>
      <xdr:rowOff>72300</xdr:rowOff>
    </xdr:to>
    <xdr:sp macro="" textlink="">
      <xdr:nvSpPr>
        <xdr:cNvPr id="16" name="Rectangle: Rounded Corners 15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/>
      </xdr:nvSpPr>
      <xdr:spPr>
        <a:xfrm>
          <a:off x="3067049" y="5067300"/>
          <a:ext cx="1260000" cy="720000"/>
        </a:xfrm>
        <a:prstGeom prst="roundRect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/>
            <a:t>NATURAL</a:t>
          </a:r>
          <a:br>
            <a:rPr lang="en-US" sz="1800"/>
          </a:br>
          <a:r>
            <a:rPr lang="en-US" sz="1800"/>
            <a:t>GAS</a:t>
          </a:r>
        </a:p>
      </xdr:txBody>
    </xdr:sp>
    <xdr:clientData/>
  </xdr:twoCellAnchor>
  <xdr:twoCellAnchor>
    <xdr:from>
      <xdr:col>8</xdr:col>
      <xdr:colOff>466725</xdr:colOff>
      <xdr:row>4</xdr:row>
      <xdr:rowOff>190499</xdr:rowOff>
    </xdr:from>
    <xdr:to>
      <xdr:col>10</xdr:col>
      <xdr:colOff>476250</xdr:colOff>
      <xdr:row>9</xdr:row>
      <xdr:rowOff>9524</xdr:rowOff>
    </xdr:to>
    <xdr:sp macro="" textlink="">
      <xdr:nvSpPr>
        <xdr:cNvPr id="17" name="Rectangle: Rounded Corners 16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SpPr/>
      </xdr:nvSpPr>
      <xdr:spPr>
        <a:xfrm>
          <a:off x="5343525" y="952499"/>
          <a:ext cx="1228725" cy="771525"/>
        </a:xfrm>
        <a:prstGeom prst="roundRect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/>
            <a:t>E-MINI</a:t>
          </a:r>
          <a:br>
            <a:rPr lang="en-US" sz="1800" b="0"/>
          </a:br>
          <a:r>
            <a:rPr lang="en-US" sz="1800" b="0"/>
            <a:t>S&amp;P</a:t>
          </a:r>
          <a:r>
            <a:rPr lang="en-US" sz="1800" b="0" baseline="0"/>
            <a:t> 500</a:t>
          </a:r>
          <a:endParaRPr lang="en-US" sz="1800" b="0"/>
        </a:p>
      </xdr:txBody>
    </xdr:sp>
    <xdr:clientData/>
  </xdr:twoCellAnchor>
  <xdr:twoCellAnchor>
    <xdr:from>
      <xdr:col>8</xdr:col>
      <xdr:colOff>466725</xdr:colOff>
      <xdr:row>9</xdr:row>
      <xdr:rowOff>133350</xdr:rowOff>
    </xdr:from>
    <xdr:to>
      <xdr:col>10</xdr:col>
      <xdr:colOff>476250</xdr:colOff>
      <xdr:row>15</xdr:row>
      <xdr:rowOff>114300</xdr:rowOff>
    </xdr:to>
    <xdr:sp macro="" textlink="">
      <xdr:nvSpPr>
        <xdr:cNvPr id="18" name="Rectangle: Rounded Corners 17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SpPr/>
      </xdr:nvSpPr>
      <xdr:spPr>
        <a:xfrm>
          <a:off x="5343525" y="1847850"/>
          <a:ext cx="1228725" cy="1123950"/>
        </a:xfrm>
        <a:prstGeom prst="roundRect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/>
            <a:t>E-MINI</a:t>
          </a:r>
          <a:br>
            <a:rPr lang="en-US" sz="1800"/>
          </a:br>
          <a:r>
            <a:rPr lang="en-US" sz="1800"/>
            <a:t>NASDAQ 100</a:t>
          </a:r>
        </a:p>
      </xdr:txBody>
    </xdr:sp>
    <xdr:clientData/>
  </xdr:twoCellAnchor>
  <xdr:twoCellAnchor>
    <xdr:from>
      <xdr:col>8</xdr:col>
      <xdr:colOff>476250</xdr:colOff>
      <xdr:row>16</xdr:row>
      <xdr:rowOff>76200</xdr:rowOff>
    </xdr:from>
    <xdr:to>
      <xdr:col>10</xdr:col>
      <xdr:colOff>485775</xdr:colOff>
      <xdr:row>20</xdr:row>
      <xdr:rowOff>76200</xdr:rowOff>
    </xdr:to>
    <xdr:sp macro="" textlink="">
      <xdr:nvSpPr>
        <xdr:cNvPr id="19" name="Rectangle: Rounded Corners 18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SpPr/>
      </xdr:nvSpPr>
      <xdr:spPr>
        <a:xfrm>
          <a:off x="5353050" y="3124200"/>
          <a:ext cx="1228725" cy="762000"/>
        </a:xfrm>
        <a:prstGeom prst="roundRect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/>
            <a:t>E-MINI</a:t>
          </a:r>
          <a:br>
            <a:rPr lang="en-US" sz="1800"/>
          </a:br>
          <a:r>
            <a:rPr lang="en-US" sz="1800"/>
            <a:t>DOW $5</a:t>
          </a:r>
        </a:p>
      </xdr:txBody>
    </xdr:sp>
    <xdr:clientData/>
  </xdr:twoCellAnchor>
  <xdr:oneCellAnchor>
    <xdr:from>
      <xdr:col>0</xdr:col>
      <xdr:colOff>200025</xdr:colOff>
      <xdr:row>0</xdr:row>
      <xdr:rowOff>88398</xdr:rowOff>
    </xdr:from>
    <xdr:ext cx="2247900" cy="655885"/>
    <xdr:sp macro="" textlink="">
      <xdr:nvSpPr>
        <xdr:cNvPr id="27" name="Rectangle 26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SpPr/>
      </xdr:nvSpPr>
      <xdr:spPr>
        <a:xfrm>
          <a:off x="200025" y="88398"/>
          <a:ext cx="2247900" cy="655885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3600" b="1" cap="none" spc="0">
              <a:ln w="13462">
                <a:solidFill>
                  <a:schemeClr val="bg1"/>
                </a:solidFill>
                <a:prstDash val="solid"/>
              </a:ln>
              <a:solidFill>
                <a:schemeClr val="tx1">
                  <a:lumMod val="85000"/>
                  <a:lumOff val="15000"/>
                </a:schemeClr>
              </a:solidFill>
              <a:effectLst>
                <a:outerShdw dist="38100" dir="2700000" algn="bl" rotWithShape="0">
                  <a:schemeClr val="accent5"/>
                </a:outerShdw>
              </a:effectLst>
            </a:rPr>
            <a:t>Currencies</a:t>
          </a:r>
        </a:p>
      </xdr:txBody>
    </xdr:sp>
    <xdr:clientData/>
  </xdr:oneCellAnchor>
  <xdr:oneCellAnchor>
    <xdr:from>
      <xdr:col>4</xdr:col>
      <xdr:colOff>47625</xdr:colOff>
      <xdr:row>0</xdr:row>
      <xdr:rowOff>88398</xdr:rowOff>
    </xdr:from>
    <xdr:ext cx="2247900" cy="655885"/>
    <xdr:sp macro="" textlink="">
      <xdr:nvSpPr>
        <xdr:cNvPr id="28" name="Rectangle 27"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SpPr/>
      </xdr:nvSpPr>
      <xdr:spPr>
        <a:xfrm>
          <a:off x="2486025" y="88398"/>
          <a:ext cx="2247900" cy="655885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3600" b="1" cap="none" spc="0">
              <a:ln w="13462">
                <a:solidFill>
                  <a:schemeClr val="bg1"/>
                </a:solidFill>
                <a:prstDash val="solid"/>
              </a:ln>
              <a:solidFill>
                <a:schemeClr val="tx1">
                  <a:lumMod val="85000"/>
                  <a:lumOff val="15000"/>
                </a:schemeClr>
              </a:solidFill>
              <a:effectLst>
                <a:outerShdw dist="38100" dir="2700000" algn="bl" rotWithShape="0">
                  <a:schemeClr val="accent5"/>
                </a:outerShdw>
              </a:effectLst>
            </a:rPr>
            <a:t>Metals</a:t>
          </a:r>
        </a:p>
      </xdr:txBody>
    </xdr:sp>
    <xdr:clientData/>
  </xdr:oneCellAnchor>
  <xdr:oneCellAnchor>
    <xdr:from>
      <xdr:col>4</xdr:col>
      <xdr:colOff>123825</xdr:colOff>
      <xdr:row>17</xdr:row>
      <xdr:rowOff>21723</xdr:rowOff>
    </xdr:from>
    <xdr:ext cx="2247900" cy="655885"/>
    <xdr:sp macro="" textlink="">
      <xdr:nvSpPr>
        <xdr:cNvPr id="29" name="Rectangle 28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SpPr/>
      </xdr:nvSpPr>
      <xdr:spPr>
        <a:xfrm>
          <a:off x="2562225" y="3260223"/>
          <a:ext cx="2247900" cy="655885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3600" b="1" cap="none" spc="0">
              <a:ln w="13462">
                <a:solidFill>
                  <a:schemeClr val="bg1"/>
                </a:solidFill>
                <a:prstDash val="solid"/>
              </a:ln>
              <a:solidFill>
                <a:schemeClr val="tx1">
                  <a:lumMod val="85000"/>
                  <a:lumOff val="15000"/>
                </a:schemeClr>
              </a:solidFill>
              <a:effectLst>
                <a:outerShdw dist="38100" dir="2700000" algn="bl" rotWithShape="0">
                  <a:schemeClr val="accent5"/>
                </a:outerShdw>
              </a:effectLst>
            </a:rPr>
            <a:t>Energy</a:t>
          </a:r>
        </a:p>
      </xdr:txBody>
    </xdr:sp>
    <xdr:clientData/>
  </xdr:oneCellAnchor>
  <xdr:oneCellAnchor>
    <xdr:from>
      <xdr:col>7</xdr:col>
      <xdr:colOff>552450</xdr:colOff>
      <xdr:row>0</xdr:row>
      <xdr:rowOff>69348</xdr:rowOff>
    </xdr:from>
    <xdr:ext cx="2247900" cy="655885"/>
    <xdr:sp macro="" textlink="">
      <xdr:nvSpPr>
        <xdr:cNvPr id="30" name="Rectangle 29">
          <a:extLs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SpPr/>
      </xdr:nvSpPr>
      <xdr:spPr>
        <a:xfrm>
          <a:off x="4819650" y="69348"/>
          <a:ext cx="2247900" cy="655885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3600" b="1" cap="none" spc="0">
              <a:ln w="13462">
                <a:solidFill>
                  <a:schemeClr val="bg1"/>
                </a:solidFill>
                <a:prstDash val="solid"/>
              </a:ln>
              <a:solidFill>
                <a:schemeClr val="tx1">
                  <a:lumMod val="85000"/>
                  <a:lumOff val="15000"/>
                </a:schemeClr>
              </a:solidFill>
              <a:effectLst>
                <a:outerShdw dist="38100" dir="2700000" algn="bl" rotWithShape="0">
                  <a:schemeClr val="accent5"/>
                </a:outerShdw>
              </a:effectLst>
            </a:rPr>
            <a:t>Equities</a:t>
          </a:r>
        </a:p>
      </xdr:txBody>
    </xdr:sp>
    <xdr:clientData/>
  </xdr:oneCellAnchor>
  <xdr:twoCellAnchor>
    <xdr:from>
      <xdr:col>8</xdr:col>
      <xdr:colOff>466725</xdr:colOff>
      <xdr:row>27</xdr:row>
      <xdr:rowOff>114300</xdr:rowOff>
    </xdr:from>
    <xdr:to>
      <xdr:col>10</xdr:col>
      <xdr:colOff>507525</xdr:colOff>
      <xdr:row>30</xdr:row>
      <xdr:rowOff>82800</xdr:rowOff>
    </xdr:to>
    <xdr:sp macro="" textlink="">
      <xdr:nvSpPr>
        <xdr:cNvPr id="34" name="Rectangle: Rounded Corners 33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0100-000022000000}"/>
            </a:ext>
          </a:extLst>
        </xdr:cNvPr>
        <xdr:cNvSpPr/>
      </xdr:nvSpPr>
      <xdr:spPr>
        <a:xfrm>
          <a:off x="5343525" y="5257800"/>
          <a:ext cx="1260000" cy="540000"/>
        </a:xfrm>
        <a:prstGeom prst="roundRect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/>
            <a:t>DAX</a:t>
          </a:r>
        </a:p>
      </xdr:txBody>
    </xdr:sp>
    <xdr:clientData/>
  </xdr:twoCellAnchor>
  <xdr:oneCellAnchor>
    <xdr:from>
      <xdr:col>12</xdr:col>
      <xdr:colOff>19050</xdr:colOff>
      <xdr:row>0</xdr:row>
      <xdr:rowOff>57150</xdr:rowOff>
    </xdr:from>
    <xdr:ext cx="2247900" cy="655885"/>
    <xdr:sp macro="" textlink="">
      <xdr:nvSpPr>
        <xdr:cNvPr id="12" name="Rectangl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/>
      </xdr:nvSpPr>
      <xdr:spPr>
        <a:xfrm>
          <a:off x="7334250" y="57150"/>
          <a:ext cx="2247900" cy="655885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3600" b="1" cap="none" spc="0">
              <a:ln w="13462">
                <a:solidFill>
                  <a:schemeClr val="bg1"/>
                </a:solidFill>
                <a:prstDash val="solid"/>
              </a:ln>
              <a:solidFill>
                <a:schemeClr val="tx1">
                  <a:lumMod val="85000"/>
                  <a:lumOff val="15000"/>
                </a:schemeClr>
              </a:solidFill>
              <a:effectLst>
                <a:outerShdw dist="38100" dir="2700000" algn="bl" rotWithShape="0">
                  <a:schemeClr val="accent5"/>
                </a:outerShdw>
              </a:effectLst>
            </a:rPr>
            <a:t>Crypto</a:t>
          </a:r>
        </a:p>
      </xdr:txBody>
    </xdr:sp>
    <xdr:clientData/>
  </xdr:oneCellAnchor>
  <xdr:twoCellAnchor>
    <xdr:from>
      <xdr:col>12</xdr:col>
      <xdr:colOff>552450</xdr:colOff>
      <xdr:row>4</xdr:row>
      <xdr:rowOff>104775</xdr:rowOff>
    </xdr:from>
    <xdr:to>
      <xdr:col>15</xdr:col>
      <xdr:colOff>57150</xdr:colOff>
      <xdr:row>7</xdr:row>
      <xdr:rowOff>73275</xdr:rowOff>
    </xdr:to>
    <xdr:sp macro="" textlink="">
      <xdr:nvSpPr>
        <xdr:cNvPr id="13" name="Rectangle: Rounded Corners 12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/>
      </xdr:nvSpPr>
      <xdr:spPr>
        <a:xfrm>
          <a:off x="7867650" y="866775"/>
          <a:ext cx="1333500" cy="540000"/>
        </a:xfrm>
        <a:prstGeom prst="roundRect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/>
            <a:t>BITCOIN</a:t>
          </a:r>
        </a:p>
      </xdr:txBody>
    </xdr:sp>
    <xdr:clientData/>
  </xdr:twoCellAnchor>
  <xdr:twoCellAnchor>
    <xdr:from>
      <xdr:col>1</xdr:col>
      <xdr:colOff>104774</xdr:colOff>
      <xdr:row>5</xdr:row>
      <xdr:rowOff>28575</xdr:rowOff>
    </xdr:from>
    <xdr:to>
      <xdr:col>3</xdr:col>
      <xdr:colOff>253574</xdr:colOff>
      <xdr:row>7</xdr:row>
      <xdr:rowOff>187575</xdr:rowOff>
    </xdr:to>
    <xdr:sp macro="" textlink="">
      <xdr:nvSpPr>
        <xdr:cNvPr id="25" name="Rectangle: Rounded Corners 12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SpPr/>
      </xdr:nvSpPr>
      <xdr:spPr>
        <a:xfrm>
          <a:off x="714374" y="981075"/>
          <a:ext cx="1368000" cy="540000"/>
        </a:xfrm>
        <a:prstGeom prst="roundRect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 b="0"/>
            <a:t>USD</a:t>
          </a:r>
          <a:r>
            <a:rPr lang="en-US" sz="2400" b="0" baseline="0"/>
            <a:t> (US)</a:t>
          </a:r>
          <a:endParaRPr lang="en-US" sz="2400" b="0"/>
        </a:p>
      </xdr:txBody>
    </xdr:sp>
    <xdr:clientData/>
  </xdr:twoCellAnchor>
  <xdr:twoCellAnchor>
    <xdr:from>
      <xdr:col>8</xdr:col>
      <xdr:colOff>476250</xdr:colOff>
      <xdr:row>21</xdr:row>
      <xdr:rowOff>19049</xdr:rowOff>
    </xdr:from>
    <xdr:to>
      <xdr:col>10</xdr:col>
      <xdr:colOff>485775</xdr:colOff>
      <xdr:row>26</xdr:row>
      <xdr:rowOff>161925</xdr:rowOff>
    </xdr:to>
    <xdr:sp macro="" textlink="">
      <xdr:nvSpPr>
        <xdr:cNvPr id="14" name="Rectangle: Rounded Corners 13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B6A5913D-E554-4C92-BD77-EF89E84D105E}"/>
            </a:ext>
          </a:extLst>
        </xdr:cNvPr>
        <xdr:cNvSpPr/>
      </xdr:nvSpPr>
      <xdr:spPr>
        <a:xfrm>
          <a:off x="5353050" y="4019549"/>
          <a:ext cx="1228725" cy="1095376"/>
        </a:xfrm>
        <a:prstGeom prst="roundRect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/>
            <a:t>E-MINI</a:t>
          </a:r>
          <a:br>
            <a:rPr lang="en-US" sz="1800"/>
          </a:br>
          <a:r>
            <a:rPr lang="en-US" sz="1800"/>
            <a:t>Russell</a:t>
          </a:r>
          <a:r>
            <a:rPr lang="en-US" sz="1800" baseline="0"/>
            <a:t> 2000</a:t>
          </a:r>
          <a:endParaRPr lang="en-US" sz="18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18</xdr:col>
      <xdr:colOff>495300</xdr:colOff>
      <xdr:row>31</xdr:row>
      <xdr:rowOff>161925</xdr:rowOff>
    </xdr:to>
    <xdr:graphicFrame macro="">
      <xdr:nvGraphicFramePr>
        <xdr:cNvPr id="2" name="Диаграмма 3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510540</xdr:colOff>
      <xdr:row>26</xdr:row>
      <xdr:rowOff>51435</xdr:rowOff>
    </xdr:from>
    <xdr:to>
      <xdr:col>18</xdr:col>
      <xdr:colOff>396240</xdr:colOff>
      <xdr:row>29</xdr:row>
      <xdr:rowOff>99060</xdr:rowOff>
    </xdr:to>
    <xdr:sp macro="" textlink="">
      <xdr:nvSpPr>
        <xdr:cNvPr id="3" name="Arrow: Curved Left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SpPr/>
      </xdr:nvSpPr>
      <xdr:spPr>
        <a:xfrm>
          <a:off x="11892915" y="5194935"/>
          <a:ext cx="495300" cy="619125"/>
        </a:xfrm>
        <a:prstGeom prst="curvedLeftArrow">
          <a:avLst/>
        </a:pr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>
            <a:solidFill>
              <a:schemeClr val="tx1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19</xdr:col>
      <xdr:colOff>257175</xdr:colOff>
      <xdr:row>31</xdr:row>
      <xdr:rowOff>142875</xdr:rowOff>
    </xdr:to>
    <xdr:graphicFrame macro="">
      <xdr:nvGraphicFramePr>
        <xdr:cNvPr id="2" name="Диаграмма 3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116205</xdr:colOff>
      <xdr:row>26</xdr:row>
      <xdr:rowOff>76200</xdr:rowOff>
    </xdr:from>
    <xdr:to>
      <xdr:col>19</xdr:col>
      <xdr:colOff>1905</xdr:colOff>
      <xdr:row>29</xdr:row>
      <xdr:rowOff>123825</xdr:rowOff>
    </xdr:to>
    <xdr:sp macro="" textlink="">
      <xdr:nvSpPr>
        <xdr:cNvPr id="3" name="Arrow: Curved Left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1870055" y="5219700"/>
          <a:ext cx="495300" cy="619125"/>
        </a:xfrm>
        <a:prstGeom prst="curvedLeftArrow">
          <a:avLst/>
        </a:pr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>
            <a:solidFill>
              <a:schemeClr val="tx1"/>
            </a:solidFill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19</xdr:col>
      <xdr:colOff>323850</xdr:colOff>
      <xdr:row>32</xdr:row>
      <xdr:rowOff>9525</xdr:rowOff>
    </xdr:to>
    <xdr:graphicFrame macro="">
      <xdr:nvGraphicFramePr>
        <xdr:cNvPr id="2" name="Диаграмма 3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386361</xdr:colOff>
      <xdr:row>26</xdr:row>
      <xdr:rowOff>131999</xdr:rowOff>
    </xdr:from>
    <xdr:to>
      <xdr:col>19</xdr:col>
      <xdr:colOff>272062</xdr:colOff>
      <xdr:row>29</xdr:row>
      <xdr:rowOff>179624</xdr:rowOff>
    </xdr:to>
    <xdr:sp macro="" textlink="">
      <xdr:nvSpPr>
        <xdr:cNvPr id="3" name="Arrow: Curved Left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12064011" y="5275499"/>
          <a:ext cx="495301" cy="619125"/>
        </a:xfrm>
        <a:prstGeom prst="curvedLeftArrow">
          <a:avLst/>
        </a:pr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>
            <a:solidFill>
              <a:schemeClr val="tx1"/>
            </a:solidFill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19</xdr:col>
      <xdr:colOff>323850</xdr:colOff>
      <xdr:row>32</xdr:row>
      <xdr:rowOff>0</xdr:rowOff>
    </xdr:to>
    <xdr:graphicFrame macro="">
      <xdr:nvGraphicFramePr>
        <xdr:cNvPr id="2" name="Диаграмма 3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358140</xdr:colOff>
      <xdr:row>26</xdr:row>
      <xdr:rowOff>74295</xdr:rowOff>
    </xdr:from>
    <xdr:to>
      <xdr:col>19</xdr:col>
      <xdr:colOff>243840</xdr:colOff>
      <xdr:row>29</xdr:row>
      <xdr:rowOff>121920</xdr:rowOff>
    </xdr:to>
    <xdr:sp macro="" textlink="">
      <xdr:nvSpPr>
        <xdr:cNvPr id="3" name="Arrow: Curved Left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12054840" y="5217795"/>
          <a:ext cx="495300" cy="619125"/>
        </a:xfrm>
        <a:prstGeom prst="curvedLeftArrow">
          <a:avLst/>
        </a:pr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>
            <a:solidFill>
              <a:schemeClr val="tx1"/>
            </a:solidFill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19</xdr:col>
      <xdr:colOff>285750</xdr:colOff>
      <xdr:row>32</xdr:row>
      <xdr:rowOff>0</xdr:rowOff>
    </xdr:to>
    <xdr:graphicFrame macro="">
      <xdr:nvGraphicFramePr>
        <xdr:cNvPr id="2" name="Диаграмма 3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333375</xdr:colOff>
      <xdr:row>25</xdr:row>
      <xdr:rowOff>131445</xdr:rowOff>
    </xdr:from>
    <xdr:to>
      <xdr:col>19</xdr:col>
      <xdr:colOff>219075</xdr:colOff>
      <xdr:row>29</xdr:row>
      <xdr:rowOff>179070</xdr:rowOff>
    </xdr:to>
    <xdr:sp macro="" textlink="">
      <xdr:nvSpPr>
        <xdr:cNvPr id="3" name="Arrow: Curved Left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/>
      </xdr:nvSpPr>
      <xdr:spPr>
        <a:xfrm>
          <a:off x="12049125" y="5084445"/>
          <a:ext cx="495300" cy="809625"/>
        </a:xfrm>
        <a:prstGeom prst="curvedLeftArrow">
          <a:avLst/>
        </a:pr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>
            <a:solidFill>
              <a:schemeClr val="tx1"/>
            </a:solidFill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19</xdr:col>
      <xdr:colOff>285750</xdr:colOff>
      <xdr:row>32</xdr:row>
      <xdr:rowOff>9525</xdr:rowOff>
    </xdr:to>
    <xdr:graphicFrame macro="">
      <xdr:nvGraphicFramePr>
        <xdr:cNvPr id="2" name="Диаграмма 3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291465</xdr:colOff>
      <xdr:row>25</xdr:row>
      <xdr:rowOff>139065</xdr:rowOff>
    </xdr:from>
    <xdr:to>
      <xdr:col>19</xdr:col>
      <xdr:colOff>177165</xdr:colOff>
      <xdr:row>29</xdr:row>
      <xdr:rowOff>186690</xdr:rowOff>
    </xdr:to>
    <xdr:sp macro="" textlink="">
      <xdr:nvSpPr>
        <xdr:cNvPr id="3" name="Arrow: Curved Left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12016740" y="5092065"/>
          <a:ext cx="495300" cy="809625"/>
        </a:xfrm>
        <a:prstGeom prst="curvedLeftArrow">
          <a:avLst/>
        </a:pr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>
            <a:solidFill>
              <a:schemeClr val="tx1"/>
            </a:solidFill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19</xdr:col>
      <xdr:colOff>304800</xdr:colOff>
      <xdr:row>32</xdr:row>
      <xdr:rowOff>0</xdr:rowOff>
    </xdr:to>
    <xdr:graphicFrame macro="">
      <xdr:nvGraphicFramePr>
        <xdr:cNvPr id="2" name="Диаграмма 3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344805</xdr:colOff>
      <xdr:row>26</xdr:row>
      <xdr:rowOff>60960</xdr:rowOff>
    </xdr:from>
    <xdr:to>
      <xdr:col>19</xdr:col>
      <xdr:colOff>230505</xdr:colOff>
      <xdr:row>29</xdr:row>
      <xdr:rowOff>108585</xdr:rowOff>
    </xdr:to>
    <xdr:sp macro="" textlink="">
      <xdr:nvSpPr>
        <xdr:cNvPr id="3" name="Arrow: Curved Left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/>
      </xdr:nvSpPr>
      <xdr:spPr>
        <a:xfrm>
          <a:off x="12079605" y="5204460"/>
          <a:ext cx="495300" cy="619125"/>
        </a:xfrm>
        <a:prstGeom prst="curvedLeftArrow">
          <a:avLst/>
        </a:pr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>
            <a:solidFill>
              <a:schemeClr val="tx1"/>
            </a:solidFill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19</xdr:col>
      <xdr:colOff>304800</xdr:colOff>
      <xdr:row>31</xdr:row>
      <xdr:rowOff>171450</xdr:rowOff>
    </xdr:to>
    <xdr:graphicFrame macro="">
      <xdr:nvGraphicFramePr>
        <xdr:cNvPr id="2" name="Диаграмма 3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329565</xdr:colOff>
      <xdr:row>25</xdr:row>
      <xdr:rowOff>59055</xdr:rowOff>
    </xdr:from>
    <xdr:to>
      <xdr:col>19</xdr:col>
      <xdr:colOff>215265</xdr:colOff>
      <xdr:row>29</xdr:row>
      <xdr:rowOff>106680</xdr:rowOff>
    </xdr:to>
    <xdr:sp macro="" textlink="">
      <xdr:nvSpPr>
        <xdr:cNvPr id="3" name="Arrow: Curved Left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>
        <a:xfrm>
          <a:off x="12102465" y="5012055"/>
          <a:ext cx="495300" cy="809625"/>
        </a:xfrm>
        <a:prstGeom prst="curvedLeftArrow">
          <a:avLst/>
        </a:pr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>
            <a:solidFill>
              <a:schemeClr val="tx1"/>
            </a:solidFill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19</xdr:col>
      <xdr:colOff>285750</xdr:colOff>
      <xdr:row>32</xdr:row>
      <xdr:rowOff>28575</xdr:rowOff>
    </xdr:to>
    <xdr:graphicFrame macro="">
      <xdr:nvGraphicFramePr>
        <xdr:cNvPr id="2" name="Диаграмма 3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318135</xdr:colOff>
      <xdr:row>25</xdr:row>
      <xdr:rowOff>121920</xdr:rowOff>
    </xdr:from>
    <xdr:to>
      <xdr:col>19</xdr:col>
      <xdr:colOff>203835</xdr:colOff>
      <xdr:row>29</xdr:row>
      <xdr:rowOff>169545</xdr:rowOff>
    </xdr:to>
    <xdr:sp macro="" textlink="">
      <xdr:nvSpPr>
        <xdr:cNvPr id="3" name="Arrow: Curved Left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2091035" y="5074920"/>
          <a:ext cx="495300" cy="809625"/>
        </a:xfrm>
        <a:prstGeom prst="curvedLeftArrow">
          <a:avLst/>
        </a:pr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>
            <a:solidFill>
              <a:schemeClr val="tx1"/>
            </a:solidFill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21</xdr:col>
      <xdr:colOff>335280</xdr:colOff>
      <xdr:row>34</xdr:row>
      <xdr:rowOff>15240</xdr:rowOff>
    </xdr:to>
    <xdr:graphicFrame macro="">
      <xdr:nvGraphicFramePr>
        <xdr:cNvPr id="2" name="Диаграмма 3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241935</xdr:colOff>
      <xdr:row>28</xdr:row>
      <xdr:rowOff>99060</xdr:rowOff>
    </xdr:from>
    <xdr:to>
      <xdr:col>21</xdr:col>
      <xdr:colOff>127635</xdr:colOff>
      <xdr:row>31</xdr:row>
      <xdr:rowOff>146685</xdr:rowOff>
    </xdr:to>
    <xdr:sp macro="" textlink="">
      <xdr:nvSpPr>
        <xdr:cNvPr id="3" name="Arrow: Curved Left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SpPr/>
      </xdr:nvSpPr>
      <xdr:spPr>
        <a:xfrm>
          <a:off x="13584555" y="5440680"/>
          <a:ext cx="510540" cy="596265"/>
        </a:xfrm>
        <a:prstGeom prst="curvedLeftArrow">
          <a:avLst/>
        </a:pr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>
            <a:solidFill>
              <a:schemeClr val="tx1"/>
            </a:solidFill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21</xdr:col>
      <xdr:colOff>152400</xdr:colOff>
      <xdr:row>34</xdr:row>
      <xdr:rowOff>15240</xdr:rowOff>
    </xdr:to>
    <xdr:graphicFrame macro="">
      <xdr:nvGraphicFramePr>
        <xdr:cNvPr id="2" name="Диаграмма 3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160020</xdr:colOff>
      <xdr:row>28</xdr:row>
      <xdr:rowOff>125730</xdr:rowOff>
    </xdr:from>
    <xdr:to>
      <xdr:col>21</xdr:col>
      <xdr:colOff>30480</xdr:colOff>
      <xdr:row>31</xdr:row>
      <xdr:rowOff>173355</xdr:rowOff>
    </xdr:to>
    <xdr:sp macro="" textlink="">
      <xdr:nvSpPr>
        <xdr:cNvPr id="3" name="Arrow: Curved Left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SpPr/>
      </xdr:nvSpPr>
      <xdr:spPr>
        <a:xfrm>
          <a:off x="13609320" y="5429250"/>
          <a:ext cx="495300" cy="596265"/>
        </a:xfrm>
        <a:prstGeom prst="curvedLeftArrow">
          <a:avLst/>
        </a:pr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>
            <a:solidFill>
              <a:schemeClr val="tx1"/>
            </a:solidFill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18</xdr:col>
      <xdr:colOff>590550</xdr:colOff>
      <xdr:row>31</xdr:row>
      <xdr:rowOff>161925</xdr:rowOff>
    </xdr:to>
    <xdr:graphicFrame macro="">
      <xdr:nvGraphicFramePr>
        <xdr:cNvPr id="2" name="Диаграмма 3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529590</xdr:colOff>
      <xdr:row>26</xdr:row>
      <xdr:rowOff>15240</xdr:rowOff>
    </xdr:from>
    <xdr:to>
      <xdr:col>18</xdr:col>
      <xdr:colOff>430530</xdr:colOff>
      <xdr:row>29</xdr:row>
      <xdr:rowOff>55245</xdr:rowOff>
    </xdr:to>
    <xdr:sp macro="" textlink="">
      <xdr:nvSpPr>
        <xdr:cNvPr id="3" name="Arrow: Curved Left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SpPr/>
      </xdr:nvSpPr>
      <xdr:spPr>
        <a:xfrm>
          <a:off x="11931015" y="5158740"/>
          <a:ext cx="510540" cy="611505"/>
        </a:xfrm>
        <a:prstGeom prst="curvedLeftArrow">
          <a:avLst/>
        </a:pr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>
            <a:solidFill>
              <a:schemeClr val="tx1"/>
            </a:solidFill>
          </a:endParaRP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21</xdr:col>
      <xdr:colOff>7620</xdr:colOff>
      <xdr:row>34</xdr:row>
      <xdr:rowOff>30480</xdr:rowOff>
    </xdr:to>
    <xdr:graphicFrame macro="">
      <xdr:nvGraphicFramePr>
        <xdr:cNvPr id="2" name="Диаграмма 3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53340</xdr:colOff>
      <xdr:row>28</xdr:row>
      <xdr:rowOff>135255</xdr:rowOff>
    </xdr:from>
    <xdr:to>
      <xdr:col>20</xdr:col>
      <xdr:colOff>563880</xdr:colOff>
      <xdr:row>32</xdr:row>
      <xdr:rowOff>0</xdr:rowOff>
    </xdr:to>
    <xdr:sp macro="" textlink="">
      <xdr:nvSpPr>
        <xdr:cNvPr id="3" name="Arrow: Curved Left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SpPr/>
      </xdr:nvSpPr>
      <xdr:spPr>
        <a:xfrm>
          <a:off x="13586460" y="5438775"/>
          <a:ext cx="510540" cy="596265"/>
        </a:xfrm>
        <a:prstGeom prst="curvedLeftArrow">
          <a:avLst/>
        </a:pr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>
            <a:solidFill>
              <a:schemeClr val="tx1"/>
            </a:solidFill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19</xdr:col>
      <xdr:colOff>400050</xdr:colOff>
      <xdr:row>31</xdr:row>
      <xdr:rowOff>0</xdr:rowOff>
    </xdr:to>
    <xdr:graphicFrame macro="">
      <xdr:nvGraphicFramePr>
        <xdr:cNvPr id="2" name="Диаграмма 3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432435</xdr:colOff>
      <xdr:row>25</xdr:row>
      <xdr:rowOff>81915</xdr:rowOff>
    </xdr:from>
    <xdr:to>
      <xdr:col>19</xdr:col>
      <xdr:colOff>318135</xdr:colOff>
      <xdr:row>28</xdr:row>
      <xdr:rowOff>129540</xdr:rowOff>
    </xdr:to>
    <xdr:sp macro="" textlink="">
      <xdr:nvSpPr>
        <xdr:cNvPr id="3" name="Arrow: Curved Left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SpPr/>
      </xdr:nvSpPr>
      <xdr:spPr>
        <a:xfrm>
          <a:off x="12033885" y="5225415"/>
          <a:ext cx="495300" cy="619125"/>
        </a:xfrm>
        <a:prstGeom prst="curvedLeftArrow">
          <a:avLst/>
        </a:pr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>
            <a:solidFill>
              <a:schemeClr val="tx1"/>
            </a:solidFill>
          </a:endParaRP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</xdr:colOff>
      <xdr:row>0</xdr:row>
      <xdr:rowOff>0</xdr:rowOff>
    </xdr:from>
    <xdr:to>
      <xdr:col>18</xdr:col>
      <xdr:colOff>485776</xdr:colOff>
      <xdr:row>31</xdr:row>
      <xdr:rowOff>0</xdr:rowOff>
    </xdr:to>
    <xdr:graphicFrame macro="">
      <xdr:nvGraphicFramePr>
        <xdr:cNvPr id="2" name="Диаграмма 3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485775</xdr:colOff>
      <xdr:row>25</xdr:row>
      <xdr:rowOff>95250</xdr:rowOff>
    </xdr:from>
    <xdr:to>
      <xdr:col>18</xdr:col>
      <xdr:colOff>371475</xdr:colOff>
      <xdr:row>28</xdr:row>
      <xdr:rowOff>180975</xdr:rowOff>
    </xdr:to>
    <xdr:sp macro="" textlink="">
      <xdr:nvSpPr>
        <xdr:cNvPr id="3" name="Arrow: Curved Left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SpPr/>
      </xdr:nvSpPr>
      <xdr:spPr>
        <a:xfrm>
          <a:off x="11944350" y="5133975"/>
          <a:ext cx="495300" cy="657225"/>
        </a:xfrm>
        <a:prstGeom prst="curvedLeftArrow">
          <a:avLst/>
        </a:pr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>
            <a:solidFill>
              <a:schemeClr val="tx1"/>
            </a:solidFill>
          </a:endParaRP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19</xdr:col>
      <xdr:colOff>361950</xdr:colOff>
      <xdr:row>30</xdr:row>
      <xdr:rowOff>161925</xdr:rowOff>
    </xdr:to>
    <xdr:graphicFrame macro="">
      <xdr:nvGraphicFramePr>
        <xdr:cNvPr id="2" name="Диаграмма 3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400050</xdr:colOff>
      <xdr:row>25</xdr:row>
      <xdr:rowOff>87630</xdr:rowOff>
    </xdr:from>
    <xdr:to>
      <xdr:col>19</xdr:col>
      <xdr:colOff>285750</xdr:colOff>
      <xdr:row>28</xdr:row>
      <xdr:rowOff>135255</xdr:rowOff>
    </xdr:to>
    <xdr:sp macro="" textlink="">
      <xdr:nvSpPr>
        <xdr:cNvPr id="3" name="Arrow: Curved Left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SpPr/>
      </xdr:nvSpPr>
      <xdr:spPr>
        <a:xfrm>
          <a:off x="12001500" y="5231130"/>
          <a:ext cx="495300" cy="619125"/>
        </a:xfrm>
        <a:prstGeom prst="curvedLeftArrow">
          <a:avLst/>
        </a:pr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>
            <a:solidFill>
              <a:schemeClr val="tx1"/>
            </a:solidFill>
          </a:endParaRP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19</xdr:col>
      <xdr:colOff>400050</xdr:colOff>
      <xdr:row>30</xdr:row>
      <xdr:rowOff>57149</xdr:rowOff>
    </xdr:to>
    <xdr:graphicFrame macro="">
      <xdr:nvGraphicFramePr>
        <xdr:cNvPr id="2" name="Диаграмма 3">
          <a:extLst>
            <a:ext uri="{FF2B5EF4-FFF2-40B4-BE49-F238E27FC236}">
              <a16:creationId xmlns:a16="http://schemas.microsoft.com/office/drawing/2014/main" id="{66C4E88B-B03B-45F5-8535-855CADBCFAB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453390</xdr:colOff>
      <xdr:row>25</xdr:row>
      <xdr:rowOff>1905</xdr:rowOff>
    </xdr:from>
    <xdr:to>
      <xdr:col>19</xdr:col>
      <xdr:colOff>339090</xdr:colOff>
      <xdr:row>28</xdr:row>
      <xdr:rowOff>49530</xdr:rowOff>
    </xdr:to>
    <xdr:sp macro="" textlink="">
      <xdr:nvSpPr>
        <xdr:cNvPr id="3" name="Arrow: Curved Left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8D9F9804-8273-4BA9-A551-A7D65DD98D55}"/>
            </a:ext>
          </a:extLst>
        </xdr:cNvPr>
        <xdr:cNvSpPr/>
      </xdr:nvSpPr>
      <xdr:spPr>
        <a:xfrm>
          <a:off x="12054840" y="5335905"/>
          <a:ext cx="495300" cy="619125"/>
        </a:xfrm>
        <a:prstGeom prst="curvedLeftArrow">
          <a:avLst/>
        </a:pr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>
            <a:solidFill>
              <a:schemeClr val="tx1"/>
            </a:solidFill>
          </a:endParaRP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21</xdr:col>
      <xdr:colOff>342900</xdr:colOff>
      <xdr:row>33</xdr:row>
      <xdr:rowOff>106680</xdr:rowOff>
    </xdr:to>
    <xdr:graphicFrame macro="">
      <xdr:nvGraphicFramePr>
        <xdr:cNvPr id="2" name="Диаграмма 3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276225</xdr:colOff>
      <xdr:row>27</xdr:row>
      <xdr:rowOff>171450</xdr:rowOff>
    </xdr:from>
    <xdr:to>
      <xdr:col>21</xdr:col>
      <xdr:colOff>161925</xdr:colOff>
      <xdr:row>31</xdr:row>
      <xdr:rowOff>36195</xdr:rowOff>
    </xdr:to>
    <xdr:sp macro="" textlink="">
      <xdr:nvSpPr>
        <xdr:cNvPr id="3" name="Arrow: Curved Left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SpPr/>
      </xdr:nvSpPr>
      <xdr:spPr>
        <a:xfrm>
          <a:off x="13550265" y="5398770"/>
          <a:ext cx="510540" cy="596265"/>
        </a:xfrm>
        <a:prstGeom prst="curvedLeftArrow">
          <a:avLst/>
        </a:pr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>
            <a:solidFill>
              <a:schemeClr val="tx1"/>
            </a:solidFill>
          </a:endParaRP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21</xdr:col>
      <xdr:colOff>144780</xdr:colOff>
      <xdr:row>33</xdr:row>
      <xdr:rowOff>106680</xdr:rowOff>
    </xdr:to>
    <xdr:graphicFrame macro="">
      <xdr:nvGraphicFramePr>
        <xdr:cNvPr id="2" name="Диаграмма 3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194310</xdr:colOff>
      <xdr:row>27</xdr:row>
      <xdr:rowOff>180975</xdr:rowOff>
    </xdr:from>
    <xdr:to>
      <xdr:col>21</xdr:col>
      <xdr:colOff>64770</xdr:colOff>
      <xdr:row>31</xdr:row>
      <xdr:rowOff>45720</xdr:rowOff>
    </xdr:to>
    <xdr:sp macro="" textlink="">
      <xdr:nvSpPr>
        <xdr:cNvPr id="3" name="Arrow: Curved Left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SpPr/>
      </xdr:nvSpPr>
      <xdr:spPr>
        <a:xfrm>
          <a:off x="13628370" y="5400675"/>
          <a:ext cx="495300" cy="596265"/>
        </a:xfrm>
        <a:prstGeom prst="curvedLeftArrow">
          <a:avLst/>
        </a:pr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>
            <a:solidFill>
              <a:schemeClr val="tx1"/>
            </a:solidFill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../../../Hugo%20Nieto/Downloads/Open%20Interest.xlsm" TargetMode="External"/><Relationship Id="rId1" Type="http://schemas.openxmlformats.org/officeDocument/2006/relationships/externalLinkPath" Target="/Users/Hugo%20Nieto/Downloads/Open%20Interest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relativeUrl r:id="rId2"/>
    </xxl21:alternateUrls>
    <sheetNames>
      <sheetName val="Main"/>
      <sheetName val="Metals"/>
      <sheetName val="FX"/>
      <sheetName val="Energy"/>
      <sheetName val="Links"/>
      <sheetName val="Gold OI Chart"/>
      <sheetName val="Silver OI Chart"/>
      <sheetName val="Oil OI Chart"/>
      <sheetName val="Copper OI Chart"/>
      <sheetName val="Iron Ore OI Chart"/>
      <sheetName val="EUR Chart"/>
      <sheetName val="GBP Chart"/>
      <sheetName val="JPY Chart"/>
      <sheetName val="CHF Chart"/>
      <sheetName val="AUD Chart"/>
      <sheetName val="NZD Chart"/>
      <sheetName val="CAD Chart"/>
      <sheetName val="EURGBP Chart"/>
      <sheetName val="EURJPY Chart"/>
      <sheetName val="EURCHF Chart"/>
      <sheetName val="EURAUD Chart"/>
      <sheetName val="EURCAD Chart"/>
      <sheetName val="GBPJPY Chart"/>
      <sheetName val="AUDJPY Chart"/>
      <sheetName val="AUDNZD Chart"/>
      <sheetName val="Gold"/>
      <sheetName val="Silver"/>
      <sheetName val="Oil"/>
      <sheetName val="AUD"/>
      <sheetName val="GBP"/>
      <sheetName val="CAD"/>
      <sheetName val="EUR"/>
      <sheetName val="JPY"/>
      <sheetName val="NZD"/>
      <sheetName val="CHF"/>
      <sheetName val="Copper"/>
      <sheetName val="Iron Ore"/>
      <sheetName val="EURGBP"/>
      <sheetName val="EURJPY"/>
      <sheetName val="EURCHF"/>
      <sheetName val="EURAUD"/>
      <sheetName val="EURCAD"/>
      <sheetName val="GBPJPY"/>
      <sheetName val="AUDJPY"/>
      <sheetName val="AUDNZD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Slice">
    <a:majorFont>
      <a:latin typeface="Century Gothic" panose="020B0502020202020204"/>
      <a:ea typeface=""/>
      <a:cs typeface=""/>
      <a:font script="Jpan" typeface="メイリオ"/>
      <a:font script="Hang" typeface="HY중고딕"/>
      <a:font script="Hans" typeface="幼圆"/>
      <a:font script="Hant" typeface="微軟正黑體"/>
      <a:font script="Arab" typeface="Tahoma"/>
      <a:font script="Hebr" typeface="Gisha"/>
      <a:font script="Thai" typeface="DilleniaUPC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ajorFont>
    <a:minorFont>
      <a:latin typeface="Century Gothic" panose="020B0502020202020204"/>
      <a:ea typeface=""/>
      <a:cs typeface=""/>
      <a:font script="Jpan" typeface="メイリオ"/>
      <a:font script="Hang" typeface="HY중고딕"/>
      <a:font script="Hans" typeface="幼圆"/>
      <a:font script="Hant" typeface="微軟正黑體"/>
      <a:font script="Arab" typeface="Tahoma"/>
      <a:font script="Hebr" typeface="Gisha"/>
      <a:font script="Thai" typeface="DilleniaUPC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inorFont>
  </a:fontScheme>
  <a:fmtScheme name="Slice">
    <a:fillStyleLst>
      <a:solidFill>
        <a:schemeClr val="phClr"/>
      </a:solidFill>
      <a:gradFill rotWithShape="1">
        <a:gsLst>
          <a:gs pos="0">
            <a:schemeClr val="phClr">
              <a:tint val="62000"/>
              <a:hueMod val="94000"/>
              <a:satMod val="140000"/>
              <a:lumMod val="110000"/>
            </a:schemeClr>
          </a:gs>
          <a:gs pos="100000">
            <a:schemeClr val="phClr">
              <a:tint val="84000"/>
              <a:satMod val="160000"/>
            </a:schemeClr>
          </a:gs>
        </a:gsLst>
        <a:lin ang="5400000" scaled="0"/>
      </a:gradFill>
      <a:gradFill rotWithShape="1">
        <a:gsLst>
          <a:gs pos="0">
            <a:schemeClr val="phClr">
              <a:tint val="98000"/>
              <a:hueMod val="94000"/>
              <a:satMod val="130000"/>
              <a:lumMod val="128000"/>
            </a:schemeClr>
          </a:gs>
          <a:gs pos="100000">
            <a:schemeClr val="phClr">
              <a:shade val="94000"/>
              <a:lumMod val="88000"/>
            </a:schemeClr>
          </a:gs>
        </a:gsLst>
        <a:lin ang="5400000" scaled="0"/>
      </a:gradFill>
    </a:fillStyleLst>
    <a:lnStyleLst>
      <a:ln w="9525" cap="rnd" cmpd="sng" algn="ctr">
        <a:solidFill>
          <a:schemeClr val="phClr">
            <a:tint val="76000"/>
            <a:alpha val="60000"/>
            <a:hueMod val="94000"/>
          </a:schemeClr>
        </a:solidFill>
        <a:prstDash val="solid"/>
      </a:ln>
      <a:ln w="15875" cap="rnd" cmpd="sng" algn="ctr">
        <a:solidFill>
          <a:schemeClr val="phClr">
            <a:hueMod val="94000"/>
          </a:schemeClr>
        </a:solidFill>
        <a:prstDash val="solid"/>
      </a:ln>
      <a:ln w="28575" cap="rnd" cmpd="sng" algn="ctr">
        <a:solidFill>
          <a:schemeClr val="phClr"/>
        </a:solidFill>
        <a:prstDash val="solid"/>
      </a:ln>
    </a:lnStyleLst>
    <a:effectStyleLst>
      <a:effectStyle>
        <a:effectLst/>
      </a:effectStyle>
      <a:effectStyle>
        <a:effectLst>
          <a:innerShdw blurRad="25400" dist="12700" dir="13500000">
            <a:srgbClr val="000000">
              <a:alpha val="45000"/>
            </a:srgbClr>
          </a:innerShdw>
        </a:effectLst>
      </a:effectStyle>
      <a:effectStyle>
        <a:effectLst>
          <a:outerShdw blurRad="50800" dist="38100" dir="5400000" rotWithShape="0">
            <a:srgbClr val="000000">
              <a:alpha val="46000"/>
            </a:srgbClr>
          </a:outerShdw>
        </a:effectLst>
        <a:scene3d>
          <a:camera prst="orthographicFront">
            <a:rot lat="0" lon="0" rev="0"/>
          </a:camera>
          <a:lightRig rig="threePt" dir="t"/>
        </a:scene3d>
        <a:sp3d prstMaterial="plastic">
          <a:bevelT w="25400" h="25400"/>
        </a:sp3d>
      </a:effectStyle>
    </a:effectStyleLst>
    <a:bgFillStyleLst>
      <a:solidFill>
        <a:schemeClr val="phClr"/>
      </a:solidFill>
      <a:gradFill rotWithShape="1">
        <a:gsLst>
          <a:gs pos="10000">
            <a:schemeClr val="phClr">
              <a:tint val="97000"/>
              <a:hueMod val="92000"/>
              <a:satMod val="169000"/>
              <a:lumMod val="164000"/>
            </a:schemeClr>
          </a:gs>
          <a:gs pos="100000">
            <a:schemeClr val="phClr">
              <a:shade val="96000"/>
              <a:satMod val="120000"/>
              <a:lumMod val="90000"/>
            </a:schemeClr>
          </a:gs>
        </a:gsLst>
        <a:lin ang="6120000" scaled="1"/>
      </a:gradFill>
      <a:gradFill rotWithShape="1">
        <a:gsLst>
          <a:gs pos="0">
            <a:schemeClr val="phClr">
              <a:tint val="97000"/>
              <a:hueMod val="92000"/>
              <a:satMod val="169000"/>
              <a:lumMod val="164000"/>
            </a:schemeClr>
          </a:gs>
          <a:gs pos="100000">
            <a:schemeClr val="phClr">
              <a:shade val="96000"/>
              <a:satMod val="120000"/>
              <a:lumMod val="90000"/>
            </a:schemeClr>
          </a:gs>
        </a:gsLst>
        <a:path path="circle">
          <a:fillToRect b="10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Slice">
    <a:majorFont>
      <a:latin typeface="Century Gothic" panose="020B0502020202020204"/>
      <a:ea typeface=""/>
      <a:cs typeface=""/>
      <a:font script="Jpan" typeface="メイリオ"/>
      <a:font script="Hang" typeface="HY중고딕"/>
      <a:font script="Hans" typeface="幼圆"/>
      <a:font script="Hant" typeface="微軟正黑體"/>
      <a:font script="Arab" typeface="Tahoma"/>
      <a:font script="Hebr" typeface="Gisha"/>
      <a:font script="Thai" typeface="DilleniaUPC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ajorFont>
    <a:minorFont>
      <a:latin typeface="Century Gothic" panose="020B0502020202020204"/>
      <a:ea typeface=""/>
      <a:cs typeface=""/>
      <a:font script="Jpan" typeface="メイリオ"/>
      <a:font script="Hang" typeface="HY중고딕"/>
      <a:font script="Hans" typeface="幼圆"/>
      <a:font script="Hant" typeface="微軟正黑體"/>
      <a:font script="Arab" typeface="Tahoma"/>
      <a:font script="Hebr" typeface="Gisha"/>
      <a:font script="Thai" typeface="DilleniaUPC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inorFont>
  </a:fontScheme>
  <a:fmtScheme name="Slice">
    <a:fillStyleLst>
      <a:solidFill>
        <a:schemeClr val="phClr"/>
      </a:solidFill>
      <a:gradFill rotWithShape="1">
        <a:gsLst>
          <a:gs pos="0">
            <a:schemeClr val="phClr">
              <a:tint val="62000"/>
              <a:hueMod val="94000"/>
              <a:satMod val="140000"/>
              <a:lumMod val="110000"/>
            </a:schemeClr>
          </a:gs>
          <a:gs pos="100000">
            <a:schemeClr val="phClr">
              <a:tint val="84000"/>
              <a:satMod val="160000"/>
            </a:schemeClr>
          </a:gs>
        </a:gsLst>
        <a:lin ang="5400000" scaled="0"/>
      </a:gradFill>
      <a:gradFill rotWithShape="1">
        <a:gsLst>
          <a:gs pos="0">
            <a:schemeClr val="phClr">
              <a:tint val="98000"/>
              <a:hueMod val="94000"/>
              <a:satMod val="130000"/>
              <a:lumMod val="128000"/>
            </a:schemeClr>
          </a:gs>
          <a:gs pos="100000">
            <a:schemeClr val="phClr">
              <a:shade val="94000"/>
              <a:lumMod val="88000"/>
            </a:schemeClr>
          </a:gs>
        </a:gsLst>
        <a:lin ang="5400000" scaled="0"/>
      </a:gradFill>
    </a:fillStyleLst>
    <a:lnStyleLst>
      <a:ln w="9525" cap="rnd" cmpd="sng" algn="ctr">
        <a:solidFill>
          <a:schemeClr val="phClr">
            <a:tint val="76000"/>
            <a:alpha val="60000"/>
            <a:hueMod val="94000"/>
          </a:schemeClr>
        </a:solidFill>
        <a:prstDash val="solid"/>
      </a:ln>
      <a:ln w="15875" cap="rnd" cmpd="sng" algn="ctr">
        <a:solidFill>
          <a:schemeClr val="phClr">
            <a:hueMod val="94000"/>
          </a:schemeClr>
        </a:solidFill>
        <a:prstDash val="solid"/>
      </a:ln>
      <a:ln w="28575" cap="rnd" cmpd="sng" algn="ctr">
        <a:solidFill>
          <a:schemeClr val="phClr"/>
        </a:solidFill>
        <a:prstDash val="solid"/>
      </a:ln>
    </a:lnStyleLst>
    <a:effectStyleLst>
      <a:effectStyle>
        <a:effectLst/>
      </a:effectStyle>
      <a:effectStyle>
        <a:effectLst>
          <a:innerShdw blurRad="25400" dist="12700" dir="13500000">
            <a:srgbClr val="000000">
              <a:alpha val="45000"/>
            </a:srgbClr>
          </a:innerShdw>
        </a:effectLst>
      </a:effectStyle>
      <a:effectStyle>
        <a:effectLst>
          <a:outerShdw blurRad="50800" dist="38100" dir="5400000" rotWithShape="0">
            <a:srgbClr val="000000">
              <a:alpha val="46000"/>
            </a:srgbClr>
          </a:outerShdw>
        </a:effectLst>
        <a:scene3d>
          <a:camera prst="orthographicFront">
            <a:rot lat="0" lon="0" rev="0"/>
          </a:camera>
          <a:lightRig rig="threePt" dir="t"/>
        </a:scene3d>
        <a:sp3d prstMaterial="plastic">
          <a:bevelT w="25400" h="25400"/>
        </a:sp3d>
      </a:effectStyle>
    </a:effectStyleLst>
    <a:bgFillStyleLst>
      <a:solidFill>
        <a:schemeClr val="phClr"/>
      </a:solidFill>
      <a:gradFill rotWithShape="1">
        <a:gsLst>
          <a:gs pos="10000">
            <a:schemeClr val="phClr">
              <a:tint val="97000"/>
              <a:hueMod val="92000"/>
              <a:satMod val="169000"/>
              <a:lumMod val="164000"/>
            </a:schemeClr>
          </a:gs>
          <a:gs pos="100000">
            <a:schemeClr val="phClr">
              <a:shade val="96000"/>
              <a:satMod val="120000"/>
              <a:lumMod val="90000"/>
            </a:schemeClr>
          </a:gs>
        </a:gsLst>
        <a:lin ang="6120000" scaled="1"/>
      </a:gradFill>
      <a:gradFill rotWithShape="1">
        <a:gsLst>
          <a:gs pos="0">
            <a:schemeClr val="phClr">
              <a:tint val="97000"/>
              <a:hueMod val="92000"/>
              <a:satMod val="169000"/>
              <a:lumMod val="164000"/>
            </a:schemeClr>
          </a:gs>
          <a:gs pos="100000">
            <a:schemeClr val="phClr">
              <a:shade val="96000"/>
              <a:satMod val="120000"/>
              <a:lumMod val="90000"/>
            </a:schemeClr>
          </a:gs>
        </a:gsLst>
        <a:path path="circle">
          <a:fillToRect b="10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Slice">
    <a:majorFont>
      <a:latin typeface="Century Gothic" panose="020B0502020202020204"/>
      <a:ea typeface=""/>
      <a:cs typeface=""/>
      <a:font script="Jpan" typeface="メイリオ"/>
      <a:font script="Hang" typeface="HY중고딕"/>
      <a:font script="Hans" typeface="幼圆"/>
      <a:font script="Hant" typeface="微軟正黑體"/>
      <a:font script="Arab" typeface="Tahoma"/>
      <a:font script="Hebr" typeface="Gisha"/>
      <a:font script="Thai" typeface="DilleniaUPC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ajorFont>
    <a:minorFont>
      <a:latin typeface="Century Gothic" panose="020B0502020202020204"/>
      <a:ea typeface=""/>
      <a:cs typeface=""/>
      <a:font script="Jpan" typeface="メイリオ"/>
      <a:font script="Hang" typeface="HY중고딕"/>
      <a:font script="Hans" typeface="幼圆"/>
      <a:font script="Hant" typeface="微軟正黑體"/>
      <a:font script="Arab" typeface="Tahoma"/>
      <a:font script="Hebr" typeface="Gisha"/>
      <a:font script="Thai" typeface="DilleniaUPC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inorFont>
  </a:fontScheme>
  <a:fmtScheme name="Slice">
    <a:fillStyleLst>
      <a:solidFill>
        <a:schemeClr val="phClr"/>
      </a:solidFill>
      <a:gradFill rotWithShape="1">
        <a:gsLst>
          <a:gs pos="0">
            <a:schemeClr val="phClr">
              <a:tint val="62000"/>
              <a:hueMod val="94000"/>
              <a:satMod val="140000"/>
              <a:lumMod val="110000"/>
            </a:schemeClr>
          </a:gs>
          <a:gs pos="100000">
            <a:schemeClr val="phClr">
              <a:tint val="84000"/>
              <a:satMod val="160000"/>
            </a:schemeClr>
          </a:gs>
        </a:gsLst>
        <a:lin ang="5400000" scaled="0"/>
      </a:gradFill>
      <a:gradFill rotWithShape="1">
        <a:gsLst>
          <a:gs pos="0">
            <a:schemeClr val="phClr">
              <a:tint val="98000"/>
              <a:hueMod val="94000"/>
              <a:satMod val="130000"/>
              <a:lumMod val="128000"/>
            </a:schemeClr>
          </a:gs>
          <a:gs pos="100000">
            <a:schemeClr val="phClr">
              <a:shade val="94000"/>
              <a:lumMod val="88000"/>
            </a:schemeClr>
          </a:gs>
        </a:gsLst>
        <a:lin ang="5400000" scaled="0"/>
      </a:gradFill>
    </a:fillStyleLst>
    <a:lnStyleLst>
      <a:ln w="9525" cap="rnd" cmpd="sng" algn="ctr">
        <a:solidFill>
          <a:schemeClr val="phClr">
            <a:tint val="76000"/>
            <a:alpha val="60000"/>
            <a:hueMod val="94000"/>
          </a:schemeClr>
        </a:solidFill>
        <a:prstDash val="solid"/>
      </a:ln>
      <a:ln w="15875" cap="rnd" cmpd="sng" algn="ctr">
        <a:solidFill>
          <a:schemeClr val="phClr">
            <a:hueMod val="94000"/>
          </a:schemeClr>
        </a:solidFill>
        <a:prstDash val="solid"/>
      </a:ln>
      <a:ln w="28575" cap="rnd" cmpd="sng" algn="ctr">
        <a:solidFill>
          <a:schemeClr val="phClr"/>
        </a:solidFill>
        <a:prstDash val="solid"/>
      </a:ln>
    </a:lnStyleLst>
    <a:effectStyleLst>
      <a:effectStyle>
        <a:effectLst/>
      </a:effectStyle>
      <a:effectStyle>
        <a:effectLst>
          <a:innerShdw blurRad="25400" dist="12700" dir="13500000">
            <a:srgbClr val="000000">
              <a:alpha val="45000"/>
            </a:srgbClr>
          </a:innerShdw>
        </a:effectLst>
      </a:effectStyle>
      <a:effectStyle>
        <a:effectLst>
          <a:outerShdw blurRad="50800" dist="38100" dir="5400000" rotWithShape="0">
            <a:srgbClr val="000000">
              <a:alpha val="46000"/>
            </a:srgbClr>
          </a:outerShdw>
        </a:effectLst>
        <a:scene3d>
          <a:camera prst="orthographicFront">
            <a:rot lat="0" lon="0" rev="0"/>
          </a:camera>
          <a:lightRig rig="threePt" dir="t"/>
        </a:scene3d>
        <a:sp3d prstMaterial="plastic">
          <a:bevelT w="25400" h="25400"/>
        </a:sp3d>
      </a:effectStyle>
    </a:effectStyleLst>
    <a:bgFillStyleLst>
      <a:solidFill>
        <a:schemeClr val="phClr"/>
      </a:solidFill>
      <a:gradFill rotWithShape="1">
        <a:gsLst>
          <a:gs pos="10000">
            <a:schemeClr val="phClr">
              <a:tint val="97000"/>
              <a:hueMod val="92000"/>
              <a:satMod val="169000"/>
              <a:lumMod val="164000"/>
            </a:schemeClr>
          </a:gs>
          <a:gs pos="100000">
            <a:schemeClr val="phClr">
              <a:shade val="96000"/>
              <a:satMod val="120000"/>
              <a:lumMod val="90000"/>
            </a:schemeClr>
          </a:gs>
        </a:gsLst>
        <a:lin ang="6120000" scaled="1"/>
      </a:gradFill>
      <a:gradFill rotWithShape="1">
        <a:gsLst>
          <a:gs pos="0">
            <a:schemeClr val="phClr">
              <a:tint val="97000"/>
              <a:hueMod val="92000"/>
              <a:satMod val="169000"/>
              <a:lumMod val="164000"/>
            </a:schemeClr>
          </a:gs>
          <a:gs pos="100000">
            <a:schemeClr val="phClr">
              <a:shade val="96000"/>
              <a:satMod val="120000"/>
              <a:lumMod val="90000"/>
            </a:schemeClr>
          </a:gs>
        </a:gsLst>
        <a:path path="circle">
          <a:fillToRect b="10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Slice">
    <a:majorFont>
      <a:latin typeface="Century Gothic" panose="020B0502020202020204"/>
      <a:ea typeface=""/>
      <a:cs typeface=""/>
      <a:font script="Jpan" typeface="メイリオ"/>
      <a:font script="Hang" typeface="HY중고딕"/>
      <a:font script="Hans" typeface="幼圆"/>
      <a:font script="Hant" typeface="微軟正黑體"/>
      <a:font script="Arab" typeface="Tahoma"/>
      <a:font script="Hebr" typeface="Gisha"/>
      <a:font script="Thai" typeface="DilleniaUPC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ajorFont>
    <a:minorFont>
      <a:latin typeface="Century Gothic" panose="020B0502020202020204"/>
      <a:ea typeface=""/>
      <a:cs typeface=""/>
      <a:font script="Jpan" typeface="メイリオ"/>
      <a:font script="Hang" typeface="HY중고딕"/>
      <a:font script="Hans" typeface="幼圆"/>
      <a:font script="Hant" typeface="微軟正黑體"/>
      <a:font script="Arab" typeface="Tahoma"/>
      <a:font script="Hebr" typeface="Gisha"/>
      <a:font script="Thai" typeface="DilleniaUPC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inorFont>
  </a:fontScheme>
  <a:fmtScheme name="Slice">
    <a:fillStyleLst>
      <a:solidFill>
        <a:schemeClr val="phClr"/>
      </a:solidFill>
      <a:gradFill rotWithShape="1">
        <a:gsLst>
          <a:gs pos="0">
            <a:schemeClr val="phClr">
              <a:tint val="62000"/>
              <a:hueMod val="94000"/>
              <a:satMod val="140000"/>
              <a:lumMod val="110000"/>
            </a:schemeClr>
          </a:gs>
          <a:gs pos="100000">
            <a:schemeClr val="phClr">
              <a:tint val="84000"/>
              <a:satMod val="160000"/>
            </a:schemeClr>
          </a:gs>
        </a:gsLst>
        <a:lin ang="5400000" scaled="0"/>
      </a:gradFill>
      <a:gradFill rotWithShape="1">
        <a:gsLst>
          <a:gs pos="0">
            <a:schemeClr val="phClr">
              <a:tint val="98000"/>
              <a:hueMod val="94000"/>
              <a:satMod val="130000"/>
              <a:lumMod val="128000"/>
            </a:schemeClr>
          </a:gs>
          <a:gs pos="100000">
            <a:schemeClr val="phClr">
              <a:shade val="94000"/>
              <a:lumMod val="88000"/>
            </a:schemeClr>
          </a:gs>
        </a:gsLst>
        <a:lin ang="5400000" scaled="0"/>
      </a:gradFill>
    </a:fillStyleLst>
    <a:lnStyleLst>
      <a:ln w="9525" cap="rnd" cmpd="sng" algn="ctr">
        <a:solidFill>
          <a:schemeClr val="phClr">
            <a:tint val="76000"/>
            <a:alpha val="60000"/>
            <a:hueMod val="94000"/>
          </a:schemeClr>
        </a:solidFill>
        <a:prstDash val="solid"/>
      </a:ln>
      <a:ln w="15875" cap="rnd" cmpd="sng" algn="ctr">
        <a:solidFill>
          <a:schemeClr val="phClr">
            <a:hueMod val="94000"/>
          </a:schemeClr>
        </a:solidFill>
        <a:prstDash val="solid"/>
      </a:ln>
      <a:ln w="28575" cap="rnd" cmpd="sng" algn="ctr">
        <a:solidFill>
          <a:schemeClr val="phClr"/>
        </a:solidFill>
        <a:prstDash val="solid"/>
      </a:ln>
    </a:lnStyleLst>
    <a:effectStyleLst>
      <a:effectStyle>
        <a:effectLst/>
      </a:effectStyle>
      <a:effectStyle>
        <a:effectLst>
          <a:innerShdw blurRad="25400" dist="12700" dir="13500000">
            <a:srgbClr val="000000">
              <a:alpha val="45000"/>
            </a:srgbClr>
          </a:innerShdw>
        </a:effectLst>
      </a:effectStyle>
      <a:effectStyle>
        <a:effectLst>
          <a:outerShdw blurRad="50800" dist="38100" dir="5400000" rotWithShape="0">
            <a:srgbClr val="000000">
              <a:alpha val="46000"/>
            </a:srgbClr>
          </a:outerShdw>
        </a:effectLst>
        <a:scene3d>
          <a:camera prst="orthographicFront">
            <a:rot lat="0" lon="0" rev="0"/>
          </a:camera>
          <a:lightRig rig="threePt" dir="t"/>
        </a:scene3d>
        <a:sp3d prstMaterial="plastic">
          <a:bevelT w="25400" h="25400"/>
        </a:sp3d>
      </a:effectStyle>
    </a:effectStyleLst>
    <a:bgFillStyleLst>
      <a:solidFill>
        <a:schemeClr val="phClr"/>
      </a:solidFill>
      <a:gradFill rotWithShape="1">
        <a:gsLst>
          <a:gs pos="10000">
            <a:schemeClr val="phClr">
              <a:tint val="97000"/>
              <a:hueMod val="92000"/>
              <a:satMod val="169000"/>
              <a:lumMod val="164000"/>
            </a:schemeClr>
          </a:gs>
          <a:gs pos="100000">
            <a:schemeClr val="phClr">
              <a:shade val="96000"/>
              <a:satMod val="120000"/>
              <a:lumMod val="90000"/>
            </a:schemeClr>
          </a:gs>
        </a:gsLst>
        <a:lin ang="6120000" scaled="1"/>
      </a:gradFill>
      <a:gradFill rotWithShape="1">
        <a:gsLst>
          <a:gs pos="0">
            <a:schemeClr val="phClr">
              <a:tint val="97000"/>
              <a:hueMod val="92000"/>
              <a:satMod val="169000"/>
              <a:lumMod val="164000"/>
            </a:schemeClr>
          </a:gs>
          <a:gs pos="100000">
            <a:schemeClr val="phClr">
              <a:shade val="96000"/>
              <a:satMod val="120000"/>
              <a:lumMod val="90000"/>
            </a:schemeClr>
          </a:gs>
        </a:gsLst>
        <a:path path="circle">
          <a:fillToRect b="10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Slice">
    <a:majorFont>
      <a:latin typeface="Century Gothic" panose="020B0502020202020204"/>
      <a:ea typeface=""/>
      <a:cs typeface=""/>
      <a:font script="Jpan" typeface="メイリオ"/>
      <a:font script="Hang" typeface="HY중고딕"/>
      <a:font script="Hans" typeface="幼圆"/>
      <a:font script="Hant" typeface="微軟正黑體"/>
      <a:font script="Arab" typeface="Tahoma"/>
      <a:font script="Hebr" typeface="Gisha"/>
      <a:font script="Thai" typeface="DilleniaUPC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ajorFont>
    <a:minorFont>
      <a:latin typeface="Century Gothic" panose="020B0502020202020204"/>
      <a:ea typeface=""/>
      <a:cs typeface=""/>
      <a:font script="Jpan" typeface="メイリオ"/>
      <a:font script="Hang" typeface="HY중고딕"/>
      <a:font script="Hans" typeface="幼圆"/>
      <a:font script="Hant" typeface="微軟正黑體"/>
      <a:font script="Arab" typeface="Tahoma"/>
      <a:font script="Hebr" typeface="Gisha"/>
      <a:font script="Thai" typeface="DilleniaUPC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inorFont>
  </a:fontScheme>
  <a:fmtScheme name="Slice">
    <a:fillStyleLst>
      <a:solidFill>
        <a:schemeClr val="phClr"/>
      </a:solidFill>
      <a:gradFill rotWithShape="1">
        <a:gsLst>
          <a:gs pos="0">
            <a:schemeClr val="phClr">
              <a:tint val="62000"/>
              <a:hueMod val="94000"/>
              <a:satMod val="140000"/>
              <a:lumMod val="110000"/>
            </a:schemeClr>
          </a:gs>
          <a:gs pos="100000">
            <a:schemeClr val="phClr">
              <a:tint val="84000"/>
              <a:satMod val="160000"/>
            </a:schemeClr>
          </a:gs>
        </a:gsLst>
        <a:lin ang="5400000" scaled="0"/>
      </a:gradFill>
      <a:gradFill rotWithShape="1">
        <a:gsLst>
          <a:gs pos="0">
            <a:schemeClr val="phClr">
              <a:tint val="98000"/>
              <a:hueMod val="94000"/>
              <a:satMod val="130000"/>
              <a:lumMod val="128000"/>
            </a:schemeClr>
          </a:gs>
          <a:gs pos="100000">
            <a:schemeClr val="phClr">
              <a:shade val="94000"/>
              <a:lumMod val="88000"/>
            </a:schemeClr>
          </a:gs>
        </a:gsLst>
        <a:lin ang="5400000" scaled="0"/>
      </a:gradFill>
    </a:fillStyleLst>
    <a:lnStyleLst>
      <a:ln w="9525" cap="rnd" cmpd="sng" algn="ctr">
        <a:solidFill>
          <a:schemeClr val="phClr">
            <a:tint val="76000"/>
            <a:alpha val="60000"/>
            <a:hueMod val="94000"/>
          </a:schemeClr>
        </a:solidFill>
        <a:prstDash val="solid"/>
      </a:ln>
      <a:ln w="15875" cap="rnd" cmpd="sng" algn="ctr">
        <a:solidFill>
          <a:schemeClr val="phClr">
            <a:hueMod val="94000"/>
          </a:schemeClr>
        </a:solidFill>
        <a:prstDash val="solid"/>
      </a:ln>
      <a:ln w="28575" cap="rnd" cmpd="sng" algn="ctr">
        <a:solidFill>
          <a:schemeClr val="phClr"/>
        </a:solidFill>
        <a:prstDash val="solid"/>
      </a:ln>
    </a:lnStyleLst>
    <a:effectStyleLst>
      <a:effectStyle>
        <a:effectLst/>
      </a:effectStyle>
      <a:effectStyle>
        <a:effectLst>
          <a:innerShdw blurRad="25400" dist="12700" dir="13500000">
            <a:srgbClr val="000000">
              <a:alpha val="45000"/>
            </a:srgbClr>
          </a:innerShdw>
        </a:effectLst>
      </a:effectStyle>
      <a:effectStyle>
        <a:effectLst>
          <a:outerShdw blurRad="50800" dist="38100" dir="5400000" rotWithShape="0">
            <a:srgbClr val="000000">
              <a:alpha val="46000"/>
            </a:srgbClr>
          </a:outerShdw>
        </a:effectLst>
        <a:scene3d>
          <a:camera prst="orthographicFront">
            <a:rot lat="0" lon="0" rev="0"/>
          </a:camera>
          <a:lightRig rig="threePt" dir="t"/>
        </a:scene3d>
        <a:sp3d prstMaterial="plastic">
          <a:bevelT w="25400" h="25400"/>
        </a:sp3d>
      </a:effectStyle>
    </a:effectStyleLst>
    <a:bgFillStyleLst>
      <a:solidFill>
        <a:schemeClr val="phClr"/>
      </a:solidFill>
      <a:gradFill rotWithShape="1">
        <a:gsLst>
          <a:gs pos="10000">
            <a:schemeClr val="phClr">
              <a:tint val="97000"/>
              <a:hueMod val="92000"/>
              <a:satMod val="169000"/>
              <a:lumMod val="164000"/>
            </a:schemeClr>
          </a:gs>
          <a:gs pos="100000">
            <a:schemeClr val="phClr">
              <a:shade val="96000"/>
              <a:satMod val="120000"/>
              <a:lumMod val="90000"/>
            </a:schemeClr>
          </a:gs>
        </a:gsLst>
        <a:lin ang="6120000" scaled="1"/>
      </a:gradFill>
      <a:gradFill rotWithShape="1">
        <a:gsLst>
          <a:gs pos="0">
            <a:schemeClr val="phClr">
              <a:tint val="97000"/>
              <a:hueMod val="92000"/>
              <a:satMod val="169000"/>
              <a:lumMod val="164000"/>
            </a:schemeClr>
          </a:gs>
          <a:gs pos="100000">
            <a:schemeClr val="phClr">
              <a:shade val="96000"/>
              <a:satMod val="120000"/>
              <a:lumMod val="90000"/>
            </a:schemeClr>
          </a:gs>
        </a:gsLst>
        <a:path path="circle">
          <a:fillToRect b="10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Slice">
    <a:majorFont>
      <a:latin typeface="Century Gothic" panose="020B0502020202020204"/>
      <a:ea typeface=""/>
      <a:cs typeface=""/>
      <a:font script="Jpan" typeface="メイリオ"/>
      <a:font script="Hang" typeface="HY중고딕"/>
      <a:font script="Hans" typeface="幼圆"/>
      <a:font script="Hant" typeface="微軟正黑體"/>
      <a:font script="Arab" typeface="Tahoma"/>
      <a:font script="Hebr" typeface="Gisha"/>
      <a:font script="Thai" typeface="DilleniaUPC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ajorFont>
    <a:minorFont>
      <a:latin typeface="Century Gothic" panose="020B0502020202020204"/>
      <a:ea typeface=""/>
      <a:cs typeface=""/>
      <a:font script="Jpan" typeface="メイリオ"/>
      <a:font script="Hang" typeface="HY중고딕"/>
      <a:font script="Hans" typeface="幼圆"/>
      <a:font script="Hant" typeface="微軟正黑體"/>
      <a:font script="Arab" typeface="Tahoma"/>
      <a:font script="Hebr" typeface="Gisha"/>
      <a:font script="Thai" typeface="DilleniaUPC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inorFont>
  </a:fontScheme>
  <a:fmtScheme name="Slice">
    <a:fillStyleLst>
      <a:solidFill>
        <a:schemeClr val="phClr"/>
      </a:solidFill>
      <a:gradFill rotWithShape="1">
        <a:gsLst>
          <a:gs pos="0">
            <a:schemeClr val="phClr">
              <a:tint val="62000"/>
              <a:hueMod val="94000"/>
              <a:satMod val="140000"/>
              <a:lumMod val="110000"/>
            </a:schemeClr>
          </a:gs>
          <a:gs pos="100000">
            <a:schemeClr val="phClr">
              <a:tint val="84000"/>
              <a:satMod val="160000"/>
            </a:schemeClr>
          </a:gs>
        </a:gsLst>
        <a:lin ang="5400000" scaled="0"/>
      </a:gradFill>
      <a:gradFill rotWithShape="1">
        <a:gsLst>
          <a:gs pos="0">
            <a:schemeClr val="phClr">
              <a:tint val="98000"/>
              <a:hueMod val="94000"/>
              <a:satMod val="130000"/>
              <a:lumMod val="128000"/>
            </a:schemeClr>
          </a:gs>
          <a:gs pos="100000">
            <a:schemeClr val="phClr">
              <a:shade val="94000"/>
              <a:lumMod val="88000"/>
            </a:schemeClr>
          </a:gs>
        </a:gsLst>
        <a:lin ang="5400000" scaled="0"/>
      </a:gradFill>
    </a:fillStyleLst>
    <a:lnStyleLst>
      <a:ln w="9525" cap="rnd" cmpd="sng" algn="ctr">
        <a:solidFill>
          <a:schemeClr val="phClr">
            <a:tint val="76000"/>
            <a:alpha val="60000"/>
            <a:hueMod val="94000"/>
          </a:schemeClr>
        </a:solidFill>
        <a:prstDash val="solid"/>
      </a:ln>
      <a:ln w="15875" cap="rnd" cmpd="sng" algn="ctr">
        <a:solidFill>
          <a:schemeClr val="phClr">
            <a:hueMod val="94000"/>
          </a:schemeClr>
        </a:solidFill>
        <a:prstDash val="solid"/>
      </a:ln>
      <a:ln w="28575" cap="rnd" cmpd="sng" algn="ctr">
        <a:solidFill>
          <a:schemeClr val="phClr"/>
        </a:solidFill>
        <a:prstDash val="solid"/>
      </a:ln>
    </a:lnStyleLst>
    <a:effectStyleLst>
      <a:effectStyle>
        <a:effectLst/>
      </a:effectStyle>
      <a:effectStyle>
        <a:effectLst>
          <a:innerShdw blurRad="25400" dist="12700" dir="13500000">
            <a:srgbClr val="000000">
              <a:alpha val="45000"/>
            </a:srgbClr>
          </a:innerShdw>
        </a:effectLst>
      </a:effectStyle>
      <a:effectStyle>
        <a:effectLst>
          <a:outerShdw blurRad="50800" dist="38100" dir="5400000" rotWithShape="0">
            <a:srgbClr val="000000">
              <a:alpha val="46000"/>
            </a:srgbClr>
          </a:outerShdw>
        </a:effectLst>
        <a:scene3d>
          <a:camera prst="orthographicFront">
            <a:rot lat="0" lon="0" rev="0"/>
          </a:camera>
          <a:lightRig rig="threePt" dir="t"/>
        </a:scene3d>
        <a:sp3d prstMaterial="plastic">
          <a:bevelT w="25400" h="25400"/>
        </a:sp3d>
      </a:effectStyle>
    </a:effectStyleLst>
    <a:bgFillStyleLst>
      <a:solidFill>
        <a:schemeClr val="phClr"/>
      </a:solidFill>
      <a:gradFill rotWithShape="1">
        <a:gsLst>
          <a:gs pos="10000">
            <a:schemeClr val="phClr">
              <a:tint val="97000"/>
              <a:hueMod val="92000"/>
              <a:satMod val="169000"/>
              <a:lumMod val="164000"/>
            </a:schemeClr>
          </a:gs>
          <a:gs pos="100000">
            <a:schemeClr val="phClr">
              <a:shade val="96000"/>
              <a:satMod val="120000"/>
              <a:lumMod val="90000"/>
            </a:schemeClr>
          </a:gs>
        </a:gsLst>
        <a:lin ang="6120000" scaled="1"/>
      </a:gradFill>
      <a:gradFill rotWithShape="1">
        <a:gsLst>
          <a:gs pos="0">
            <a:schemeClr val="phClr">
              <a:tint val="97000"/>
              <a:hueMod val="92000"/>
              <a:satMod val="169000"/>
              <a:lumMod val="164000"/>
            </a:schemeClr>
          </a:gs>
          <a:gs pos="100000">
            <a:schemeClr val="phClr">
              <a:shade val="96000"/>
              <a:satMod val="120000"/>
              <a:lumMod val="90000"/>
            </a:schemeClr>
          </a:gs>
        </a:gsLst>
        <a:path path="circle">
          <a:fillToRect b="10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Slice">
    <a:majorFont>
      <a:latin typeface="Century Gothic" panose="020B0502020202020204"/>
      <a:ea typeface=""/>
      <a:cs typeface=""/>
      <a:font script="Jpan" typeface="メイリオ"/>
      <a:font script="Hang" typeface="HY중고딕"/>
      <a:font script="Hans" typeface="幼圆"/>
      <a:font script="Hant" typeface="微軟正黑體"/>
      <a:font script="Arab" typeface="Tahoma"/>
      <a:font script="Hebr" typeface="Gisha"/>
      <a:font script="Thai" typeface="DilleniaUPC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ajorFont>
    <a:minorFont>
      <a:latin typeface="Century Gothic" panose="020B0502020202020204"/>
      <a:ea typeface=""/>
      <a:cs typeface=""/>
      <a:font script="Jpan" typeface="メイリオ"/>
      <a:font script="Hang" typeface="HY중고딕"/>
      <a:font script="Hans" typeface="幼圆"/>
      <a:font script="Hant" typeface="微軟正黑體"/>
      <a:font script="Arab" typeface="Tahoma"/>
      <a:font script="Hebr" typeface="Gisha"/>
      <a:font script="Thai" typeface="DilleniaUPC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inorFont>
  </a:fontScheme>
  <a:fmtScheme name="Slice">
    <a:fillStyleLst>
      <a:solidFill>
        <a:schemeClr val="phClr"/>
      </a:solidFill>
      <a:gradFill rotWithShape="1">
        <a:gsLst>
          <a:gs pos="0">
            <a:schemeClr val="phClr">
              <a:tint val="62000"/>
              <a:hueMod val="94000"/>
              <a:satMod val="140000"/>
              <a:lumMod val="110000"/>
            </a:schemeClr>
          </a:gs>
          <a:gs pos="100000">
            <a:schemeClr val="phClr">
              <a:tint val="84000"/>
              <a:satMod val="160000"/>
            </a:schemeClr>
          </a:gs>
        </a:gsLst>
        <a:lin ang="5400000" scaled="0"/>
      </a:gradFill>
      <a:gradFill rotWithShape="1">
        <a:gsLst>
          <a:gs pos="0">
            <a:schemeClr val="phClr">
              <a:tint val="98000"/>
              <a:hueMod val="94000"/>
              <a:satMod val="130000"/>
              <a:lumMod val="128000"/>
            </a:schemeClr>
          </a:gs>
          <a:gs pos="100000">
            <a:schemeClr val="phClr">
              <a:shade val="94000"/>
              <a:lumMod val="88000"/>
            </a:schemeClr>
          </a:gs>
        </a:gsLst>
        <a:lin ang="5400000" scaled="0"/>
      </a:gradFill>
    </a:fillStyleLst>
    <a:lnStyleLst>
      <a:ln w="9525" cap="rnd" cmpd="sng" algn="ctr">
        <a:solidFill>
          <a:schemeClr val="phClr">
            <a:tint val="76000"/>
            <a:alpha val="60000"/>
            <a:hueMod val="94000"/>
          </a:schemeClr>
        </a:solidFill>
        <a:prstDash val="solid"/>
      </a:ln>
      <a:ln w="15875" cap="rnd" cmpd="sng" algn="ctr">
        <a:solidFill>
          <a:schemeClr val="phClr">
            <a:hueMod val="94000"/>
          </a:schemeClr>
        </a:solidFill>
        <a:prstDash val="solid"/>
      </a:ln>
      <a:ln w="28575" cap="rnd" cmpd="sng" algn="ctr">
        <a:solidFill>
          <a:schemeClr val="phClr"/>
        </a:solidFill>
        <a:prstDash val="solid"/>
      </a:ln>
    </a:lnStyleLst>
    <a:effectStyleLst>
      <a:effectStyle>
        <a:effectLst/>
      </a:effectStyle>
      <a:effectStyle>
        <a:effectLst>
          <a:innerShdw blurRad="25400" dist="12700" dir="13500000">
            <a:srgbClr val="000000">
              <a:alpha val="45000"/>
            </a:srgbClr>
          </a:innerShdw>
        </a:effectLst>
      </a:effectStyle>
      <a:effectStyle>
        <a:effectLst>
          <a:outerShdw blurRad="50800" dist="38100" dir="5400000" rotWithShape="0">
            <a:srgbClr val="000000">
              <a:alpha val="46000"/>
            </a:srgbClr>
          </a:outerShdw>
        </a:effectLst>
        <a:scene3d>
          <a:camera prst="orthographicFront">
            <a:rot lat="0" lon="0" rev="0"/>
          </a:camera>
          <a:lightRig rig="threePt" dir="t"/>
        </a:scene3d>
        <a:sp3d prstMaterial="plastic">
          <a:bevelT w="25400" h="25400"/>
        </a:sp3d>
      </a:effectStyle>
    </a:effectStyleLst>
    <a:bgFillStyleLst>
      <a:solidFill>
        <a:schemeClr val="phClr"/>
      </a:solidFill>
      <a:gradFill rotWithShape="1">
        <a:gsLst>
          <a:gs pos="10000">
            <a:schemeClr val="phClr">
              <a:tint val="97000"/>
              <a:hueMod val="92000"/>
              <a:satMod val="169000"/>
              <a:lumMod val="164000"/>
            </a:schemeClr>
          </a:gs>
          <a:gs pos="100000">
            <a:schemeClr val="phClr">
              <a:shade val="96000"/>
              <a:satMod val="120000"/>
              <a:lumMod val="90000"/>
            </a:schemeClr>
          </a:gs>
        </a:gsLst>
        <a:lin ang="6120000" scaled="1"/>
      </a:gradFill>
      <a:gradFill rotWithShape="1">
        <a:gsLst>
          <a:gs pos="0">
            <a:schemeClr val="phClr">
              <a:tint val="97000"/>
              <a:hueMod val="92000"/>
              <a:satMod val="169000"/>
              <a:lumMod val="164000"/>
            </a:schemeClr>
          </a:gs>
          <a:gs pos="100000">
            <a:schemeClr val="phClr">
              <a:shade val="96000"/>
              <a:satMod val="120000"/>
              <a:lumMod val="90000"/>
            </a:schemeClr>
          </a:gs>
        </a:gsLst>
        <a:path path="circle">
          <a:fillToRect b="10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Slice">
    <a:majorFont>
      <a:latin typeface="Century Gothic" panose="020B0502020202020204"/>
      <a:ea typeface=""/>
      <a:cs typeface=""/>
      <a:font script="Jpan" typeface="メイリオ"/>
      <a:font script="Hang" typeface="HY중고딕"/>
      <a:font script="Hans" typeface="幼圆"/>
      <a:font script="Hant" typeface="微軟正黑體"/>
      <a:font script="Arab" typeface="Tahoma"/>
      <a:font script="Hebr" typeface="Gisha"/>
      <a:font script="Thai" typeface="DilleniaUPC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ajorFont>
    <a:minorFont>
      <a:latin typeface="Century Gothic" panose="020B0502020202020204"/>
      <a:ea typeface=""/>
      <a:cs typeface=""/>
      <a:font script="Jpan" typeface="メイリオ"/>
      <a:font script="Hang" typeface="HY중고딕"/>
      <a:font script="Hans" typeface="幼圆"/>
      <a:font script="Hant" typeface="微軟正黑體"/>
      <a:font script="Arab" typeface="Tahoma"/>
      <a:font script="Hebr" typeface="Gisha"/>
      <a:font script="Thai" typeface="DilleniaUPC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inorFont>
  </a:fontScheme>
  <a:fmtScheme name="Slice">
    <a:fillStyleLst>
      <a:solidFill>
        <a:schemeClr val="phClr"/>
      </a:solidFill>
      <a:gradFill rotWithShape="1">
        <a:gsLst>
          <a:gs pos="0">
            <a:schemeClr val="phClr">
              <a:tint val="62000"/>
              <a:hueMod val="94000"/>
              <a:satMod val="140000"/>
              <a:lumMod val="110000"/>
            </a:schemeClr>
          </a:gs>
          <a:gs pos="100000">
            <a:schemeClr val="phClr">
              <a:tint val="84000"/>
              <a:satMod val="160000"/>
            </a:schemeClr>
          </a:gs>
        </a:gsLst>
        <a:lin ang="5400000" scaled="0"/>
      </a:gradFill>
      <a:gradFill rotWithShape="1">
        <a:gsLst>
          <a:gs pos="0">
            <a:schemeClr val="phClr">
              <a:tint val="98000"/>
              <a:hueMod val="94000"/>
              <a:satMod val="130000"/>
              <a:lumMod val="128000"/>
            </a:schemeClr>
          </a:gs>
          <a:gs pos="100000">
            <a:schemeClr val="phClr">
              <a:shade val="94000"/>
              <a:lumMod val="88000"/>
            </a:schemeClr>
          </a:gs>
        </a:gsLst>
        <a:lin ang="5400000" scaled="0"/>
      </a:gradFill>
    </a:fillStyleLst>
    <a:lnStyleLst>
      <a:ln w="9525" cap="rnd" cmpd="sng" algn="ctr">
        <a:solidFill>
          <a:schemeClr val="phClr">
            <a:tint val="76000"/>
            <a:alpha val="60000"/>
            <a:hueMod val="94000"/>
          </a:schemeClr>
        </a:solidFill>
        <a:prstDash val="solid"/>
      </a:ln>
      <a:ln w="15875" cap="rnd" cmpd="sng" algn="ctr">
        <a:solidFill>
          <a:schemeClr val="phClr">
            <a:hueMod val="94000"/>
          </a:schemeClr>
        </a:solidFill>
        <a:prstDash val="solid"/>
      </a:ln>
      <a:ln w="28575" cap="rnd" cmpd="sng" algn="ctr">
        <a:solidFill>
          <a:schemeClr val="phClr"/>
        </a:solidFill>
        <a:prstDash val="solid"/>
      </a:ln>
    </a:lnStyleLst>
    <a:effectStyleLst>
      <a:effectStyle>
        <a:effectLst/>
      </a:effectStyle>
      <a:effectStyle>
        <a:effectLst>
          <a:innerShdw blurRad="25400" dist="12700" dir="13500000">
            <a:srgbClr val="000000">
              <a:alpha val="45000"/>
            </a:srgbClr>
          </a:innerShdw>
        </a:effectLst>
      </a:effectStyle>
      <a:effectStyle>
        <a:effectLst>
          <a:outerShdw blurRad="50800" dist="38100" dir="5400000" rotWithShape="0">
            <a:srgbClr val="000000">
              <a:alpha val="46000"/>
            </a:srgbClr>
          </a:outerShdw>
        </a:effectLst>
        <a:scene3d>
          <a:camera prst="orthographicFront">
            <a:rot lat="0" lon="0" rev="0"/>
          </a:camera>
          <a:lightRig rig="threePt" dir="t"/>
        </a:scene3d>
        <a:sp3d prstMaterial="plastic">
          <a:bevelT w="25400" h="25400"/>
        </a:sp3d>
      </a:effectStyle>
    </a:effectStyleLst>
    <a:bgFillStyleLst>
      <a:solidFill>
        <a:schemeClr val="phClr"/>
      </a:solidFill>
      <a:gradFill rotWithShape="1">
        <a:gsLst>
          <a:gs pos="10000">
            <a:schemeClr val="phClr">
              <a:tint val="97000"/>
              <a:hueMod val="92000"/>
              <a:satMod val="169000"/>
              <a:lumMod val="164000"/>
            </a:schemeClr>
          </a:gs>
          <a:gs pos="100000">
            <a:schemeClr val="phClr">
              <a:shade val="96000"/>
              <a:satMod val="120000"/>
              <a:lumMod val="90000"/>
            </a:schemeClr>
          </a:gs>
        </a:gsLst>
        <a:lin ang="6120000" scaled="1"/>
      </a:gradFill>
      <a:gradFill rotWithShape="1">
        <a:gsLst>
          <a:gs pos="0">
            <a:schemeClr val="phClr">
              <a:tint val="97000"/>
              <a:hueMod val="92000"/>
              <a:satMod val="169000"/>
              <a:lumMod val="164000"/>
            </a:schemeClr>
          </a:gs>
          <a:gs pos="100000">
            <a:schemeClr val="phClr">
              <a:shade val="96000"/>
              <a:satMod val="120000"/>
              <a:lumMod val="90000"/>
            </a:schemeClr>
          </a:gs>
        </a:gsLst>
        <a:path path="circle">
          <a:fillToRect b="10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Slice">
    <a:majorFont>
      <a:latin typeface="Century Gothic" panose="020B0502020202020204"/>
      <a:ea typeface=""/>
      <a:cs typeface=""/>
      <a:font script="Jpan" typeface="メイリオ"/>
      <a:font script="Hang" typeface="HY중고딕"/>
      <a:font script="Hans" typeface="幼圆"/>
      <a:font script="Hant" typeface="微軟正黑體"/>
      <a:font script="Arab" typeface="Tahoma"/>
      <a:font script="Hebr" typeface="Gisha"/>
      <a:font script="Thai" typeface="DilleniaUPC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ajorFont>
    <a:minorFont>
      <a:latin typeface="Century Gothic" panose="020B0502020202020204"/>
      <a:ea typeface=""/>
      <a:cs typeface=""/>
      <a:font script="Jpan" typeface="メイリオ"/>
      <a:font script="Hang" typeface="HY중고딕"/>
      <a:font script="Hans" typeface="幼圆"/>
      <a:font script="Hant" typeface="微軟正黑體"/>
      <a:font script="Arab" typeface="Tahoma"/>
      <a:font script="Hebr" typeface="Gisha"/>
      <a:font script="Thai" typeface="DilleniaUPC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inorFont>
  </a:fontScheme>
  <a:fmtScheme name="Slice">
    <a:fillStyleLst>
      <a:solidFill>
        <a:schemeClr val="phClr"/>
      </a:solidFill>
      <a:gradFill rotWithShape="1">
        <a:gsLst>
          <a:gs pos="0">
            <a:schemeClr val="phClr">
              <a:tint val="62000"/>
              <a:hueMod val="94000"/>
              <a:satMod val="140000"/>
              <a:lumMod val="110000"/>
            </a:schemeClr>
          </a:gs>
          <a:gs pos="100000">
            <a:schemeClr val="phClr">
              <a:tint val="84000"/>
              <a:satMod val="160000"/>
            </a:schemeClr>
          </a:gs>
        </a:gsLst>
        <a:lin ang="5400000" scaled="0"/>
      </a:gradFill>
      <a:gradFill rotWithShape="1">
        <a:gsLst>
          <a:gs pos="0">
            <a:schemeClr val="phClr">
              <a:tint val="98000"/>
              <a:hueMod val="94000"/>
              <a:satMod val="130000"/>
              <a:lumMod val="128000"/>
            </a:schemeClr>
          </a:gs>
          <a:gs pos="100000">
            <a:schemeClr val="phClr">
              <a:shade val="94000"/>
              <a:lumMod val="88000"/>
            </a:schemeClr>
          </a:gs>
        </a:gsLst>
        <a:lin ang="5400000" scaled="0"/>
      </a:gradFill>
    </a:fillStyleLst>
    <a:lnStyleLst>
      <a:ln w="9525" cap="rnd" cmpd="sng" algn="ctr">
        <a:solidFill>
          <a:schemeClr val="phClr">
            <a:tint val="76000"/>
            <a:alpha val="60000"/>
            <a:hueMod val="94000"/>
          </a:schemeClr>
        </a:solidFill>
        <a:prstDash val="solid"/>
      </a:ln>
      <a:ln w="15875" cap="rnd" cmpd="sng" algn="ctr">
        <a:solidFill>
          <a:schemeClr val="phClr">
            <a:hueMod val="94000"/>
          </a:schemeClr>
        </a:solidFill>
        <a:prstDash val="solid"/>
      </a:ln>
      <a:ln w="28575" cap="rnd" cmpd="sng" algn="ctr">
        <a:solidFill>
          <a:schemeClr val="phClr"/>
        </a:solidFill>
        <a:prstDash val="solid"/>
      </a:ln>
    </a:lnStyleLst>
    <a:effectStyleLst>
      <a:effectStyle>
        <a:effectLst/>
      </a:effectStyle>
      <a:effectStyle>
        <a:effectLst>
          <a:innerShdw blurRad="25400" dist="12700" dir="13500000">
            <a:srgbClr val="000000">
              <a:alpha val="45000"/>
            </a:srgbClr>
          </a:innerShdw>
        </a:effectLst>
      </a:effectStyle>
      <a:effectStyle>
        <a:effectLst>
          <a:outerShdw blurRad="50800" dist="38100" dir="5400000" rotWithShape="0">
            <a:srgbClr val="000000">
              <a:alpha val="46000"/>
            </a:srgbClr>
          </a:outerShdw>
        </a:effectLst>
        <a:scene3d>
          <a:camera prst="orthographicFront">
            <a:rot lat="0" lon="0" rev="0"/>
          </a:camera>
          <a:lightRig rig="threePt" dir="t"/>
        </a:scene3d>
        <a:sp3d prstMaterial="plastic">
          <a:bevelT w="25400" h="25400"/>
        </a:sp3d>
      </a:effectStyle>
    </a:effectStyleLst>
    <a:bgFillStyleLst>
      <a:solidFill>
        <a:schemeClr val="phClr"/>
      </a:solidFill>
      <a:gradFill rotWithShape="1">
        <a:gsLst>
          <a:gs pos="10000">
            <a:schemeClr val="phClr">
              <a:tint val="97000"/>
              <a:hueMod val="92000"/>
              <a:satMod val="169000"/>
              <a:lumMod val="164000"/>
            </a:schemeClr>
          </a:gs>
          <a:gs pos="100000">
            <a:schemeClr val="phClr">
              <a:shade val="96000"/>
              <a:satMod val="120000"/>
              <a:lumMod val="90000"/>
            </a:schemeClr>
          </a:gs>
        </a:gsLst>
        <a:lin ang="6120000" scaled="1"/>
      </a:gradFill>
      <a:gradFill rotWithShape="1">
        <a:gsLst>
          <a:gs pos="0">
            <a:schemeClr val="phClr">
              <a:tint val="97000"/>
              <a:hueMod val="92000"/>
              <a:satMod val="169000"/>
              <a:lumMod val="164000"/>
            </a:schemeClr>
          </a:gs>
          <a:gs pos="100000">
            <a:schemeClr val="phClr">
              <a:shade val="96000"/>
              <a:satMod val="120000"/>
              <a:lumMod val="90000"/>
            </a:schemeClr>
          </a:gs>
        </a:gsLst>
        <a:path path="circle">
          <a:fillToRect b="10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Slice">
    <a:majorFont>
      <a:latin typeface="Century Gothic" panose="020B0502020202020204"/>
      <a:ea typeface=""/>
      <a:cs typeface=""/>
      <a:font script="Jpan" typeface="メイリオ"/>
      <a:font script="Hang" typeface="HY중고딕"/>
      <a:font script="Hans" typeface="幼圆"/>
      <a:font script="Hant" typeface="微軟正黑體"/>
      <a:font script="Arab" typeface="Tahoma"/>
      <a:font script="Hebr" typeface="Gisha"/>
      <a:font script="Thai" typeface="DilleniaUPC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ajorFont>
    <a:minorFont>
      <a:latin typeface="Century Gothic" panose="020B0502020202020204"/>
      <a:ea typeface=""/>
      <a:cs typeface=""/>
      <a:font script="Jpan" typeface="メイリオ"/>
      <a:font script="Hang" typeface="HY중고딕"/>
      <a:font script="Hans" typeface="幼圆"/>
      <a:font script="Hant" typeface="微軟正黑體"/>
      <a:font script="Arab" typeface="Tahoma"/>
      <a:font script="Hebr" typeface="Gisha"/>
      <a:font script="Thai" typeface="DilleniaUPC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inorFont>
  </a:fontScheme>
  <a:fmtScheme name="Slice">
    <a:fillStyleLst>
      <a:solidFill>
        <a:schemeClr val="phClr"/>
      </a:solidFill>
      <a:gradFill rotWithShape="1">
        <a:gsLst>
          <a:gs pos="0">
            <a:schemeClr val="phClr">
              <a:tint val="62000"/>
              <a:hueMod val="94000"/>
              <a:satMod val="140000"/>
              <a:lumMod val="110000"/>
            </a:schemeClr>
          </a:gs>
          <a:gs pos="100000">
            <a:schemeClr val="phClr">
              <a:tint val="84000"/>
              <a:satMod val="160000"/>
            </a:schemeClr>
          </a:gs>
        </a:gsLst>
        <a:lin ang="5400000" scaled="0"/>
      </a:gradFill>
      <a:gradFill rotWithShape="1">
        <a:gsLst>
          <a:gs pos="0">
            <a:schemeClr val="phClr">
              <a:tint val="98000"/>
              <a:hueMod val="94000"/>
              <a:satMod val="130000"/>
              <a:lumMod val="128000"/>
            </a:schemeClr>
          </a:gs>
          <a:gs pos="100000">
            <a:schemeClr val="phClr">
              <a:shade val="94000"/>
              <a:lumMod val="88000"/>
            </a:schemeClr>
          </a:gs>
        </a:gsLst>
        <a:lin ang="5400000" scaled="0"/>
      </a:gradFill>
    </a:fillStyleLst>
    <a:lnStyleLst>
      <a:ln w="9525" cap="rnd" cmpd="sng" algn="ctr">
        <a:solidFill>
          <a:schemeClr val="phClr">
            <a:tint val="76000"/>
            <a:alpha val="60000"/>
            <a:hueMod val="94000"/>
          </a:schemeClr>
        </a:solidFill>
        <a:prstDash val="solid"/>
      </a:ln>
      <a:ln w="15875" cap="rnd" cmpd="sng" algn="ctr">
        <a:solidFill>
          <a:schemeClr val="phClr">
            <a:hueMod val="94000"/>
          </a:schemeClr>
        </a:solidFill>
        <a:prstDash val="solid"/>
      </a:ln>
      <a:ln w="28575" cap="rnd" cmpd="sng" algn="ctr">
        <a:solidFill>
          <a:schemeClr val="phClr"/>
        </a:solidFill>
        <a:prstDash val="solid"/>
      </a:ln>
    </a:lnStyleLst>
    <a:effectStyleLst>
      <a:effectStyle>
        <a:effectLst/>
      </a:effectStyle>
      <a:effectStyle>
        <a:effectLst>
          <a:innerShdw blurRad="25400" dist="12700" dir="13500000">
            <a:srgbClr val="000000">
              <a:alpha val="45000"/>
            </a:srgbClr>
          </a:innerShdw>
        </a:effectLst>
      </a:effectStyle>
      <a:effectStyle>
        <a:effectLst>
          <a:outerShdw blurRad="50800" dist="38100" dir="5400000" rotWithShape="0">
            <a:srgbClr val="000000">
              <a:alpha val="46000"/>
            </a:srgbClr>
          </a:outerShdw>
        </a:effectLst>
        <a:scene3d>
          <a:camera prst="orthographicFront">
            <a:rot lat="0" lon="0" rev="0"/>
          </a:camera>
          <a:lightRig rig="threePt" dir="t"/>
        </a:scene3d>
        <a:sp3d prstMaterial="plastic">
          <a:bevelT w="25400" h="25400"/>
        </a:sp3d>
      </a:effectStyle>
    </a:effectStyleLst>
    <a:bgFillStyleLst>
      <a:solidFill>
        <a:schemeClr val="phClr"/>
      </a:solidFill>
      <a:gradFill rotWithShape="1">
        <a:gsLst>
          <a:gs pos="10000">
            <a:schemeClr val="phClr">
              <a:tint val="97000"/>
              <a:hueMod val="92000"/>
              <a:satMod val="169000"/>
              <a:lumMod val="164000"/>
            </a:schemeClr>
          </a:gs>
          <a:gs pos="100000">
            <a:schemeClr val="phClr">
              <a:shade val="96000"/>
              <a:satMod val="120000"/>
              <a:lumMod val="90000"/>
            </a:schemeClr>
          </a:gs>
        </a:gsLst>
        <a:lin ang="6120000" scaled="1"/>
      </a:gradFill>
      <a:gradFill rotWithShape="1">
        <a:gsLst>
          <a:gs pos="0">
            <a:schemeClr val="phClr">
              <a:tint val="97000"/>
              <a:hueMod val="92000"/>
              <a:satMod val="169000"/>
              <a:lumMod val="164000"/>
            </a:schemeClr>
          </a:gs>
          <a:gs pos="100000">
            <a:schemeClr val="phClr">
              <a:shade val="96000"/>
              <a:satMod val="120000"/>
              <a:lumMod val="90000"/>
            </a:schemeClr>
          </a:gs>
        </a:gsLst>
        <a:path path="circle">
          <a:fillToRect b="10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Slice">
    <a:majorFont>
      <a:latin typeface="Century Gothic" panose="020B0502020202020204"/>
      <a:ea typeface=""/>
      <a:cs typeface=""/>
      <a:font script="Jpan" typeface="メイリオ"/>
      <a:font script="Hang" typeface="HY중고딕"/>
      <a:font script="Hans" typeface="幼圆"/>
      <a:font script="Hant" typeface="微軟正黑體"/>
      <a:font script="Arab" typeface="Tahoma"/>
      <a:font script="Hebr" typeface="Gisha"/>
      <a:font script="Thai" typeface="DilleniaUPC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ajorFont>
    <a:minorFont>
      <a:latin typeface="Century Gothic" panose="020B0502020202020204"/>
      <a:ea typeface=""/>
      <a:cs typeface=""/>
      <a:font script="Jpan" typeface="メイリオ"/>
      <a:font script="Hang" typeface="HY중고딕"/>
      <a:font script="Hans" typeface="幼圆"/>
      <a:font script="Hant" typeface="微軟正黑體"/>
      <a:font script="Arab" typeface="Tahoma"/>
      <a:font script="Hebr" typeface="Gisha"/>
      <a:font script="Thai" typeface="DilleniaUPC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inorFont>
  </a:fontScheme>
  <a:fmtScheme name="Slice">
    <a:fillStyleLst>
      <a:solidFill>
        <a:schemeClr val="phClr"/>
      </a:solidFill>
      <a:gradFill rotWithShape="1">
        <a:gsLst>
          <a:gs pos="0">
            <a:schemeClr val="phClr">
              <a:tint val="62000"/>
              <a:hueMod val="94000"/>
              <a:satMod val="140000"/>
              <a:lumMod val="110000"/>
            </a:schemeClr>
          </a:gs>
          <a:gs pos="100000">
            <a:schemeClr val="phClr">
              <a:tint val="84000"/>
              <a:satMod val="160000"/>
            </a:schemeClr>
          </a:gs>
        </a:gsLst>
        <a:lin ang="5400000" scaled="0"/>
      </a:gradFill>
      <a:gradFill rotWithShape="1">
        <a:gsLst>
          <a:gs pos="0">
            <a:schemeClr val="phClr">
              <a:tint val="98000"/>
              <a:hueMod val="94000"/>
              <a:satMod val="130000"/>
              <a:lumMod val="128000"/>
            </a:schemeClr>
          </a:gs>
          <a:gs pos="100000">
            <a:schemeClr val="phClr">
              <a:shade val="94000"/>
              <a:lumMod val="88000"/>
            </a:schemeClr>
          </a:gs>
        </a:gsLst>
        <a:lin ang="5400000" scaled="0"/>
      </a:gradFill>
    </a:fillStyleLst>
    <a:lnStyleLst>
      <a:ln w="9525" cap="rnd" cmpd="sng" algn="ctr">
        <a:solidFill>
          <a:schemeClr val="phClr">
            <a:tint val="76000"/>
            <a:alpha val="60000"/>
            <a:hueMod val="94000"/>
          </a:schemeClr>
        </a:solidFill>
        <a:prstDash val="solid"/>
      </a:ln>
      <a:ln w="15875" cap="rnd" cmpd="sng" algn="ctr">
        <a:solidFill>
          <a:schemeClr val="phClr">
            <a:hueMod val="94000"/>
          </a:schemeClr>
        </a:solidFill>
        <a:prstDash val="solid"/>
      </a:ln>
      <a:ln w="28575" cap="rnd" cmpd="sng" algn="ctr">
        <a:solidFill>
          <a:schemeClr val="phClr"/>
        </a:solidFill>
        <a:prstDash val="solid"/>
      </a:ln>
    </a:lnStyleLst>
    <a:effectStyleLst>
      <a:effectStyle>
        <a:effectLst/>
      </a:effectStyle>
      <a:effectStyle>
        <a:effectLst>
          <a:innerShdw blurRad="25400" dist="12700" dir="13500000">
            <a:srgbClr val="000000">
              <a:alpha val="45000"/>
            </a:srgbClr>
          </a:innerShdw>
        </a:effectLst>
      </a:effectStyle>
      <a:effectStyle>
        <a:effectLst>
          <a:outerShdw blurRad="50800" dist="38100" dir="5400000" rotWithShape="0">
            <a:srgbClr val="000000">
              <a:alpha val="46000"/>
            </a:srgbClr>
          </a:outerShdw>
        </a:effectLst>
        <a:scene3d>
          <a:camera prst="orthographicFront">
            <a:rot lat="0" lon="0" rev="0"/>
          </a:camera>
          <a:lightRig rig="threePt" dir="t"/>
        </a:scene3d>
        <a:sp3d prstMaterial="plastic">
          <a:bevelT w="25400" h="25400"/>
        </a:sp3d>
      </a:effectStyle>
    </a:effectStyleLst>
    <a:bgFillStyleLst>
      <a:solidFill>
        <a:schemeClr val="phClr"/>
      </a:solidFill>
      <a:gradFill rotWithShape="1">
        <a:gsLst>
          <a:gs pos="10000">
            <a:schemeClr val="phClr">
              <a:tint val="97000"/>
              <a:hueMod val="92000"/>
              <a:satMod val="169000"/>
              <a:lumMod val="164000"/>
            </a:schemeClr>
          </a:gs>
          <a:gs pos="100000">
            <a:schemeClr val="phClr">
              <a:shade val="96000"/>
              <a:satMod val="120000"/>
              <a:lumMod val="90000"/>
            </a:schemeClr>
          </a:gs>
        </a:gsLst>
        <a:lin ang="6120000" scaled="1"/>
      </a:gradFill>
      <a:gradFill rotWithShape="1">
        <a:gsLst>
          <a:gs pos="0">
            <a:schemeClr val="phClr">
              <a:tint val="97000"/>
              <a:hueMod val="92000"/>
              <a:satMod val="169000"/>
              <a:lumMod val="164000"/>
            </a:schemeClr>
          </a:gs>
          <a:gs pos="100000">
            <a:schemeClr val="phClr">
              <a:shade val="96000"/>
              <a:satMod val="120000"/>
              <a:lumMod val="90000"/>
            </a:schemeClr>
          </a:gs>
        </a:gsLst>
        <a:path path="circle">
          <a:fillToRect b="10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Slice">
    <a:majorFont>
      <a:latin typeface="Century Gothic" panose="020B0502020202020204"/>
      <a:ea typeface=""/>
      <a:cs typeface=""/>
      <a:font script="Jpan" typeface="メイリオ"/>
      <a:font script="Hang" typeface="HY중고딕"/>
      <a:font script="Hans" typeface="幼圆"/>
      <a:font script="Hant" typeface="微軟正黑體"/>
      <a:font script="Arab" typeface="Tahoma"/>
      <a:font script="Hebr" typeface="Gisha"/>
      <a:font script="Thai" typeface="DilleniaUPC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ajorFont>
    <a:minorFont>
      <a:latin typeface="Century Gothic" panose="020B0502020202020204"/>
      <a:ea typeface=""/>
      <a:cs typeface=""/>
      <a:font script="Jpan" typeface="メイリオ"/>
      <a:font script="Hang" typeface="HY중고딕"/>
      <a:font script="Hans" typeface="幼圆"/>
      <a:font script="Hant" typeface="微軟正黑體"/>
      <a:font script="Arab" typeface="Tahoma"/>
      <a:font script="Hebr" typeface="Gisha"/>
      <a:font script="Thai" typeface="DilleniaUPC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inorFont>
  </a:fontScheme>
  <a:fmtScheme name="Slice">
    <a:fillStyleLst>
      <a:solidFill>
        <a:schemeClr val="phClr"/>
      </a:solidFill>
      <a:gradFill rotWithShape="1">
        <a:gsLst>
          <a:gs pos="0">
            <a:schemeClr val="phClr">
              <a:tint val="62000"/>
              <a:hueMod val="94000"/>
              <a:satMod val="140000"/>
              <a:lumMod val="110000"/>
            </a:schemeClr>
          </a:gs>
          <a:gs pos="100000">
            <a:schemeClr val="phClr">
              <a:tint val="84000"/>
              <a:satMod val="160000"/>
            </a:schemeClr>
          </a:gs>
        </a:gsLst>
        <a:lin ang="5400000" scaled="0"/>
      </a:gradFill>
      <a:gradFill rotWithShape="1">
        <a:gsLst>
          <a:gs pos="0">
            <a:schemeClr val="phClr">
              <a:tint val="98000"/>
              <a:hueMod val="94000"/>
              <a:satMod val="130000"/>
              <a:lumMod val="128000"/>
            </a:schemeClr>
          </a:gs>
          <a:gs pos="100000">
            <a:schemeClr val="phClr">
              <a:shade val="94000"/>
              <a:lumMod val="88000"/>
            </a:schemeClr>
          </a:gs>
        </a:gsLst>
        <a:lin ang="5400000" scaled="0"/>
      </a:gradFill>
    </a:fillStyleLst>
    <a:lnStyleLst>
      <a:ln w="9525" cap="rnd" cmpd="sng" algn="ctr">
        <a:solidFill>
          <a:schemeClr val="phClr">
            <a:tint val="76000"/>
            <a:alpha val="60000"/>
            <a:hueMod val="94000"/>
          </a:schemeClr>
        </a:solidFill>
        <a:prstDash val="solid"/>
      </a:ln>
      <a:ln w="15875" cap="rnd" cmpd="sng" algn="ctr">
        <a:solidFill>
          <a:schemeClr val="phClr">
            <a:hueMod val="94000"/>
          </a:schemeClr>
        </a:solidFill>
        <a:prstDash val="solid"/>
      </a:ln>
      <a:ln w="28575" cap="rnd" cmpd="sng" algn="ctr">
        <a:solidFill>
          <a:schemeClr val="phClr"/>
        </a:solidFill>
        <a:prstDash val="solid"/>
      </a:ln>
    </a:lnStyleLst>
    <a:effectStyleLst>
      <a:effectStyle>
        <a:effectLst/>
      </a:effectStyle>
      <a:effectStyle>
        <a:effectLst>
          <a:innerShdw blurRad="25400" dist="12700" dir="13500000">
            <a:srgbClr val="000000">
              <a:alpha val="45000"/>
            </a:srgbClr>
          </a:innerShdw>
        </a:effectLst>
      </a:effectStyle>
      <a:effectStyle>
        <a:effectLst>
          <a:outerShdw blurRad="50800" dist="38100" dir="5400000" rotWithShape="0">
            <a:srgbClr val="000000">
              <a:alpha val="46000"/>
            </a:srgbClr>
          </a:outerShdw>
        </a:effectLst>
        <a:scene3d>
          <a:camera prst="orthographicFront">
            <a:rot lat="0" lon="0" rev="0"/>
          </a:camera>
          <a:lightRig rig="threePt" dir="t"/>
        </a:scene3d>
        <a:sp3d prstMaterial="plastic">
          <a:bevelT w="25400" h="25400"/>
        </a:sp3d>
      </a:effectStyle>
    </a:effectStyleLst>
    <a:bgFillStyleLst>
      <a:solidFill>
        <a:schemeClr val="phClr"/>
      </a:solidFill>
      <a:gradFill rotWithShape="1">
        <a:gsLst>
          <a:gs pos="10000">
            <a:schemeClr val="phClr">
              <a:tint val="97000"/>
              <a:hueMod val="92000"/>
              <a:satMod val="169000"/>
              <a:lumMod val="164000"/>
            </a:schemeClr>
          </a:gs>
          <a:gs pos="100000">
            <a:schemeClr val="phClr">
              <a:shade val="96000"/>
              <a:satMod val="120000"/>
              <a:lumMod val="90000"/>
            </a:schemeClr>
          </a:gs>
        </a:gsLst>
        <a:lin ang="6120000" scaled="1"/>
      </a:gradFill>
      <a:gradFill rotWithShape="1">
        <a:gsLst>
          <a:gs pos="0">
            <a:schemeClr val="phClr">
              <a:tint val="97000"/>
              <a:hueMod val="92000"/>
              <a:satMod val="169000"/>
              <a:lumMod val="164000"/>
            </a:schemeClr>
          </a:gs>
          <a:gs pos="100000">
            <a:schemeClr val="phClr">
              <a:shade val="96000"/>
              <a:satMod val="120000"/>
              <a:lumMod val="90000"/>
            </a:schemeClr>
          </a:gs>
        </a:gsLst>
        <a:path path="circle">
          <a:fillToRect b="10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Slice">
    <a:majorFont>
      <a:latin typeface="Century Gothic" panose="020B0502020202020204"/>
      <a:ea typeface=""/>
      <a:cs typeface=""/>
      <a:font script="Jpan" typeface="メイリオ"/>
      <a:font script="Hang" typeface="HY중고딕"/>
      <a:font script="Hans" typeface="幼圆"/>
      <a:font script="Hant" typeface="微軟正黑體"/>
      <a:font script="Arab" typeface="Tahoma"/>
      <a:font script="Hebr" typeface="Gisha"/>
      <a:font script="Thai" typeface="DilleniaUPC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ajorFont>
    <a:minorFont>
      <a:latin typeface="Century Gothic" panose="020B0502020202020204"/>
      <a:ea typeface=""/>
      <a:cs typeface=""/>
      <a:font script="Jpan" typeface="メイリオ"/>
      <a:font script="Hang" typeface="HY중고딕"/>
      <a:font script="Hans" typeface="幼圆"/>
      <a:font script="Hant" typeface="微軟正黑體"/>
      <a:font script="Arab" typeface="Tahoma"/>
      <a:font script="Hebr" typeface="Gisha"/>
      <a:font script="Thai" typeface="DilleniaUPC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inorFont>
  </a:fontScheme>
  <a:fmtScheme name="Slice">
    <a:fillStyleLst>
      <a:solidFill>
        <a:schemeClr val="phClr"/>
      </a:solidFill>
      <a:gradFill rotWithShape="1">
        <a:gsLst>
          <a:gs pos="0">
            <a:schemeClr val="phClr">
              <a:tint val="62000"/>
              <a:hueMod val="94000"/>
              <a:satMod val="140000"/>
              <a:lumMod val="110000"/>
            </a:schemeClr>
          </a:gs>
          <a:gs pos="100000">
            <a:schemeClr val="phClr">
              <a:tint val="84000"/>
              <a:satMod val="160000"/>
            </a:schemeClr>
          </a:gs>
        </a:gsLst>
        <a:lin ang="5400000" scaled="0"/>
      </a:gradFill>
      <a:gradFill rotWithShape="1">
        <a:gsLst>
          <a:gs pos="0">
            <a:schemeClr val="phClr">
              <a:tint val="98000"/>
              <a:hueMod val="94000"/>
              <a:satMod val="130000"/>
              <a:lumMod val="128000"/>
            </a:schemeClr>
          </a:gs>
          <a:gs pos="100000">
            <a:schemeClr val="phClr">
              <a:shade val="94000"/>
              <a:lumMod val="88000"/>
            </a:schemeClr>
          </a:gs>
        </a:gsLst>
        <a:lin ang="5400000" scaled="0"/>
      </a:gradFill>
    </a:fillStyleLst>
    <a:lnStyleLst>
      <a:ln w="9525" cap="rnd" cmpd="sng" algn="ctr">
        <a:solidFill>
          <a:schemeClr val="phClr">
            <a:tint val="76000"/>
            <a:alpha val="60000"/>
            <a:hueMod val="94000"/>
          </a:schemeClr>
        </a:solidFill>
        <a:prstDash val="solid"/>
      </a:ln>
      <a:ln w="15875" cap="rnd" cmpd="sng" algn="ctr">
        <a:solidFill>
          <a:schemeClr val="phClr">
            <a:hueMod val="94000"/>
          </a:schemeClr>
        </a:solidFill>
        <a:prstDash val="solid"/>
      </a:ln>
      <a:ln w="28575" cap="rnd" cmpd="sng" algn="ctr">
        <a:solidFill>
          <a:schemeClr val="phClr"/>
        </a:solidFill>
        <a:prstDash val="solid"/>
      </a:ln>
    </a:lnStyleLst>
    <a:effectStyleLst>
      <a:effectStyle>
        <a:effectLst/>
      </a:effectStyle>
      <a:effectStyle>
        <a:effectLst>
          <a:innerShdw blurRad="25400" dist="12700" dir="13500000">
            <a:srgbClr val="000000">
              <a:alpha val="45000"/>
            </a:srgbClr>
          </a:innerShdw>
        </a:effectLst>
      </a:effectStyle>
      <a:effectStyle>
        <a:effectLst>
          <a:outerShdw blurRad="50800" dist="38100" dir="5400000" rotWithShape="0">
            <a:srgbClr val="000000">
              <a:alpha val="46000"/>
            </a:srgbClr>
          </a:outerShdw>
        </a:effectLst>
        <a:scene3d>
          <a:camera prst="orthographicFront">
            <a:rot lat="0" lon="0" rev="0"/>
          </a:camera>
          <a:lightRig rig="threePt" dir="t"/>
        </a:scene3d>
        <a:sp3d prstMaterial="plastic">
          <a:bevelT w="25400" h="25400"/>
        </a:sp3d>
      </a:effectStyle>
    </a:effectStyleLst>
    <a:bgFillStyleLst>
      <a:solidFill>
        <a:schemeClr val="phClr"/>
      </a:solidFill>
      <a:gradFill rotWithShape="1">
        <a:gsLst>
          <a:gs pos="10000">
            <a:schemeClr val="phClr">
              <a:tint val="97000"/>
              <a:hueMod val="92000"/>
              <a:satMod val="169000"/>
              <a:lumMod val="164000"/>
            </a:schemeClr>
          </a:gs>
          <a:gs pos="100000">
            <a:schemeClr val="phClr">
              <a:shade val="96000"/>
              <a:satMod val="120000"/>
              <a:lumMod val="90000"/>
            </a:schemeClr>
          </a:gs>
        </a:gsLst>
        <a:lin ang="6120000" scaled="1"/>
      </a:gradFill>
      <a:gradFill rotWithShape="1">
        <a:gsLst>
          <a:gs pos="0">
            <a:schemeClr val="phClr">
              <a:tint val="97000"/>
              <a:hueMod val="92000"/>
              <a:satMod val="169000"/>
              <a:lumMod val="164000"/>
            </a:schemeClr>
          </a:gs>
          <a:gs pos="100000">
            <a:schemeClr val="phClr">
              <a:shade val="96000"/>
              <a:satMod val="120000"/>
              <a:lumMod val="90000"/>
            </a:schemeClr>
          </a:gs>
        </a:gsLst>
        <a:path path="circle">
          <a:fillToRect b="10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Slice">
    <a:majorFont>
      <a:latin typeface="Century Gothic" panose="020B0502020202020204"/>
      <a:ea typeface=""/>
      <a:cs typeface=""/>
      <a:font script="Jpan" typeface="メイリオ"/>
      <a:font script="Hang" typeface="HY중고딕"/>
      <a:font script="Hans" typeface="幼圆"/>
      <a:font script="Hant" typeface="微軟正黑體"/>
      <a:font script="Arab" typeface="Tahoma"/>
      <a:font script="Hebr" typeface="Gisha"/>
      <a:font script="Thai" typeface="DilleniaUPC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ajorFont>
    <a:minorFont>
      <a:latin typeface="Century Gothic" panose="020B0502020202020204"/>
      <a:ea typeface=""/>
      <a:cs typeface=""/>
      <a:font script="Jpan" typeface="メイリオ"/>
      <a:font script="Hang" typeface="HY중고딕"/>
      <a:font script="Hans" typeface="幼圆"/>
      <a:font script="Hant" typeface="微軟正黑體"/>
      <a:font script="Arab" typeface="Tahoma"/>
      <a:font script="Hebr" typeface="Gisha"/>
      <a:font script="Thai" typeface="DilleniaUPC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inorFont>
  </a:fontScheme>
  <a:fmtScheme name="Slice">
    <a:fillStyleLst>
      <a:solidFill>
        <a:schemeClr val="phClr"/>
      </a:solidFill>
      <a:gradFill rotWithShape="1">
        <a:gsLst>
          <a:gs pos="0">
            <a:schemeClr val="phClr">
              <a:tint val="62000"/>
              <a:hueMod val="94000"/>
              <a:satMod val="140000"/>
              <a:lumMod val="110000"/>
            </a:schemeClr>
          </a:gs>
          <a:gs pos="100000">
            <a:schemeClr val="phClr">
              <a:tint val="84000"/>
              <a:satMod val="160000"/>
            </a:schemeClr>
          </a:gs>
        </a:gsLst>
        <a:lin ang="5400000" scaled="0"/>
      </a:gradFill>
      <a:gradFill rotWithShape="1">
        <a:gsLst>
          <a:gs pos="0">
            <a:schemeClr val="phClr">
              <a:tint val="98000"/>
              <a:hueMod val="94000"/>
              <a:satMod val="130000"/>
              <a:lumMod val="128000"/>
            </a:schemeClr>
          </a:gs>
          <a:gs pos="100000">
            <a:schemeClr val="phClr">
              <a:shade val="94000"/>
              <a:lumMod val="88000"/>
            </a:schemeClr>
          </a:gs>
        </a:gsLst>
        <a:lin ang="5400000" scaled="0"/>
      </a:gradFill>
    </a:fillStyleLst>
    <a:lnStyleLst>
      <a:ln w="9525" cap="rnd" cmpd="sng" algn="ctr">
        <a:solidFill>
          <a:schemeClr val="phClr">
            <a:tint val="76000"/>
            <a:alpha val="60000"/>
            <a:hueMod val="94000"/>
          </a:schemeClr>
        </a:solidFill>
        <a:prstDash val="solid"/>
      </a:ln>
      <a:ln w="15875" cap="rnd" cmpd="sng" algn="ctr">
        <a:solidFill>
          <a:schemeClr val="phClr">
            <a:hueMod val="94000"/>
          </a:schemeClr>
        </a:solidFill>
        <a:prstDash val="solid"/>
      </a:ln>
      <a:ln w="28575" cap="rnd" cmpd="sng" algn="ctr">
        <a:solidFill>
          <a:schemeClr val="phClr"/>
        </a:solidFill>
        <a:prstDash val="solid"/>
      </a:ln>
    </a:lnStyleLst>
    <a:effectStyleLst>
      <a:effectStyle>
        <a:effectLst/>
      </a:effectStyle>
      <a:effectStyle>
        <a:effectLst>
          <a:innerShdw blurRad="25400" dist="12700" dir="13500000">
            <a:srgbClr val="000000">
              <a:alpha val="45000"/>
            </a:srgbClr>
          </a:innerShdw>
        </a:effectLst>
      </a:effectStyle>
      <a:effectStyle>
        <a:effectLst>
          <a:outerShdw blurRad="50800" dist="38100" dir="5400000" rotWithShape="0">
            <a:srgbClr val="000000">
              <a:alpha val="46000"/>
            </a:srgbClr>
          </a:outerShdw>
        </a:effectLst>
        <a:scene3d>
          <a:camera prst="orthographicFront">
            <a:rot lat="0" lon="0" rev="0"/>
          </a:camera>
          <a:lightRig rig="threePt" dir="t"/>
        </a:scene3d>
        <a:sp3d prstMaterial="plastic">
          <a:bevelT w="25400" h="25400"/>
        </a:sp3d>
      </a:effectStyle>
    </a:effectStyleLst>
    <a:bgFillStyleLst>
      <a:solidFill>
        <a:schemeClr val="phClr"/>
      </a:solidFill>
      <a:gradFill rotWithShape="1">
        <a:gsLst>
          <a:gs pos="10000">
            <a:schemeClr val="phClr">
              <a:tint val="97000"/>
              <a:hueMod val="92000"/>
              <a:satMod val="169000"/>
              <a:lumMod val="164000"/>
            </a:schemeClr>
          </a:gs>
          <a:gs pos="100000">
            <a:schemeClr val="phClr">
              <a:shade val="96000"/>
              <a:satMod val="120000"/>
              <a:lumMod val="90000"/>
            </a:schemeClr>
          </a:gs>
        </a:gsLst>
        <a:lin ang="6120000" scaled="1"/>
      </a:gradFill>
      <a:gradFill rotWithShape="1">
        <a:gsLst>
          <a:gs pos="0">
            <a:schemeClr val="phClr">
              <a:tint val="97000"/>
              <a:hueMod val="92000"/>
              <a:satMod val="169000"/>
              <a:lumMod val="164000"/>
            </a:schemeClr>
          </a:gs>
          <a:gs pos="100000">
            <a:schemeClr val="phClr">
              <a:shade val="96000"/>
              <a:satMod val="120000"/>
              <a:lumMod val="90000"/>
            </a:schemeClr>
          </a:gs>
        </a:gsLst>
        <a:path path="circle">
          <a:fillToRect b="10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Slice">
    <a:majorFont>
      <a:latin typeface="Century Gothic" panose="020B0502020202020204"/>
      <a:ea typeface=""/>
      <a:cs typeface=""/>
      <a:font script="Jpan" typeface="メイリオ"/>
      <a:font script="Hang" typeface="HY중고딕"/>
      <a:font script="Hans" typeface="幼圆"/>
      <a:font script="Hant" typeface="微軟正黑體"/>
      <a:font script="Arab" typeface="Tahoma"/>
      <a:font script="Hebr" typeface="Gisha"/>
      <a:font script="Thai" typeface="DilleniaUPC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ajorFont>
    <a:minorFont>
      <a:latin typeface="Century Gothic" panose="020B0502020202020204"/>
      <a:ea typeface=""/>
      <a:cs typeface=""/>
      <a:font script="Jpan" typeface="メイリオ"/>
      <a:font script="Hang" typeface="HY중고딕"/>
      <a:font script="Hans" typeface="幼圆"/>
      <a:font script="Hant" typeface="微軟正黑體"/>
      <a:font script="Arab" typeface="Tahoma"/>
      <a:font script="Hebr" typeface="Gisha"/>
      <a:font script="Thai" typeface="DilleniaUPC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inorFont>
  </a:fontScheme>
  <a:fmtScheme name="Slice">
    <a:fillStyleLst>
      <a:solidFill>
        <a:schemeClr val="phClr"/>
      </a:solidFill>
      <a:gradFill rotWithShape="1">
        <a:gsLst>
          <a:gs pos="0">
            <a:schemeClr val="phClr">
              <a:tint val="62000"/>
              <a:hueMod val="94000"/>
              <a:satMod val="140000"/>
              <a:lumMod val="110000"/>
            </a:schemeClr>
          </a:gs>
          <a:gs pos="100000">
            <a:schemeClr val="phClr">
              <a:tint val="84000"/>
              <a:satMod val="160000"/>
            </a:schemeClr>
          </a:gs>
        </a:gsLst>
        <a:lin ang="5400000" scaled="0"/>
      </a:gradFill>
      <a:gradFill rotWithShape="1">
        <a:gsLst>
          <a:gs pos="0">
            <a:schemeClr val="phClr">
              <a:tint val="98000"/>
              <a:hueMod val="94000"/>
              <a:satMod val="130000"/>
              <a:lumMod val="128000"/>
            </a:schemeClr>
          </a:gs>
          <a:gs pos="100000">
            <a:schemeClr val="phClr">
              <a:shade val="94000"/>
              <a:lumMod val="88000"/>
            </a:schemeClr>
          </a:gs>
        </a:gsLst>
        <a:lin ang="5400000" scaled="0"/>
      </a:gradFill>
    </a:fillStyleLst>
    <a:lnStyleLst>
      <a:ln w="9525" cap="rnd" cmpd="sng" algn="ctr">
        <a:solidFill>
          <a:schemeClr val="phClr">
            <a:tint val="76000"/>
            <a:alpha val="60000"/>
            <a:hueMod val="94000"/>
          </a:schemeClr>
        </a:solidFill>
        <a:prstDash val="solid"/>
      </a:ln>
      <a:ln w="15875" cap="rnd" cmpd="sng" algn="ctr">
        <a:solidFill>
          <a:schemeClr val="phClr">
            <a:hueMod val="94000"/>
          </a:schemeClr>
        </a:solidFill>
        <a:prstDash val="solid"/>
      </a:ln>
      <a:ln w="28575" cap="rnd" cmpd="sng" algn="ctr">
        <a:solidFill>
          <a:schemeClr val="phClr"/>
        </a:solidFill>
        <a:prstDash val="solid"/>
      </a:ln>
    </a:lnStyleLst>
    <a:effectStyleLst>
      <a:effectStyle>
        <a:effectLst/>
      </a:effectStyle>
      <a:effectStyle>
        <a:effectLst>
          <a:innerShdw blurRad="25400" dist="12700" dir="13500000">
            <a:srgbClr val="000000">
              <a:alpha val="45000"/>
            </a:srgbClr>
          </a:innerShdw>
        </a:effectLst>
      </a:effectStyle>
      <a:effectStyle>
        <a:effectLst>
          <a:outerShdw blurRad="50800" dist="38100" dir="5400000" rotWithShape="0">
            <a:srgbClr val="000000">
              <a:alpha val="46000"/>
            </a:srgbClr>
          </a:outerShdw>
        </a:effectLst>
        <a:scene3d>
          <a:camera prst="orthographicFront">
            <a:rot lat="0" lon="0" rev="0"/>
          </a:camera>
          <a:lightRig rig="threePt" dir="t"/>
        </a:scene3d>
        <a:sp3d prstMaterial="plastic">
          <a:bevelT w="25400" h="25400"/>
        </a:sp3d>
      </a:effectStyle>
    </a:effectStyleLst>
    <a:bgFillStyleLst>
      <a:solidFill>
        <a:schemeClr val="phClr"/>
      </a:solidFill>
      <a:gradFill rotWithShape="1">
        <a:gsLst>
          <a:gs pos="10000">
            <a:schemeClr val="phClr">
              <a:tint val="97000"/>
              <a:hueMod val="92000"/>
              <a:satMod val="169000"/>
              <a:lumMod val="164000"/>
            </a:schemeClr>
          </a:gs>
          <a:gs pos="100000">
            <a:schemeClr val="phClr">
              <a:shade val="96000"/>
              <a:satMod val="120000"/>
              <a:lumMod val="90000"/>
            </a:schemeClr>
          </a:gs>
        </a:gsLst>
        <a:lin ang="6120000" scaled="1"/>
      </a:gradFill>
      <a:gradFill rotWithShape="1">
        <a:gsLst>
          <a:gs pos="0">
            <a:schemeClr val="phClr">
              <a:tint val="97000"/>
              <a:hueMod val="92000"/>
              <a:satMod val="169000"/>
              <a:lumMod val="164000"/>
            </a:schemeClr>
          </a:gs>
          <a:gs pos="100000">
            <a:schemeClr val="phClr">
              <a:shade val="96000"/>
              <a:satMod val="120000"/>
              <a:lumMod val="90000"/>
            </a:schemeClr>
          </a:gs>
        </a:gsLst>
        <a:path path="circle">
          <a:fillToRect b="10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Slice">
    <a:majorFont>
      <a:latin typeface="Century Gothic" panose="020B0502020202020204"/>
      <a:ea typeface=""/>
      <a:cs typeface=""/>
      <a:font script="Jpan" typeface="メイリオ"/>
      <a:font script="Hang" typeface="HY중고딕"/>
      <a:font script="Hans" typeface="幼圆"/>
      <a:font script="Hant" typeface="微軟正黑體"/>
      <a:font script="Arab" typeface="Tahoma"/>
      <a:font script="Hebr" typeface="Gisha"/>
      <a:font script="Thai" typeface="DilleniaUPC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ajorFont>
    <a:minorFont>
      <a:latin typeface="Century Gothic" panose="020B0502020202020204"/>
      <a:ea typeface=""/>
      <a:cs typeface=""/>
      <a:font script="Jpan" typeface="メイリオ"/>
      <a:font script="Hang" typeface="HY중고딕"/>
      <a:font script="Hans" typeface="幼圆"/>
      <a:font script="Hant" typeface="微軟正黑體"/>
      <a:font script="Arab" typeface="Tahoma"/>
      <a:font script="Hebr" typeface="Gisha"/>
      <a:font script="Thai" typeface="DilleniaUPC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inorFont>
  </a:fontScheme>
  <a:fmtScheme name="Slice">
    <a:fillStyleLst>
      <a:solidFill>
        <a:schemeClr val="phClr"/>
      </a:solidFill>
      <a:gradFill rotWithShape="1">
        <a:gsLst>
          <a:gs pos="0">
            <a:schemeClr val="phClr">
              <a:tint val="62000"/>
              <a:hueMod val="94000"/>
              <a:satMod val="140000"/>
              <a:lumMod val="110000"/>
            </a:schemeClr>
          </a:gs>
          <a:gs pos="100000">
            <a:schemeClr val="phClr">
              <a:tint val="84000"/>
              <a:satMod val="160000"/>
            </a:schemeClr>
          </a:gs>
        </a:gsLst>
        <a:lin ang="5400000" scaled="0"/>
      </a:gradFill>
      <a:gradFill rotWithShape="1">
        <a:gsLst>
          <a:gs pos="0">
            <a:schemeClr val="phClr">
              <a:tint val="98000"/>
              <a:hueMod val="94000"/>
              <a:satMod val="130000"/>
              <a:lumMod val="128000"/>
            </a:schemeClr>
          </a:gs>
          <a:gs pos="100000">
            <a:schemeClr val="phClr">
              <a:shade val="94000"/>
              <a:lumMod val="88000"/>
            </a:schemeClr>
          </a:gs>
        </a:gsLst>
        <a:lin ang="5400000" scaled="0"/>
      </a:gradFill>
    </a:fillStyleLst>
    <a:lnStyleLst>
      <a:ln w="9525" cap="rnd" cmpd="sng" algn="ctr">
        <a:solidFill>
          <a:schemeClr val="phClr">
            <a:tint val="76000"/>
            <a:alpha val="60000"/>
            <a:hueMod val="94000"/>
          </a:schemeClr>
        </a:solidFill>
        <a:prstDash val="solid"/>
      </a:ln>
      <a:ln w="15875" cap="rnd" cmpd="sng" algn="ctr">
        <a:solidFill>
          <a:schemeClr val="phClr">
            <a:hueMod val="94000"/>
          </a:schemeClr>
        </a:solidFill>
        <a:prstDash val="solid"/>
      </a:ln>
      <a:ln w="28575" cap="rnd" cmpd="sng" algn="ctr">
        <a:solidFill>
          <a:schemeClr val="phClr"/>
        </a:solidFill>
        <a:prstDash val="solid"/>
      </a:ln>
    </a:lnStyleLst>
    <a:effectStyleLst>
      <a:effectStyle>
        <a:effectLst/>
      </a:effectStyle>
      <a:effectStyle>
        <a:effectLst>
          <a:innerShdw blurRad="25400" dist="12700" dir="13500000">
            <a:srgbClr val="000000">
              <a:alpha val="45000"/>
            </a:srgbClr>
          </a:innerShdw>
        </a:effectLst>
      </a:effectStyle>
      <a:effectStyle>
        <a:effectLst>
          <a:outerShdw blurRad="50800" dist="38100" dir="5400000" rotWithShape="0">
            <a:srgbClr val="000000">
              <a:alpha val="46000"/>
            </a:srgbClr>
          </a:outerShdw>
        </a:effectLst>
        <a:scene3d>
          <a:camera prst="orthographicFront">
            <a:rot lat="0" lon="0" rev="0"/>
          </a:camera>
          <a:lightRig rig="threePt" dir="t"/>
        </a:scene3d>
        <a:sp3d prstMaterial="plastic">
          <a:bevelT w="25400" h="25400"/>
        </a:sp3d>
      </a:effectStyle>
    </a:effectStyleLst>
    <a:bgFillStyleLst>
      <a:solidFill>
        <a:schemeClr val="phClr"/>
      </a:solidFill>
      <a:gradFill rotWithShape="1">
        <a:gsLst>
          <a:gs pos="10000">
            <a:schemeClr val="phClr">
              <a:tint val="97000"/>
              <a:hueMod val="92000"/>
              <a:satMod val="169000"/>
              <a:lumMod val="164000"/>
            </a:schemeClr>
          </a:gs>
          <a:gs pos="100000">
            <a:schemeClr val="phClr">
              <a:shade val="96000"/>
              <a:satMod val="120000"/>
              <a:lumMod val="90000"/>
            </a:schemeClr>
          </a:gs>
        </a:gsLst>
        <a:lin ang="6120000" scaled="1"/>
      </a:gradFill>
      <a:gradFill rotWithShape="1">
        <a:gsLst>
          <a:gs pos="0">
            <a:schemeClr val="phClr">
              <a:tint val="97000"/>
              <a:hueMod val="92000"/>
              <a:satMod val="169000"/>
              <a:lumMod val="164000"/>
            </a:schemeClr>
          </a:gs>
          <a:gs pos="100000">
            <a:schemeClr val="phClr">
              <a:shade val="96000"/>
              <a:satMod val="120000"/>
              <a:lumMod val="90000"/>
            </a:schemeClr>
          </a:gs>
        </a:gsLst>
        <a:path path="circle">
          <a:fillToRect b="100000"/>
        </a:path>
      </a:gradFill>
    </a:bgFillStyleLst>
  </a:fmtScheme>
</a:themeOverride>
</file>

<file path=xl/theme/themeOverride1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Slice">
    <a:majorFont>
      <a:latin typeface="Century Gothic" panose="020B0502020202020204"/>
      <a:ea typeface=""/>
      <a:cs typeface=""/>
      <a:font script="Jpan" typeface="メイリオ"/>
      <a:font script="Hang" typeface="HY중고딕"/>
      <a:font script="Hans" typeface="幼圆"/>
      <a:font script="Hant" typeface="微軟正黑體"/>
      <a:font script="Arab" typeface="Tahoma"/>
      <a:font script="Hebr" typeface="Gisha"/>
      <a:font script="Thai" typeface="DilleniaUPC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ajorFont>
    <a:minorFont>
      <a:latin typeface="Century Gothic" panose="020B0502020202020204"/>
      <a:ea typeface=""/>
      <a:cs typeface=""/>
      <a:font script="Jpan" typeface="メイリオ"/>
      <a:font script="Hang" typeface="HY중고딕"/>
      <a:font script="Hans" typeface="幼圆"/>
      <a:font script="Hant" typeface="微軟正黑體"/>
      <a:font script="Arab" typeface="Tahoma"/>
      <a:font script="Hebr" typeface="Gisha"/>
      <a:font script="Thai" typeface="DilleniaUPC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inorFont>
  </a:fontScheme>
  <a:fmtScheme name="Slice">
    <a:fillStyleLst>
      <a:solidFill>
        <a:schemeClr val="phClr"/>
      </a:solidFill>
      <a:gradFill rotWithShape="1">
        <a:gsLst>
          <a:gs pos="0">
            <a:schemeClr val="phClr">
              <a:tint val="62000"/>
              <a:hueMod val="94000"/>
              <a:satMod val="140000"/>
              <a:lumMod val="110000"/>
            </a:schemeClr>
          </a:gs>
          <a:gs pos="100000">
            <a:schemeClr val="phClr">
              <a:tint val="84000"/>
              <a:satMod val="160000"/>
            </a:schemeClr>
          </a:gs>
        </a:gsLst>
        <a:lin ang="5400000" scaled="0"/>
      </a:gradFill>
      <a:gradFill rotWithShape="1">
        <a:gsLst>
          <a:gs pos="0">
            <a:schemeClr val="phClr">
              <a:tint val="98000"/>
              <a:hueMod val="94000"/>
              <a:satMod val="130000"/>
              <a:lumMod val="128000"/>
            </a:schemeClr>
          </a:gs>
          <a:gs pos="100000">
            <a:schemeClr val="phClr">
              <a:shade val="94000"/>
              <a:lumMod val="88000"/>
            </a:schemeClr>
          </a:gs>
        </a:gsLst>
        <a:lin ang="5400000" scaled="0"/>
      </a:gradFill>
    </a:fillStyleLst>
    <a:lnStyleLst>
      <a:ln w="9525" cap="rnd" cmpd="sng" algn="ctr">
        <a:solidFill>
          <a:schemeClr val="phClr">
            <a:tint val="76000"/>
            <a:alpha val="60000"/>
            <a:hueMod val="94000"/>
          </a:schemeClr>
        </a:solidFill>
        <a:prstDash val="solid"/>
      </a:ln>
      <a:ln w="15875" cap="rnd" cmpd="sng" algn="ctr">
        <a:solidFill>
          <a:schemeClr val="phClr">
            <a:hueMod val="94000"/>
          </a:schemeClr>
        </a:solidFill>
        <a:prstDash val="solid"/>
      </a:ln>
      <a:ln w="28575" cap="rnd" cmpd="sng" algn="ctr">
        <a:solidFill>
          <a:schemeClr val="phClr"/>
        </a:solidFill>
        <a:prstDash val="solid"/>
      </a:ln>
    </a:lnStyleLst>
    <a:effectStyleLst>
      <a:effectStyle>
        <a:effectLst/>
      </a:effectStyle>
      <a:effectStyle>
        <a:effectLst>
          <a:innerShdw blurRad="25400" dist="12700" dir="13500000">
            <a:srgbClr val="000000">
              <a:alpha val="45000"/>
            </a:srgbClr>
          </a:innerShdw>
        </a:effectLst>
      </a:effectStyle>
      <a:effectStyle>
        <a:effectLst>
          <a:outerShdw blurRad="50800" dist="38100" dir="5400000" rotWithShape="0">
            <a:srgbClr val="000000">
              <a:alpha val="46000"/>
            </a:srgbClr>
          </a:outerShdw>
        </a:effectLst>
        <a:scene3d>
          <a:camera prst="orthographicFront">
            <a:rot lat="0" lon="0" rev="0"/>
          </a:camera>
          <a:lightRig rig="threePt" dir="t"/>
        </a:scene3d>
        <a:sp3d prstMaterial="plastic">
          <a:bevelT w="25400" h="25400"/>
        </a:sp3d>
      </a:effectStyle>
    </a:effectStyleLst>
    <a:bgFillStyleLst>
      <a:solidFill>
        <a:schemeClr val="phClr"/>
      </a:solidFill>
      <a:gradFill rotWithShape="1">
        <a:gsLst>
          <a:gs pos="10000">
            <a:schemeClr val="phClr">
              <a:tint val="97000"/>
              <a:hueMod val="92000"/>
              <a:satMod val="169000"/>
              <a:lumMod val="164000"/>
            </a:schemeClr>
          </a:gs>
          <a:gs pos="100000">
            <a:schemeClr val="phClr">
              <a:shade val="96000"/>
              <a:satMod val="120000"/>
              <a:lumMod val="90000"/>
            </a:schemeClr>
          </a:gs>
        </a:gsLst>
        <a:lin ang="6120000" scaled="1"/>
      </a:gradFill>
      <a:gradFill rotWithShape="1">
        <a:gsLst>
          <a:gs pos="0">
            <a:schemeClr val="phClr">
              <a:tint val="97000"/>
              <a:hueMod val="92000"/>
              <a:satMod val="169000"/>
              <a:lumMod val="164000"/>
            </a:schemeClr>
          </a:gs>
          <a:gs pos="100000">
            <a:schemeClr val="phClr">
              <a:shade val="96000"/>
              <a:satMod val="120000"/>
              <a:lumMod val="90000"/>
            </a:schemeClr>
          </a:gs>
        </a:gsLst>
        <a:path path="circle">
          <a:fillToRect b="100000"/>
        </a:path>
      </a:gradFill>
    </a:bgFillStyleLst>
  </a:fmtScheme>
</a:themeOverride>
</file>

<file path=xl/theme/themeOverride1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Slice">
    <a:majorFont>
      <a:latin typeface="Century Gothic" panose="020B0502020202020204"/>
      <a:ea typeface=""/>
      <a:cs typeface=""/>
      <a:font script="Jpan" typeface="メイリオ"/>
      <a:font script="Hang" typeface="HY중고딕"/>
      <a:font script="Hans" typeface="幼圆"/>
      <a:font script="Hant" typeface="微軟正黑體"/>
      <a:font script="Arab" typeface="Tahoma"/>
      <a:font script="Hebr" typeface="Gisha"/>
      <a:font script="Thai" typeface="DilleniaUPC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ajorFont>
    <a:minorFont>
      <a:latin typeface="Century Gothic" panose="020B0502020202020204"/>
      <a:ea typeface=""/>
      <a:cs typeface=""/>
      <a:font script="Jpan" typeface="メイリオ"/>
      <a:font script="Hang" typeface="HY중고딕"/>
      <a:font script="Hans" typeface="幼圆"/>
      <a:font script="Hant" typeface="微軟正黑體"/>
      <a:font script="Arab" typeface="Tahoma"/>
      <a:font script="Hebr" typeface="Gisha"/>
      <a:font script="Thai" typeface="DilleniaUPC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inorFont>
  </a:fontScheme>
  <a:fmtScheme name="Slice">
    <a:fillStyleLst>
      <a:solidFill>
        <a:schemeClr val="phClr"/>
      </a:solidFill>
      <a:gradFill rotWithShape="1">
        <a:gsLst>
          <a:gs pos="0">
            <a:schemeClr val="phClr">
              <a:tint val="62000"/>
              <a:hueMod val="94000"/>
              <a:satMod val="140000"/>
              <a:lumMod val="110000"/>
            </a:schemeClr>
          </a:gs>
          <a:gs pos="100000">
            <a:schemeClr val="phClr">
              <a:tint val="84000"/>
              <a:satMod val="160000"/>
            </a:schemeClr>
          </a:gs>
        </a:gsLst>
        <a:lin ang="5400000" scaled="0"/>
      </a:gradFill>
      <a:gradFill rotWithShape="1">
        <a:gsLst>
          <a:gs pos="0">
            <a:schemeClr val="phClr">
              <a:tint val="98000"/>
              <a:hueMod val="94000"/>
              <a:satMod val="130000"/>
              <a:lumMod val="128000"/>
            </a:schemeClr>
          </a:gs>
          <a:gs pos="100000">
            <a:schemeClr val="phClr">
              <a:shade val="94000"/>
              <a:lumMod val="88000"/>
            </a:schemeClr>
          </a:gs>
        </a:gsLst>
        <a:lin ang="5400000" scaled="0"/>
      </a:gradFill>
    </a:fillStyleLst>
    <a:lnStyleLst>
      <a:ln w="9525" cap="rnd" cmpd="sng" algn="ctr">
        <a:solidFill>
          <a:schemeClr val="phClr">
            <a:tint val="76000"/>
            <a:alpha val="60000"/>
            <a:hueMod val="94000"/>
          </a:schemeClr>
        </a:solidFill>
        <a:prstDash val="solid"/>
      </a:ln>
      <a:ln w="15875" cap="rnd" cmpd="sng" algn="ctr">
        <a:solidFill>
          <a:schemeClr val="phClr">
            <a:hueMod val="94000"/>
          </a:schemeClr>
        </a:solidFill>
        <a:prstDash val="solid"/>
      </a:ln>
      <a:ln w="28575" cap="rnd" cmpd="sng" algn="ctr">
        <a:solidFill>
          <a:schemeClr val="phClr"/>
        </a:solidFill>
        <a:prstDash val="solid"/>
      </a:ln>
    </a:lnStyleLst>
    <a:effectStyleLst>
      <a:effectStyle>
        <a:effectLst/>
      </a:effectStyle>
      <a:effectStyle>
        <a:effectLst>
          <a:innerShdw blurRad="25400" dist="12700" dir="13500000">
            <a:srgbClr val="000000">
              <a:alpha val="45000"/>
            </a:srgbClr>
          </a:innerShdw>
        </a:effectLst>
      </a:effectStyle>
      <a:effectStyle>
        <a:effectLst>
          <a:outerShdw blurRad="50800" dist="38100" dir="5400000" rotWithShape="0">
            <a:srgbClr val="000000">
              <a:alpha val="46000"/>
            </a:srgbClr>
          </a:outerShdw>
        </a:effectLst>
        <a:scene3d>
          <a:camera prst="orthographicFront">
            <a:rot lat="0" lon="0" rev="0"/>
          </a:camera>
          <a:lightRig rig="threePt" dir="t"/>
        </a:scene3d>
        <a:sp3d prstMaterial="plastic">
          <a:bevelT w="25400" h="25400"/>
        </a:sp3d>
      </a:effectStyle>
    </a:effectStyleLst>
    <a:bgFillStyleLst>
      <a:solidFill>
        <a:schemeClr val="phClr"/>
      </a:solidFill>
      <a:gradFill rotWithShape="1">
        <a:gsLst>
          <a:gs pos="10000">
            <a:schemeClr val="phClr">
              <a:tint val="97000"/>
              <a:hueMod val="92000"/>
              <a:satMod val="169000"/>
              <a:lumMod val="164000"/>
            </a:schemeClr>
          </a:gs>
          <a:gs pos="100000">
            <a:schemeClr val="phClr">
              <a:shade val="96000"/>
              <a:satMod val="120000"/>
              <a:lumMod val="90000"/>
            </a:schemeClr>
          </a:gs>
        </a:gsLst>
        <a:lin ang="6120000" scaled="1"/>
      </a:gradFill>
      <a:gradFill rotWithShape="1">
        <a:gsLst>
          <a:gs pos="0">
            <a:schemeClr val="phClr">
              <a:tint val="97000"/>
              <a:hueMod val="92000"/>
              <a:satMod val="169000"/>
              <a:lumMod val="164000"/>
            </a:schemeClr>
          </a:gs>
          <a:gs pos="100000">
            <a:schemeClr val="phClr">
              <a:shade val="96000"/>
              <a:satMod val="120000"/>
              <a:lumMod val="90000"/>
            </a:schemeClr>
          </a:gs>
        </a:gsLst>
        <a:path path="circle">
          <a:fillToRect b="100000"/>
        </a:path>
      </a:gradFill>
    </a:bgFillStyleLst>
  </a:fmtScheme>
</a:themeOverride>
</file>

<file path=xl/theme/themeOverride1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Slice">
    <a:majorFont>
      <a:latin typeface="Century Gothic" panose="020B0502020202020204"/>
      <a:ea typeface=""/>
      <a:cs typeface=""/>
      <a:font script="Jpan" typeface="メイリオ"/>
      <a:font script="Hang" typeface="HY중고딕"/>
      <a:font script="Hans" typeface="幼圆"/>
      <a:font script="Hant" typeface="微軟正黑體"/>
      <a:font script="Arab" typeface="Tahoma"/>
      <a:font script="Hebr" typeface="Gisha"/>
      <a:font script="Thai" typeface="DilleniaUPC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ajorFont>
    <a:minorFont>
      <a:latin typeface="Century Gothic" panose="020B0502020202020204"/>
      <a:ea typeface=""/>
      <a:cs typeface=""/>
      <a:font script="Jpan" typeface="メイリオ"/>
      <a:font script="Hang" typeface="HY중고딕"/>
      <a:font script="Hans" typeface="幼圆"/>
      <a:font script="Hant" typeface="微軟正黑體"/>
      <a:font script="Arab" typeface="Tahoma"/>
      <a:font script="Hebr" typeface="Gisha"/>
      <a:font script="Thai" typeface="DilleniaUPC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inorFont>
  </a:fontScheme>
  <a:fmtScheme name="Slice">
    <a:fillStyleLst>
      <a:solidFill>
        <a:schemeClr val="phClr"/>
      </a:solidFill>
      <a:gradFill rotWithShape="1">
        <a:gsLst>
          <a:gs pos="0">
            <a:schemeClr val="phClr">
              <a:tint val="62000"/>
              <a:hueMod val="94000"/>
              <a:satMod val="140000"/>
              <a:lumMod val="110000"/>
            </a:schemeClr>
          </a:gs>
          <a:gs pos="100000">
            <a:schemeClr val="phClr">
              <a:tint val="84000"/>
              <a:satMod val="160000"/>
            </a:schemeClr>
          </a:gs>
        </a:gsLst>
        <a:lin ang="5400000" scaled="0"/>
      </a:gradFill>
      <a:gradFill rotWithShape="1">
        <a:gsLst>
          <a:gs pos="0">
            <a:schemeClr val="phClr">
              <a:tint val="98000"/>
              <a:hueMod val="94000"/>
              <a:satMod val="130000"/>
              <a:lumMod val="128000"/>
            </a:schemeClr>
          </a:gs>
          <a:gs pos="100000">
            <a:schemeClr val="phClr">
              <a:shade val="94000"/>
              <a:lumMod val="88000"/>
            </a:schemeClr>
          </a:gs>
        </a:gsLst>
        <a:lin ang="5400000" scaled="0"/>
      </a:gradFill>
    </a:fillStyleLst>
    <a:lnStyleLst>
      <a:ln w="9525" cap="rnd" cmpd="sng" algn="ctr">
        <a:solidFill>
          <a:schemeClr val="phClr">
            <a:tint val="76000"/>
            <a:alpha val="60000"/>
            <a:hueMod val="94000"/>
          </a:schemeClr>
        </a:solidFill>
        <a:prstDash val="solid"/>
      </a:ln>
      <a:ln w="15875" cap="rnd" cmpd="sng" algn="ctr">
        <a:solidFill>
          <a:schemeClr val="phClr">
            <a:hueMod val="94000"/>
          </a:schemeClr>
        </a:solidFill>
        <a:prstDash val="solid"/>
      </a:ln>
      <a:ln w="28575" cap="rnd" cmpd="sng" algn="ctr">
        <a:solidFill>
          <a:schemeClr val="phClr"/>
        </a:solidFill>
        <a:prstDash val="solid"/>
      </a:ln>
    </a:lnStyleLst>
    <a:effectStyleLst>
      <a:effectStyle>
        <a:effectLst/>
      </a:effectStyle>
      <a:effectStyle>
        <a:effectLst>
          <a:innerShdw blurRad="25400" dist="12700" dir="13500000">
            <a:srgbClr val="000000">
              <a:alpha val="45000"/>
            </a:srgbClr>
          </a:innerShdw>
        </a:effectLst>
      </a:effectStyle>
      <a:effectStyle>
        <a:effectLst>
          <a:outerShdw blurRad="50800" dist="38100" dir="5400000" rotWithShape="0">
            <a:srgbClr val="000000">
              <a:alpha val="46000"/>
            </a:srgbClr>
          </a:outerShdw>
        </a:effectLst>
        <a:scene3d>
          <a:camera prst="orthographicFront">
            <a:rot lat="0" lon="0" rev="0"/>
          </a:camera>
          <a:lightRig rig="threePt" dir="t"/>
        </a:scene3d>
        <a:sp3d prstMaterial="plastic">
          <a:bevelT w="25400" h="25400"/>
        </a:sp3d>
      </a:effectStyle>
    </a:effectStyleLst>
    <a:bgFillStyleLst>
      <a:solidFill>
        <a:schemeClr val="phClr"/>
      </a:solidFill>
      <a:gradFill rotWithShape="1">
        <a:gsLst>
          <a:gs pos="10000">
            <a:schemeClr val="phClr">
              <a:tint val="97000"/>
              <a:hueMod val="92000"/>
              <a:satMod val="169000"/>
              <a:lumMod val="164000"/>
            </a:schemeClr>
          </a:gs>
          <a:gs pos="100000">
            <a:schemeClr val="phClr">
              <a:shade val="96000"/>
              <a:satMod val="120000"/>
              <a:lumMod val="90000"/>
            </a:schemeClr>
          </a:gs>
        </a:gsLst>
        <a:lin ang="6120000" scaled="1"/>
      </a:gradFill>
      <a:gradFill rotWithShape="1">
        <a:gsLst>
          <a:gs pos="0">
            <a:schemeClr val="phClr">
              <a:tint val="97000"/>
              <a:hueMod val="92000"/>
              <a:satMod val="169000"/>
              <a:lumMod val="164000"/>
            </a:schemeClr>
          </a:gs>
          <a:gs pos="100000">
            <a:schemeClr val="phClr">
              <a:shade val="96000"/>
              <a:satMod val="120000"/>
              <a:lumMod val="90000"/>
            </a:schemeClr>
          </a:gs>
        </a:gsLst>
        <a:path path="circle">
          <a:fillToRect b="10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Module____7"/>
  <dimension ref="A1:U2413"/>
  <sheetViews>
    <sheetView tabSelected="1" workbookViewId="0">
      <selection activeCell="T2" sqref="T2"/>
    </sheetView>
  </sheetViews>
  <sheetFormatPr defaultRowHeight="14.4" x14ac:dyDescent="0.3"/>
  <cols>
    <col min="1" max="1" width="8.6640625" bestFit="1" customWidth="1"/>
    <col min="2" max="2" width="7.33203125" customWidth="1"/>
    <col min="3" max="3" width="10" bestFit="1" customWidth="1"/>
    <col min="6" max="6" width="9" style="29" bestFit="1" customWidth="1"/>
    <col min="8" max="8" width="13.6640625" customWidth="1"/>
    <col min="13" max="13" width="10.44140625" customWidth="1"/>
    <col min="14" max="14" width="11.44140625"/>
    <col min="17" max="17" width="11.33203125" customWidth="1"/>
    <col min="18" max="18" width="11.44140625"/>
    <col min="19" max="19" width="9" bestFit="1" customWidth="1"/>
    <col min="20" max="20" width="11.44140625"/>
  </cols>
  <sheetData>
    <row r="1" spans="1:21" ht="43.2" x14ac:dyDescent="0.3">
      <c r="A1" s="3" t="s">
        <v>0</v>
      </c>
      <c r="B1" s="20" t="s">
        <v>27</v>
      </c>
      <c r="C1" s="4" t="s">
        <v>15</v>
      </c>
      <c r="D1" s="4" t="s">
        <v>16</v>
      </c>
      <c r="E1" s="4" t="s">
        <v>17</v>
      </c>
      <c r="F1" s="13" t="s">
        <v>18</v>
      </c>
      <c r="G1" s="4" t="s">
        <v>19</v>
      </c>
      <c r="H1" s="4" t="s">
        <v>20</v>
      </c>
      <c r="I1" s="4" t="s">
        <v>21</v>
      </c>
      <c r="J1" s="4" t="s">
        <v>22</v>
      </c>
      <c r="K1" s="4" t="s">
        <v>23</v>
      </c>
      <c r="L1" s="4" t="s">
        <v>24</v>
      </c>
      <c r="M1" s="4" t="s">
        <v>25</v>
      </c>
      <c r="N1" s="20" t="s">
        <v>26</v>
      </c>
      <c r="O1" s="20" t="s">
        <v>11</v>
      </c>
      <c r="P1" s="20" t="s">
        <v>12</v>
      </c>
      <c r="Q1" s="20" t="s">
        <v>13</v>
      </c>
      <c r="R1" s="20" t="s">
        <v>14</v>
      </c>
      <c r="S1" s="3" t="s">
        <v>10</v>
      </c>
      <c r="T1" s="4" t="s">
        <v>46</v>
      </c>
      <c r="U1" s="4"/>
    </row>
    <row r="2" spans="1:21" x14ac:dyDescent="0.3">
      <c r="A2" s="49">
        <v>46136</v>
      </c>
      <c r="B2" s="20"/>
      <c r="C2" s="42">
        <v>279768</v>
      </c>
      <c r="D2" s="42">
        <v>261584</v>
      </c>
      <c r="E2" s="42">
        <v>249179</v>
      </c>
      <c r="F2" s="42">
        <v>794445</v>
      </c>
      <c r="G2" s="42">
        <v>358300</v>
      </c>
      <c r="H2" s="42">
        <v>83437</v>
      </c>
      <c r="I2" s="42">
        <v>93344</v>
      </c>
      <c r="J2" s="42">
        <v>250026</v>
      </c>
      <c r="K2" s="42">
        <v>368241</v>
      </c>
      <c r="L2" s="42">
        <v>110587</v>
      </c>
      <c r="M2" s="42">
        <v>2000131</v>
      </c>
      <c r="N2" s="42">
        <v>1589567</v>
      </c>
      <c r="O2" s="42">
        <v>24543</v>
      </c>
      <c r="P2" s="42">
        <v>74259</v>
      </c>
      <c r="Q2" s="42">
        <v>278000</v>
      </c>
      <c r="R2" s="42">
        <v>1970654</v>
      </c>
      <c r="S2" s="43">
        <v>47707</v>
      </c>
      <c r="T2" s="42">
        <v>405450</v>
      </c>
      <c r="U2" s="4"/>
    </row>
    <row r="3" spans="1:21" x14ac:dyDescent="0.3">
      <c r="A3" s="49">
        <v>46135</v>
      </c>
      <c r="B3" s="42">
        <v>29659</v>
      </c>
      <c r="C3" s="42">
        <v>278860</v>
      </c>
      <c r="D3" s="42">
        <v>262853</v>
      </c>
      <c r="E3" s="42">
        <v>249849</v>
      </c>
      <c r="F3" s="42">
        <v>790730</v>
      </c>
      <c r="G3" s="42">
        <v>355319</v>
      </c>
      <c r="H3" s="42">
        <v>83423</v>
      </c>
      <c r="I3" s="42">
        <v>93075</v>
      </c>
      <c r="J3" s="42">
        <v>253321</v>
      </c>
      <c r="K3" s="42">
        <v>364471</v>
      </c>
      <c r="L3" s="42">
        <v>112566</v>
      </c>
      <c r="M3" s="42">
        <v>1990645</v>
      </c>
      <c r="N3" s="42">
        <v>1580834</v>
      </c>
      <c r="O3" s="42">
        <v>24356</v>
      </c>
      <c r="P3" s="42">
        <v>73405</v>
      </c>
      <c r="Q3" s="42">
        <v>269869</v>
      </c>
      <c r="R3" s="42">
        <v>1964936</v>
      </c>
      <c r="S3" s="43">
        <v>47834</v>
      </c>
      <c r="T3" s="42">
        <v>405726</v>
      </c>
      <c r="U3" s="4"/>
    </row>
    <row r="4" spans="1:21" x14ac:dyDescent="0.3">
      <c r="A4" s="49">
        <v>46134</v>
      </c>
      <c r="B4" s="42">
        <v>29531</v>
      </c>
      <c r="C4" s="42">
        <v>276955</v>
      </c>
      <c r="D4" s="42">
        <v>263919</v>
      </c>
      <c r="E4" s="42">
        <v>251709</v>
      </c>
      <c r="F4" s="42">
        <v>795637</v>
      </c>
      <c r="G4" s="42">
        <v>349335</v>
      </c>
      <c r="H4" s="42">
        <v>82536</v>
      </c>
      <c r="I4" s="42">
        <v>92815</v>
      </c>
      <c r="J4" s="42">
        <v>257130</v>
      </c>
      <c r="K4" s="42">
        <v>366008</v>
      </c>
      <c r="L4" s="42">
        <v>114173</v>
      </c>
      <c r="M4" s="42">
        <v>1988692</v>
      </c>
      <c r="N4" s="42">
        <v>1575557</v>
      </c>
      <c r="O4" s="42">
        <v>25238</v>
      </c>
      <c r="P4" s="42">
        <v>71644</v>
      </c>
      <c r="Q4" s="42">
        <v>270960</v>
      </c>
      <c r="R4" s="42">
        <v>1963408</v>
      </c>
      <c r="S4" s="43">
        <v>45233</v>
      </c>
      <c r="T4" s="42">
        <v>409193</v>
      </c>
      <c r="U4" s="4"/>
    </row>
    <row r="5" spans="1:21" x14ac:dyDescent="0.3">
      <c r="A5" s="49">
        <v>46133</v>
      </c>
      <c r="B5" s="42">
        <v>30651</v>
      </c>
      <c r="C5" s="42">
        <v>275415</v>
      </c>
      <c r="D5" s="42">
        <v>263523</v>
      </c>
      <c r="E5" s="42">
        <v>255128</v>
      </c>
      <c r="F5" s="42">
        <v>790622</v>
      </c>
      <c r="G5" s="42">
        <v>351782</v>
      </c>
      <c r="H5" s="42">
        <v>82508</v>
      </c>
      <c r="I5" s="42">
        <v>91532</v>
      </c>
      <c r="J5" s="42">
        <v>250504</v>
      </c>
      <c r="K5" s="42">
        <v>365842</v>
      </c>
      <c r="L5" s="42">
        <v>115462</v>
      </c>
      <c r="M5" s="42">
        <v>1984747</v>
      </c>
      <c r="N5" s="42">
        <v>1576663</v>
      </c>
      <c r="O5" s="42">
        <v>24994</v>
      </c>
      <c r="P5" s="42">
        <v>71200</v>
      </c>
      <c r="Q5" s="42">
        <v>267620</v>
      </c>
      <c r="R5" s="42">
        <v>1963317</v>
      </c>
      <c r="S5" s="43">
        <v>45187</v>
      </c>
      <c r="T5" s="42">
        <v>411435</v>
      </c>
      <c r="U5" s="4"/>
    </row>
    <row r="6" spans="1:21" x14ac:dyDescent="0.3">
      <c r="A6" s="49">
        <v>46132</v>
      </c>
      <c r="B6" s="42">
        <v>30488</v>
      </c>
      <c r="C6" s="42">
        <v>277236</v>
      </c>
      <c r="D6" s="42">
        <v>263168</v>
      </c>
      <c r="E6" s="42">
        <v>260504</v>
      </c>
      <c r="F6" s="42">
        <v>788774</v>
      </c>
      <c r="G6" s="42">
        <v>352544</v>
      </c>
      <c r="H6" s="42">
        <v>82565</v>
      </c>
      <c r="I6" s="42">
        <v>91796</v>
      </c>
      <c r="J6" s="42">
        <v>252425</v>
      </c>
      <c r="K6" s="42">
        <v>366491</v>
      </c>
      <c r="L6" s="42">
        <v>117265</v>
      </c>
      <c r="M6" s="42">
        <v>1994974</v>
      </c>
      <c r="N6" s="42">
        <v>1583233</v>
      </c>
      <c r="O6" s="42">
        <v>25406</v>
      </c>
      <c r="P6" s="42">
        <v>70536</v>
      </c>
      <c r="Q6" s="42">
        <v>271088</v>
      </c>
      <c r="R6" s="42">
        <v>1962204</v>
      </c>
      <c r="S6" s="43">
        <v>44165</v>
      </c>
      <c r="T6" s="42">
        <v>412145</v>
      </c>
      <c r="U6" s="4"/>
    </row>
    <row r="7" spans="1:21" x14ac:dyDescent="0.3">
      <c r="A7" s="49">
        <v>46129</v>
      </c>
      <c r="B7" s="42">
        <v>31407</v>
      </c>
      <c r="C7" s="42">
        <v>275867</v>
      </c>
      <c r="D7" s="42">
        <v>261166</v>
      </c>
      <c r="E7" s="42">
        <v>261032</v>
      </c>
      <c r="F7" s="42">
        <v>790662</v>
      </c>
      <c r="G7" s="42">
        <v>354180</v>
      </c>
      <c r="H7" s="42">
        <v>81641</v>
      </c>
      <c r="I7" s="42">
        <v>92569</v>
      </c>
      <c r="J7" s="42">
        <v>252852</v>
      </c>
      <c r="K7" s="42">
        <v>368202</v>
      </c>
      <c r="L7" s="42">
        <v>117836</v>
      </c>
      <c r="M7" s="42">
        <v>2026576</v>
      </c>
      <c r="N7" s="42">
        <v>1578791</v>
      </c>
      <c r="O7" s="42">
        <v>25797</v>
      </c>
      <c r="P7" s="42">
        <v>71068</v>
      </c>
      <c r="Q7" s="42">
        <v>264625</v>
      </c>
      <c r="R7" s="42">
        <v>1969043</v>
      </c>
      <c r="S7" s="43">
        <v>47714</v>
      </c>
      <c r="T7" s="42">
        <v>411483</v>
      </c>
      <c r="U7" s="4"/>
    </row>
    <row r="8" spans="1:21" x14ac:dyDescent="0.3">
      <c r="A8" s="49">
        <v>46128</v>
      </c>
      <c r="B8" s="42">
        <v>32209</v>
      </c>
      <c r="C8" s="42">
        <v>272050</v>
      </c>
      <c r="D8" s="42">
        <v>258650</v>
      </c>
      <c r="E8" s="42">
        <v>261349</v>
      </c>
      <c r="F8" s="42">
        <v>788368</v>
      </c>
      <c r="G8" s="42">
        <v>350800</v>
      </c>
      <c r="H8" s="42">
        <v>80874</v>
      </c>
      <c r="I8" s="42">
        <v>93333</v>
      </c>
      <c r="J8" s="42">
        <v>249752</v>
      </c>
      <c r="K8" s="42">
        <v>362456</v>
      </c>
      <c r="L8" s="42">
        <v>116224</v>
      </c>
      <c r="M8" s="42">
        <v>2056359</v>
      </c>
      <c r="N8" s="42">
        <v>1585411</v>
      </c>
      <c r="O8" s="42">
        <v>24795</v>
      </c>
      <c r="P8" s="42">
        <v>69953</v>
      </c>
      <c r="Q8" s="42">
        <v>263691</v>
      </c>
      <c r="R8" s="42">
        <v>1948245</v>
      </c>
      <c r="S8" s="43">
        <v>44381</v>
      </c>
      <c r="T8" s="42">
        <v>410871</v>
      </c>
      <c r="U8" s="4"/>
    </row>
    <row r="9" spans="1:21" x14ac:dyDescent="0.3">
      <c r="A9" s="49">
        <v>46127</v>
      </c>
      <c r="B9" s="42">
        <v>32776</v>
      </c>
      <c r="C9" s="42">
        <v>269101</v>
      </c>
      <c r="D9" s="42">
        <v>252463</v>
      </c>
      <c r="E9" s="42">
        <v>260773</v>
      </c>
      <c r="F9" s="42">
        <v>790327</v>
      </c>
      <c r="G9" s="42">
        <v>352562</v>
      </c>
      <c r="H9" s="42">
        <v>80603</v>
      </c>
      <c r="I9" s="42">
        <v>93781</v>
      </c>
      <c r="J9" s="42">
        <v>249507</v>
      </c>
      <c r="K9" s="42">
        <v>361666</v>
      </c>
      <c r="L9" s="42">
        <v>116169</v>
      </c>
      <c r="M9" s="42">
        <v>2105123</v>
      </c>
      <c r="N9" s="42">
        <v>1582717</v>
      </c>
      <c r="O9" s="42">
        <v>24350</v>
      </c>
      <c r="P9" s="42">
        <v>70152</v>
      </c>
      <c r="Q9" s="42">
        <v>264222</v>
      </c>
      <c r="R9" s="42">
        <v>1947683</v>
      </c>
      <c r="S9" s="43">
        <v>43541</v>
      </c>
      <c r="T9" s="42">
        <v>406114</v>
      </c>
      <c r="U9" s="4"/>
    </row>
    <row r="10" spans="1:21" x14ac:dyDescent="0.3">
      <c r="A10" s="49">
        <v>46126</v>
      </c>
      <c r="B10" s="42">
        <v>32911</v>
      </c>
      <c r="C10" s="42">
        <v>263918</v>
      </c>
      <c r="D10" s="42">
        <v>250053</v>
      </c>
      <c r="E10" s="42">
        <v>259258</v>
      </c>
      <c r="F10" s="42">
        <v>788828</v>
      </c>
      <c r="G10" s="42">
        <v>354344</v>
      </c>
      <c r="H10" s="42">
        <v>80727</v>
      </c>
      <c r="I10" s="42">
        <v>93376</v>
      </c>
      <c r="J10" s="42">
        <v>245595</v>
      </c>
      <c r="K10" s="42">
        <v>362274</v>
      </c>
      <c r="L10" s="42">
        <v>116983</v>
      </c>
      <c r="M10" s="42">
        <v>2094492</v>
      </c>
      <c r="N10" s="42">
        <v>1585240</v>
      </c>
      <c r="O10" s="42">
        <v>23761</v>
      </c>
      <c r="P10" s="42">
        <v>68873</v>
      </c>
      <c r="Q10" s="42">
        <v>260197</v>
      </c>
      <c r="R10" s="42">
        <v>1959076</v>
      </c>
      <c r="S10" s="43">
        <v>45588</v>
      </c>
      <c r="T10" s="42">
        <v>404501</v>
      </c>
      <c r="U10" s="4"/>
    </row>
    <row r="11" spans="1:21" x14ac:dyDescent="0.3">
      <c r="A11" s="49">
        <v>46125</v>
      </c>
      <c r="B11" s="42">
        <v>34786</v>
      </c>
      <c r="C11" s="42">
        <v>262996</v>
      </c>
      <c r="D11" s="42">
        <v>248096</v>
      </c>
      <c r="E11" s="42">
        <v>255727</v>
      </c>
      <c r="F11" s="42">
        <v>782138</v>
      </c>
      <c r="G11" s="42">
        <v>354958</v>
      </c>
      <c r="H11" s="42">
        <v>79434</v>
      </c>
      <c r="I11" s="42">
        <v>91810</v>
      </c>
      <c r="J11" s="42">
        <v>237495</v>
      </c>
      <c r="K11" s="42">
        <v>357861</v>
      </c>
      <c r="L11" s="42">
        <v>114038</v>
      </c>
      <c r="M11" s="42">
        <v>2094657</v>
      </c>
      <c r="N11" s="42">
        <v>1561338</v>
      </c>
      <c r="O11" s="42">
        <v>23312</v>
      </c>
      <c r="P11" s="42">
        <v>68018</v>
      </c>
      <c r="Q11" s="42">
        <v>255691</v>
      </c>
      <c r="R11" s="42">
        <v>1973603</v>
      </c>
      <c r="S11" s="43">
        <v>45037</v>
      </c>
      <c r="T11" s="42">
        <v>402043</v>
      </c>
      <c r="U11" s="4"/>
    </row>
    <row r="12" spans="1:21" x14ac:dyDescent="0.3">
      <c r="A12" s="49">
        <v>46122</v>
      </c>
      <c r="B12" s="42">
        <v>35036</v>
      </c>
      <c r="C12" s="42">
        <v>265055</v>
      </c>
      <c r="D12" s="42">
        <v>246906</v>
      </c>
      <c r="E12" s="42">
        <v>252845</v>
      </c>
      <c r="F12" s="42">
        <v>769474</v>
      </c>
      <c r="G12" s="42">
        <v>346778</v>
      </c>
      <c r="H12" s="42">
        <v>79679</v>
      </c>
      <c r="I12" s="42">
        <v>87338</v>
      </c>
      <c r="J12" s="42">
        <v>231731</v>
      </c>
      <c r="K12" s="42">
        <v>357178</v>
      </c>
      <c r="L12" s="42">
        <v>115064</v>
      </c>
      <c r="M12" s="42">
        <v>2071116</v>
      </c>
      <c r="N12" s="42">
        <v>1557667</v>
      </c>
      <c r="O12" s="42">
        <v>23827</v>
      </c>
      <c r="P12" s="42">
        <v>68205</v>
      </c>
      <c r="Q12" s="42">
        <v>250430</v>
      </c>
      <c r="R12" s="42">
        <v>1961571</v>
      </c>
      <c r="S12" s="43">
        <v>45219</v>
      </c>
      <c r="T12" s="42">
        <v>399695</v>
      </c>
      <c r="U12" s="4"/>
    </row>
    <row r="13" spans="1:21" x14ac:dyDescent="0.3">
      <c r="A13" s="49">
        <v>46121</v>
      </c>
      <c r="B13" s="42">
        <v>35062</v>
      </c>
      <c r="C13" s="42">
        <v>265559</v>
      </c>
      <c r="D13" s="42">
        <v>244109</v>
      </c>
      <c r="E13" s="42">
        <v>253411</v>
      </c>
      <c r="F13" s="42">
        <v>767015</v>
      </c>
      <c r="G13" s="42">
        <v>347163</v>
      </c>
      <c r="H13" s="42">
        <v>80514</v>
      </c>
      <c r="I13" s="42">
        <v>86428</v>
      </c>
      <c r="J13" s="42">
        <v>226043</v>
      </c>
      <c r="K13" s="42">
        <v>358616</v>
      </c>
      <c r="L13" s="42">
        <v>116483</v>
      </c>
      <c r="M13" s="42">
        <v>2038318</v>
      </c>
      <c r="N13" s="42">
        <v>1555543</v>
      </c>
      <c r="O13" s="42">
        <v>23472</v>
      </c>
      <c r="P13" s="42">
        <v>68153</v>
      </c>
      <c r="Q13" s="42">
        <v>252138</v>
      </c>
      <c r="R13" s="42">
        <v>1954505</v>
      </c>
      <c r="S13" s="43">
        <v>52998</v>
      </c>
      <c r="T13" s="42">
        <v>396957</v>
      </c>
      <c r="U13" s="4"/>
    </row>
    <row r="14" spans="1:21" x14ac:dyDescent="0.3">
      <c r="A14" s="49">
        <v>46120</v>
      </c>
      <c r="B14" s="42">
        <v>36081</v>
      </c>
      <c r="C14" s="42">
        <v>265426</v>
      </c>
      <c r="D14" s="42">
        <v>246450</v>
      </c>
      <c r="E14" s="42">
        <v>248575</v>
      </c>
      <c r="F14" s="42">
        <v>768149</v>
      </c>
      <c r="G14" s="42">
        <v>351716</v>
      </c>
      <c r="H14" s="42">
        <v>80407</v>
      </c>
      <c r="I14" s="42">
        <v>86211</v>
      </c>
      <c r="J14" s="42">
        <v>227681</v>
      </c>
      <c r="K14" s="42">
        <v>357399</v>
      </c>
      <c r="L14" s="42">
        <v>115750</v>
      </c>
      <c r="M14" s="42">
        <v>2043828</v>
      </c>
      <c r="N14" s="42">
        <v>1560866</v>
      </c>
      <c r="O14" s="42">
        <v>22906</v>
      </c>
      <c r="P14" s="42">
        <v>69089</v>
      </c>
      <c r="Q14" s="42">
        <v>250395</v>
      </c>
      <c r="R14" s="42">
        <v>1938415</v>
      </c>
      <c r="S14" s="43">
        <v>52998</v>
      </c>
      <c r="T14" s="42">
        <v>403029</v>
      </c>
      <c r="U14" s="4"/>
    </row>
    <row r="15" spans="1:21" x14ac:dyDescent="0.3">
      <c r="A15" s="49">
        <v>46119</v>
      </c>
      <c r="B15" s="42">
        <v>36573</v>
      </c>
      <c r="C15" s="42">
        <v>264658</v>
      </c>
      <c r="D15" s="42">
        <v>244191</v>
      </c>
      <c r="E15" s="42">
        <v>240735</v>
      </c>
      <c r="F15" s="42">
        <v>775043</v>
      </c>
      <c r="G15" s="42">
        <v>349373</v>
      </c>
      <c r="H15" s="42">
        <v>76952</v>
      </c>
      <c r="I15" s="42">
        <v>86646</v>
      </c>
      <c r="J15" s="42">
        <v>224634</v>
      </c>
      <c r="K15" s="42">
        <v>354877</v>
      </c>
      <c r="L15" s="42">
        <v>115138</v>
      </c>
      <c r="M15" s="42">
        <v>2037857</v>
      </c>
      <c r="N15" s="42">
        <v>1558863</v>
      </c>
      <c r="O15" s="42">
        <v>22308</v>
      </c>
      <c r="P15" s="42">
        <v>68557</v>
      </c>
      <c r="Q15" s="42">
        <v>246794</v>
      </c>
      <c r="R15" s="42">
        <v>1929090</v>
      </c>
      <c r="S15" s="43">
        <v>51127</v>
      </c>
      <c r="T15" s="42">
        <v>397438</v>
      </c>
      <c r="U15" s="4"/>
    </row>
    <row r="16" spans="1:21" x14ac:dyDescent="0.3">
      <c r="A16" s="49">
        <v>46118</v>
      </c>
      <c r="B16" s="42">
        <v>37542</v>
      </c>
      <c r="C16" s="42">
        <v>259603</v>
      </c>
      <c r="D16" s="42">
        <v>241717</v>
      </c>
      <c r="E16" s="42">
        <v>237174</v>
      </c>
      <c r="F16" s="42">
        <v>780413</v>
      </c>
      <c r="G16" s="42">
        <v>341749</v>
      </c>
      <c r="H16" s="42">
        <v>74063</v>
      </c>
      <c r="I16" s="42">
        <v>83650</v>
      </c>
      <c r="J16" s="42">
        <v>224444</v>
      </c>
      <c r="K16" s="42">
        <v>355510</v>
      </c>
      <c r="L16" s="42">
        <v>114262</v>
      </c>
      <c r="M16" s="42">
        <v>2023059</v>
      </c>
      <c r="N16" s="42">
        <v>1546809</v>
      </c>
      <c r="O16" s="42">
        <v>22914</v>
      </c>
      <c r="P16" s="42">
        <v>67714</v>
      </c>
      <c r="Q16" s="42">
        <v>245022</v>
      </c>
      <c r="R16" s="42">
        <v>1914681</v>
      </c>
      <c r="S16" s="43">
        <v>48159</v>
      </c>
      <c r="T16" s="42">
        <v>396373</v>
      </c>
      <c r="U16" s="4"/>
    </row>
    <row r="17" spans="1:21" x14ac:dyDescent="0.3">
      <c r="A17" s="49">
        <v>46115</v>
      </c>
      <c r="B17" s="42">
        <v>39511</v>
      </c>
      <c r="C17" s="42">
        <v>262140</v>
      </c>
      <c r="D17" s="42">
        <v>238441</v>
      </c>
      <c r="E17" s="42">
        <v>229745</v>
      </c>
      <c r="F17" s="42">
        <v>775911</v>
      </c>
      <c r="G17" s="42">
        <v>340234</v>
      </c>
      <c r="H17" s="42">
        <v>74105</v>
      </c>
      <c r="I17" s="42">
        <v>82638</v>
      </c>
      <c r="J17" s="42">
        <v>224788</v>
      </c>
      <c r="K17" s="42">
        <v>354581</v>
      </c>
      <c r="L17" s="42">
        <v>114379</v>
      </c>
      <c r="M17" s="42">
        <v>2021581</v>
      </c>
      <c r="N17" s="42">
        <v>1553726</v>
      </c>
      <c r="O17" s="42">
        <v>21320</v>
      </c>
      <c r="P17" s="42">
        <v>67270</v>
      </c>
      <c r="Q17" s="42">
        <v>241289</v>
      </c>
      <c r="R17" s="42">
        <v>1925402</v>
      </c>
      <c r="S17" s="43">
        <v>48159</v>
      </c>
      <c r="T17" s="42">
        <v>395323</v>
      </c>
      <c r="U17" s="4"/>
    </row>
    <row r="18" spans="1:21" x14ac:dyDescent="0.3">
      <c r="A18" s="49">
        <v>46114</v>
      </c>
      <c r="B18" s="42">
        <v>39256</v>
      </c>
      <c r="C18" s="42">
        <v>264394</v>
      </c>
      <c r="D18" s="42">
        <v>238654</v>
      </c>
      <c r="E18" s="42">
        <v>231767</v>
      </c>
      <c r="F18" s="42">
        <v>775467</v>
      </c>
      <c r="G18" s="42">
        <v>345148</v>
      </c>
      <c r="H18" s="42">
        <v>73293</v>
      </c>
      <c r="I18" s="42">
        <v>82436</v>
      </c>
      <c r="J18" s="42">
        <v>224781</v>
      </c>
      <c r="K18" s="42">
        <v>355050</v>
      </c>
      <c r="L18" s="42">
        <v>114379</v>
      </c>
      <c r="M18" s="42">
        <v>2022207</v>
      </c>
      <c r="N18" s="42">
        <v>1553657</v>
      </c>
      <c r="O18" s="42">
        <v>21246</v>
      </c>
      <c r="P18" s="42">
        <v>67300</v>
      </c>
      <c r="Q18" s="42">
        <v>240862</v>
      </c>
      <c r="R18" s="42">
        <v>1926865</v>
      </c>
      <c r="S18" s="43">
        <v>48159</v>
      </c>
      <c r="T18" s="42">
        <v>395729</v>
      </c>
      <c r="U18" s="4"/>
    </row>
    <row r="19" spans="1:21" x14ac:dyDescent="0.3">
      <c r="A19" s="49">
        <v>46113</v>
      </c>
      <c r="B19" s="42">
        <v>38745</v>
      </c>
      <c r="C19" s="42">
        <v>263755</v>
      </c>
      <c r="D19" s="42">
        <v>235317</v>
      </c>
      <c r="E19" s="42">
        <v>225828</v>
      </c>
      <c r="F19" s="42">
        <v>776471</v>
      </c>
      <c r="G19" s="42">
        <v>351815</v>
      </c>
      <c r="H19" s="42">
        <v>71314</v>
      </c>
      <c r="I19" s="42">
        <v>81062</v>
      </c>
      <c r="J19" s="42">
        <v>222907</v>
      </c>
      <c r="K19" s="42">
        <v>357136</v>
      </c>
      <c r="L19" s="42">
        <v>115503</v>
      </c>
      <c r="M19" s="42">
        <v>2037886</v>
      </c>
      <c r="N19" s="42">
        <v>1529572</v>
      </c>
      <c r="O19" s="42">
        <v>21180</v>
      </c>
      <c r="P19" s="42">
        <v>67400</v>
      </c>
      <c r="Q19" s="42">
        <v>241866</v>
      </c>
      <c r="R19" s="42">
        <v>1911017</v>
      </c>
      <c r="S19" s="43">
        <v>51123</v>
      </c>
      <c r="T19" s="42">
        <v>395666</v>
      </c>
      <c r="U19" s="4"/>
    </row>
    <row r="20" spans="1:21" x14ac:dyDescent="0.3">
      <c r="A20" s="49">
        <v>46112</v>
      </c>
      <c r="B20" s="42">
        <v>38735</v>
      </c>
      <c r="C20" s="42">
        <v>263962</v>
      </c>
      <c r="D20" s="42">
        <v>243461</v>
      </c>
      <c r="E20" s="42">
        <v>217085</v>
      </c>
      <c r="F20" s="42">
        <v>774237</v>
      </c>
      <c r="G20" s="42">
        <v>345276</v>
      </c>
      <c r="H20" s="42">
        <v>70805</v>
      </c>
      <c r="I20" s="42">
        <v>79740</v>
      </c>
      <c r="J20" s="42">
        <v>220756</v>
      </c>
      <c r="K20" s="42">
        <v>361409</v>
      </c>
      <c r="L20" s="42">
        <v>115169</v>
      </c>
      <c r="M20" s="42">
        <v>2030970</v>
      </c>
      <c r="N20" s="42">
        <v>1514508</v>
      </c>
      <c r="O20" s="42">
        <v>20631</v>
      </c>
      <c r="P20" s="42">
        <v>68213</v>
      </c>
      <c r="Q20" s="42">
        <v>245322</v>
      </c>
      <c r="R20" s="42">
        <v>1947769</v>
      </c>
      <c r="S20" s="43">
        <v>50771</v>
      </c>
      <c r="T20" s="42">
        <v>399456</v>
      </c>
      <c r="U20" s="4"/>
    </row>
    <row r="21" spans="1:21" x14ac:dyDescent="0.3">
      <c r="A21" s="49">
        <v>46111</v>
      </c>
      <c r="B21" s="42">
        <v>39578</v>
      </c>
      <c r="C21" s="42">
        <v>257950</v>
      </c>
      <c r="D21" s="42">
        <v>240894</v>
      </c>
      <c r="E21" s="42">
        <v>205993</v>
      </c>
      <c r="F21" s="42">
        <v>769063</v>
      </c>
      <c r="G21" s="42">
        <v>347876</v>
      </c>
      <c r="H21" s="42">
        <v>69167</v>
      </c>
      <c r="I21" s="42">
        <v>77825</v>
      </c>
      <c r="J21" s="42">
        <v>221323</v>
      </c>
      <c r="K21" s="42">
        <v>367310</v>
      </c>
      <c r="L21" s="42">
        <v>113927</v>
      </c>
      <c r="M21" s="42">
        <v>2028908</v>
      </c>
      <c r="N21" s="42">
        <v>1507681</v>
      </c>
      <c r="O21" s="42">
        <v>20490</v>
      </c>
      <c r="P21" s="42">
        <v>67149</v>
      </c>
      <c r="Q21" s="42">
        <v>256733</v>
      </c>
      <c r="R21" s="42">
        <v>1959533</v>
      </c>
      <c r="S21" s="43">
        <v>49536</v>
      </c>
      <c r="T21" s="42">
        <v>403675</v>
      </c>
      <c r="U21" s="4"/>
    </row>
    <row r="22" spans="1:21" x14ac:dyDescent="0.3">
      <c r="A22" s="49">
        <v>46108</v>
      </c>
      <c r="B22" s="42">
        <v>38148</v>
      </c>
      <c r="C22" s="42">
        <v>259694</v>
      </c>
      <c r="D22" s="42">
        <v>238184</v>
      </c>
      <c r="E22" s="42">
        <v>199962</v>
      </c>
      <c r="F22" s="42">
        <v>769993</v>
      </c>
      <c r="G22" s="42">
        <v>342592</v>
      </c>
      <c r="H22" s="42">
        <v>68091</v>
      </c>
      <c r="I22" s="42">
        <v>77596</v>
      </c>
      <c r="J22" s="42">
        <v>221920</v>
      </c>
      <c r="K22" s="42">
        <v>368300</v>
      </c>
      <c r="L22" s="42">
        <v>113811</v>
      </c>
      <c r="M22" s="42">
        <v>2022071</v>
      </c>
      <c r="N22" s="42">
        <v>1493576</v>
      </c>
      <c r="O22" s="42">
        <v>25794</v>
      </c>
      <c r="P22" s="42">
        <v>67401</v>
      </c>
      <c r="Q22" s="42">
        <v>250994</v>
      </c>
      <c r="R22" s="42">
        <v>1907879</v>
      </c>
      <c r="S22" s="43">
        <v>48649</v>
      </c>
      <c r="T22" s="42">
        <v>404294</v>
      </c>
      <c r="U22" s="4"/>
    </row>
    <row r="23" spans="1:21" x14ac:dyDescent="0.3">
      <c r="A23" s="49">
        <v>46107</v>
      </c>
      <c r="B23" s="42">
        <v>36223</v>
      </c>
      <c r="C23" s="42">
        <v>256126</v>
      </c>
      <c r="D23" s="42">
        <v>238214</v>
      </c>
      <c r="E23" s="42">
        <v>195133</v>
      </c>
      <c r="F23" s="42">
        <v>759226</v>
      </c>
      <c r="G23" s="42">
        <v>334629</v>
      </c>
      <c r="H23" s="42">
        <v>65799</v>
      </c>
      <c r="I23" s="42">
        <v>77476</v>
      </c>
      <c r="J23" s="42">
        <v>222832</v>
      </c>
      <c r="K23" s="42">
        <v>377717</v>
      </c>
      <c r="L23" s="42">
        <v>112599</v>
      </c>
      <c r="M23" s="42">
        <v>2005019</v>
      </c>
      <c r="N23" s="42">
        <v>1494319</v>
      </c>
      <c r="O23" s="42">
        <v>23625</v>
      </c>
      <c r="P23" s="42">
        <v>65966</v>
      </c>
      <c r="Q23" s="42">
        <v>242208</v>
      </c>
      <c r="R23" s="42">
        <v>1907879</v>
      </c>
      <c r="S23" s="43">
        <v>49388</v>
      </c>
      <c r="T23" s="42">
        <v>401838</v>
      </c>
      <c r="U23" s="4"/>
    </row>
    <row r="24" spans="1:21" x14ac:dyDescent="0.3">
      <c r="A24" s="49">
        <v>46106</v>
      </c>
      <c r="B24" s="42">
        <v>36122</v>
      </c>
      <c r="C24" s="42">
        <v>257749</v>
      </c>
      <c r="D24" s="42">
        <v>239551</v>
      </c>
      <c r="E24" s="42">
        <v>189764</v>
      </c>
      <c r="F24" s="42">
        <v>765871</v>
      </c>
      <c r="G24" s="42">
        <v>332995</v>
      </c>
      <c r="H24" s="42">
        <v>64726</v>
      </c>
      <c r="I24" s="42">
        <v>76978</v>
      </c>
      <c r="J24" s="42">
        <v>223745</v>
      </c>
      <c r="K24" s="42">
        <v>406004</v>
      </c>
      <c r="L24" s="42">
        <v>114029</v>
      </c>
      <c r="M24" s="42">
        <v>1993358</v>
      </c>
      <c r="N24" s="42">
        <v>1505358</v>
      </c>
      <c r="O24" s="42">
        <v>23387</v>
      </c>
      <c r="P24" s="42">
        <v>67430</v>
      </c>
      <c r="Q24" s="42">
        <v>231662</v>
      </c>
      <c r="R24" s="42">
        <v>1878479</v>
      </c>
      <c r="S24" s="43">
        <v>50474</v>
      </c>
      <c r="T24" s="42">
        <v>404049</v>
      </c>
      <c r="U24" s="4"/>
    </row>
    <row r="25" spans="1:21" x14ac:dyDescent="0.3">
      <c r="A25" s="49">
        <v>46105</v>
      </c>
      <c r="B25" s="42">
        <v>36113</v>
      </c>
      <c r="C25" s="42">
        <v>257694</v>
      </c>
      <c r="D25" s="42">
        <v>238862</v>
      </c>
      <c r="E25" s="42">
        <v>182798</v>
      </c>
      <c r="F25" s="42">
        <v>764691</v>
      </c>
      <c r="G25" s="42">
        <v>328210</v>
      </c>
      <c r="H25" s="42">
        <v>65011</v>
      </c>
      <c r="I25" s="42">
        <v>76518</v>
      </c>
      <c r="J25" s="42">
        <v>221772</v>
      </c>
      <c r="K25" s="42">
        <v>403925</v>
      </c>
      <c r="L25" s="42">
        <v>113164</v>
      </c>
      <c r="M25" s="42">
        <v>2002065</v>
      </c>
      <c r="N25" s="42">
        <v>1504052</v>
      </c>
      <c r="O25" s="42">
        <v>23268</v>
      </c>
      <c r="P25" s="42">
        <v>67922</v>
      </c>
      <c r="Q25" s="42">
        <v>235935</v>
      </c>
      <c r="R25" s="42">
        <v>1879428</v>
      </c>
      <c r="S25" s="43">
        <v>51744</v>
      </c>
      <c r="T25" s="42">
        <v>404533</v>
      </c>
      <c r="U25" s="4"/>
    </row>
    <row r="26" spans="1:21" x14ac:dyDescent="0.3">
      <c r="A26" s="49">
        <v>46104</v>
      </c>
      <c r="B26" s="42">
        <v>35124</v>
      </c>
      <c r="C26" s="42">
        <v>263792</v>
      </c>
      <c r="D26" s="42">
        <v>238952</v>
      </c>
      <c r="E26" s="42">
        <v>178660</v>
      </c>
      <c r="F26" s="42">
        <v>766077</v>
      </c>
      <c r="G26" s="42">
        <v>329012</v>
      </c>
      <c r="H26" s="42">
        <v>63723</v>
      </c>
      <c r="I26" s="42">
        <v>76551</v>
      </c>
      <c r="J26" s="42">
        <v>222198</v>
      </c>
      <c r="K26" s="42">
        <v>406224</v>
      </c>
      <c r="L26" s="42">
        <v>112860</v>
      </c>
      <c r="M26" s="42">
        <v>2006636</v>
      </c>
      <c r="N26" s="42">
        <v>1498389</v>
      </c>
      <c r="O26" s="42">
        <v>23298</v>
      </c>
      <c r="P26" s="42">
        <v>66345</v>
      </c>
      <c r="Q26" s="42">
        <v>234021</v>
      </c>
      <c r="R26" s="42">
        <v>1865344</v>
      </c>
      <c r="S26" s="43">
        <v>56413</v>
      </c>
      <c r="T26" s="42">
        <v>400118</v>
      </c>
      <c r="U26" s="4"/>
    </row>
    <row r="27" spans="1:21" x14ac:dyDescent="0.3">
      <c r="A27" s="49">
        <v>46101</v>
      </c>
      <c r="B27" s="42">
        <v>37737</v>
      </c>
      <c r="C27" s="42">
        <v>259484</v>
      </c>
      <c r="D27" s="42">
        <v>242966</v>
      </c>
      <c r="E27" s="42">
        <v>177404</v>
      </c>
      <c r="F27" s="42">
        <v>770901</v>
      </c>
      <c r="G27" s="42">
        <v>333304</v>
      </c>
      <c r="H27" s="42">
        <v>65510</v>
      </c>
      <c r="I27" s="42">
        <v>75941</v>
      </c>
      <c r="J27" s="42">
        <v>225362</v>
      </c>
      <c r="K27" s="42">
        <v>399397</v>
      </c>
      <c r="L27" s="42">
        <v>111607</v>
      </c>
      <c r="M27" s="42">
        <v>2035808</v>
      </c>
      <c r="N27" s="42">
        <v>1511162</v>
      </c>
      <c r="O27" s="42">
        <v>23239</v>
      </c>
      <c r="P27" s="42">
        <v>91299</v>
      </c>
      <c r="Q27" s="42">
        <v>305783</v>
      </c>
      <c r="R27" s="42">
        <v>2341308</v>
      </c>
      <c r="S27" s="43">
        <v>53404</v>
      </c>
      <c r="T27" s="42">
        <v>489471</v>
      </c>
      <c r="U27" s="4"/>
    </row>
    <row r="28" spans="1:21" x14ac:dyDescent="0.3">
      <c r="A28" s="49">
        <v>46100</v>
      </c>
      <c r="B28" s="42">
        <v>37650</v>
      </c>
      <c r="C28" s="42">
        <v>259068</v>
      </c>
      <c r="D28" s="42">
        <v>245829</v>
      </c>
      <c r="E28" s="42">
        <v>178461</v>
      </c>
      <c r="F28" s="42">
        <v>773003</v>
      </c>
      <c r="G28" s="42">
        <v>337845</v>
      </c>
      <c r="H28" s="42">
        <v>65408</v>
      </c>
      <c r="I28" s="42">
        <v>75412</v>
      </c>
      <c r="J28" s="42">
        <v>225597</v>
      </c>
      <c r="K28" s="42">
        <v>405419</v>
      </c>
      <c r="L28" s="42">
        <v>112034</v>
      </c>
      <c r="M28" s="42">
        <v>2045548</v>
      </c>
      <c r="N28" s="42">
        <v>1516328</v>
      </c>
      <c r="O28" s="42">
        <v>23438</v>
      </c>
      <c r="P28" s="42">
        <v>90921</v>
      </c>
      <c r="Q28" s="42">
        <v>299584</v>
      </c>
      <c r="R28" s="42">
        <v>2337835</v>
      </c>
      <c r="S28" s="43">
        <v>79326</v>
      </c>
      <c r="T28" s="42">
        <v>476732</v>
      </c>
      <c r="U28" s="4"/>
    </row>
    <row r="29" spans="1:21" x14ac:dyDescent="0.3">
      <c r="A29" s="49">
        <v>46099</v>
      </c>
      <c r="B29" s="42">
        <v>38081</v>
      </c>
      <c r="C29" s="42">
        <v>264477</v>
      </c>
      <c r="D29" s="42">
        <v>244618</v>
      </c>
      <c r="E29" s="42">
        <v>177194</v>
      </c>
      <c r="F29" s="42">
        <v>758407</v>
      </c>
      <c r="G29" s="42">
        <v>339070</v>
      </c>
      <c r="H29" s="42">
        <v>64561</v>
      </c>
      <c r="I29" s="42">
        <v>75233</v>
      </c>
      <c r="J29" s="42">
        <v>231626</v>
      </c>
      <c r="K29" s="42">
        <v>412035</v>
      </c>
      <c r="L29" s="42">
        <v>113498</v>
      </c>
      <c r="M29" s="42">
        <v>2098786</v>
      </c>
      <c r="N29" s="42">
        <v>1530013</v>
      </c>
      <c r="O29" s="42">
        <v>23482</v>
      </c>
      <c r="P29" s="42">
        <v>94028</v>
      </c>
      <c r="Q29" s="42">
        <v>300280</v>
      </c>
      <c r="R29" s="42">
        <v>2310508</v>
      </c>
      <c r="S29" s="43">
        <v>72862</v>
      </c>
      <c r="T29" s="42">
        <v>484515</v>
      </c>
      <c r="U29" s="4"/>
    </row>
    <row r="30" spans="1:21" x14ac:dyDescent="0.3">
      <c r="A30" s="49">
        <v>46098</v>
      </c>
      <c r="B30" s="42">
        <v>35456</v>
      </c>
      <c r="C30" s="42">
        <v>353748</v>
      </c>
      <c r="D30" s="42">
        <v>340255</v>
      </c>
      <c r="E30" s="42">
        <v>247753</v>
      </c>
      <c r="F30" s="42">
        <v>958398</v>
      </c>
      <c r="G30" s="42">
        <v>451985</v>
      </c>
      <c r="H30" s="42">
        <v>82630</v>
      </c>
      <c r="I30" s="42">
        <v>96357</v>
      </c>
      <c r="J30" s="42">
        <v>231319</v>
      </c>
      <c r="K30" s="42">
        <v>411388</v>
      </c>
      <c r="L30" s="42">
        <v>114758</v>
      </c>
      <c r="M30" s="42">
        <v>2081576</v>
      </c>
      <c r="N30" s="42">
        <v>1560291</v>
      </c>
      <c r="O30" s="42">
        <v>23807</v>
      </c>
      <c r="P30" s="42">
        <v>91467</v>
      </c>
      <c r="Q30" s="42">
        <v>300943</v>
      </c>
      <c r="R30" s="42">
        <v>2330659</v>
      </c>
      <c r="S30" s="43">
        <v>78912</v>
      </c>
      <c r="T30" s="42">
        <v>481226</v>
      </c>
      <c r="U30" s="4"/>
    </row>
    <row r="31" spans="1:21" x14ac:dyDescent="0.3">
      <c r="A31" s="49">
        <v>46097</v>
      </c>
      <c r="B31" s="42">
        <v>33108</v>
      </c>
      <c r="C31" s="42">
        <v>351657</v>
      </c>
      <c r="D31" s="42">
        <v>341364</v>
      </c>
      <c r="E31" s="42">
        <v>246729</v>
      </c>
      <c r="F31" s="42">
        <v>960979</v>
      </c>
      <c r="G31" s="42">
        <v>450012</v>
      </c>
      <c r="H31" s="42">
        <v>82764</v>
      </c>
      <c r="I31" s="42">
        <v>95845</v>
      </c>
      <c r="J31" s="42">
        <v>232406</v>
      </c>
      <c r="K31" s="42">
        <v>412183</v>
      </c>
      <c r="L31" s="42">
        <v>114577</v>
      </c>
      <c r="M31" s="42">
        <v>2106118</v>
      </c>
      <c r="N31" s="42">
        <v>1568975</v>
      </c>
      <c r="O31" s="42">
        <v>23016</v>
      </c>
      <c r="P31" s="42">
        <v>87260</v>
      </c>
      <c r="Q31" s="42">
        <v>295173</v>
      </c>
      <c r="R31" s="42">
        <v>2297426</v>
      </c>
      <c r="S31" s="43">
        <v>69632</v>
      </c>
      <c r="T31" s="42">
        <v>475705</v>
      </c>
      <c r="U31" s="4"/>
    </row>
    <row r="32" spans="1:21" x14ac:dyDescent="0.3">
      <c r="A32" s="49">
        <v>46094</v>
      </c>
      <c r="B32" s="42">
        <v>41194</v>
      </c>
      <c r="C32" s="42">
        <v>349221</v>
      </c>
      <c r="D32" s="42">
        <v>347209</v>
      </c>
      <c r="E32" s="42">
        <v>252932</v>
      </c>
      <c r="F32" s="42">
        <v>954177</v>
      </c>
      <c r="G32" s="42">
        <v>445903</v>
      </c>
      <c r="H32" s="42">
        <v>79859</v>
      </c>
      <c r="I32" s="42">
        <v>95863</v>
      </c>
      <c r="J32" s="42">
        <v>233235</v>
      </c>
      <c r="K32" s="42">
        <v>419030</v>
      </c>
      <c r="L32" s="42">
        <v>115029</v>
      </c>
      <c r="M32" s="42">
        <v>2093506</v>
      </c>
      <c r="N32" s="42">
        <v>1573193</v>
      </c>
      <c r="O32" s="42">
        <v>22511</v>
      </c>
      <c r="P32" s="42">
        <v>73732</v>
      </c>
      <c r="Q32" s="42">
        <v>274636</v>
      </c>
      <c r="R32" s="42">
        <v>2106982</v>
      </c>
      <c r="S32" s="43">
        <v>59537</v>
      </c>
      <c r="T32" s="42">
        <v>426148</v>
      </c>
      <c r="U32" s="4"/>
    </row>
    <row r="33" spans="1:21" x14ac:dyDescent="0.3">
      <c r="A33" s="49">
        <v>46093</v>
      </c>
      <c r="B33" s="42">
        <v>43387</v>
      </c>
      <c r="C33" s="42">
        <v>347503</v>
      </c>
      <c r="D33" s="42">
        <v>332826</v>
      </c>
      <c r="E33" s="42">
        <v>256527</v>
      </c>
      <c r="F33" s="42">
        <v>961123</v>
      </c>
      <c r="G33" s="42">
        <v>466970</v>
      </c>
      <c r="H33" s="42">
        <v>88236</v>
      </c>
      <c r="I33" s="42">
        <v>103219</v>
      </c>
      <c r="J33" s="42">
        <v>235280</v>
      </c>
      <c r="K33" s="42">
        <v>422948</v>
      </c>
      <c r="L33" s="42">
        <v>115843</v>
      </c>
      <c r="M33" s="42">
        <v>2076432</v>
      </c>
      <c r="N33" s="42">
        <v>1584941</v>
      </c>
      <c r="O33" s="42">
        <v>21901</v>
      </c>
      <c r="P33" s="42">
        <v>72445</v>
      </c>
      <c r="Q33" s="42">
        <v>266864</v>
      </c>
      <c r="R33" s="42">
        <v>2042642</v>
      </c>
      <c r="S33" s="43">
        <v>55544</v>
      </c>
      <c r="T33" s="42">
        <v>421971</v>
      </c>
      <c r="U33" s="4"/>
    </row>
    <row r="34" spans="1:21" x14ac:dyDescent="0.3">
      <c r="A34" s="49">
        <v>46092</v>
      </c>
      <c r="B34" s="42">
        <v>35148</v>
      </c>
      <c r="C34" s="42">
        <v>334107</v>
      </c>
      <c r="D34" s="42">
        <v>387641</v>
      </c>
      <c r="E34" s="42">
        <v>284085</v>
      </c>
      <c r="F34" s="42">
        <v>966871</v>
      </c>
      <c r="G34" s="42">
        <v>456486</v>
      </c>
      <c r="H34" s="42">
        <v>81099</v>
      </c>
      <c r="I34" s="42">
        <v>107821</v>
      </c>
      <c r="J34" s="42">
        <v>235612</v>
      </c>
      <c r="K34" s="42">
        <v>415682</v>
      </c>
      <c r="L34" s="42">
        <v>115789</v>
      </c>
      <c r="M34" s="42">
        <v>2055045</v>
      </c>
      <c r="N34" s="42">
        <v>1578917</v>
      </c>
      <c r="O34" s="42">
        <v>21644</v>
      </c>
      <c r="P34" s="42">
        <v>70855</v>
      </c>
      <c r="Q34" s="42">
        <v>262971</v>
      </c>
      <c r="R34" s="42">
        <v>1993718</v>
      </c>
      <c r="S34" s="43">
        <v>53611</v>
      </c>
      <c r="T34" s="42">
        <v>414956</v>
      </c>
      <c r="U34" s="4"/>
    </row>
    <row r="35" spans="1:21" x14ac:dyDescent="0.3">
      <c r="A35" s="49">
        <v>46091</v>
      </c>
      <c r="B35" s="42">
        <v>32012</v>
      </c>
      <c r="C35" s="42">
        <v>315898</v>
      </c>
      <c r="D35" s="42">
        <v>392591</v>
      </c>
      <c r="E35" s="42">
        <v>288392</v>
      </c>
      <c r="F35" s="42">
        <v>969374</v>
      </c>
      <c r="G35" s="42">
        <v>427718</v>
      </c>
      <c r="H35" s="42">
        <v>84215</v>
      </c>
      <c r="I35" s="42">
        <v>110897</v>
      </c>
      <c r="J35" s="42">
        <v>235322</v>
      </c>
      <c r="K35" s="42">
        <v>413956</v>
      </c>
      <c r="L35" s="42">
        <v>115458</v>
      </c>
      <c r="M35" s="42">
        <v>2051321</v>
      </c>
      <c r="N35" s="42">
        <v>1565341</v>
      </c>
      <c r="O35" s="42">
        <v>21047</v>
      </c>
      <c r="P35" s="42">
        <v>71187</v>
      </c>
      <c r="Q35" s="42">
        <v>259842</v>
      </c>
      <c r="R35" s="42">
        <v>1996720</v>
      </c>
      <c r="S35" s="43">
        <v>56083</v>
      </c>
      <c r="T35" s="42">
        <v>402664</v>
      </c>
      <c r="U35" s="4"/>
    </row>
    <row r="36" spans="1:21" x14ac:dyDescent="0.3">
      <c r="A36" s="49">
        <v>46090</v>
      </c>
      <c r="B36" s="42">
        <v>31398</v>
      </c>
      <c r="C36" s="42">
        <v>293781</v>
      </c>
      <c r="D36" s="42">
        <v>390053</v>
      </c>
      <c r="E36" s="42">
        <v>272033</v>
      </c>
      <c r="F36" s="42">
        <v>915927</v>
      </c>
      <c r="G36" s="42">
        <v>437513</v>
      </c>
      <c r="H36" s="42">
        <v>79851</v>
      </c>
      <c r="I36" s="42">
        <v>114213</v>
      </c>
      <c r="J36" s="42">
        <v>236622</v>
      </c>
      <c r="K36" s="42">
        <v>404829</v>
      </c>
      <c r="L36" s="42">
        <v>114100</v>
      </c>
      <c r="M36" s="42">
        <v>2076600</v>
      </c>
      <c r="N36" s="42">
        <v>1577888</v>
      </c>
      <c r="O36" s="42">
        <v>20669</v>
      </c>
      <c r="P36" s="42">
        <v>72729</v>
      </c>
      <c r="Q36" s="42">
        <v>264743</v>
      </c>
      <c r="R36" s="42">
        <v>2032576</v>
      </c>
      <c r="S36" s="43">
        <v>60551</v>
      </c>
      <c r="T36" s="42">
        <v>416723</v>
      </c>
      <c r="U36" s="4"/>
    </row>
    <row r="37" spans="1:21" x14ac:dyDescent="0.3">
      <c r="A37" s="49">
        <v>46087</v>
      </c>
      <c r="B37" s="42">
        <v>30363</v>
      </c>
      <c r="C37" s="42">
        <v>267483</v>
      </c>
      <c r="D37" s="42">
        <v>348650</v>
      </c>
      <c r="E37" s="42">
        <v>254974</v>
      </c>
      <c r="F37" s="42">
        <v>901123</v>
      </c>
      <c r="G37" s="42">
        <v>444056</v>
      </c>
      <c r="H37" s="42">
        <v>84254</v>
      </c>
      <c r="I37" s="42">
        <v>109533</v>
      </c>
      <c r="J37" s="42">
        <v>238489</v>
      </c>
      <c r="K37" s="42">
        <v>405841</v>
      </c>
      <c r="L37" s="42">
        <v>113477</v>
      </c>
      <c r="M37" s="42">
        <v>2108374</v>
      </c>
      <c r="N37" s="42">
        <v>1590389</v>
      </c>
      <c r="O37" s="42">
        <v>20156</v>
      </c>
      <c r="P37" s="42">
        <v>71462</v>
      </c>
      <c r="Q37" s="42">
        <v>273308</v>
      </c>
      <c r="R37" s="42">
        <v>2023809</v>
      </c>
      <c r="S37" s="43">
        <v>55736</v>
      </c>
      <c r="T37" s="42">
        <v>410835</v>
      </c>
      <c r="U37" s="4"/>
    </row>
    <row r="38" spans="1:21" x14ac:dyDescent="0.3">
      <c r="A38" s="49">
        <v>46086</v>
      </c>
      <c r="B38" s="42">
        <v>29322</v>
      </c>
      <c r="C38" s="42">
        <v>279174</v>
      </c>
      <c r="D38" s="42">
        <v>317406</v>
      </c>
      <c r="E38" s="42">
        <v>255102</v>
      </c>
      <c r="F38" s="42">
        <v>912157</v>
      </c>
      <c r="G38" s="42">
        <v>426896</v>
      </c>
      <c r="H38" s="42">
        <v>83479</v>
      </c>
      <c r="I38" s="42">
        <v>106313</v>
      </c>
      <c r="J38" s="42">
        <v>241703</v>
      </c>
      <c r="K38" s="42">
        <v>413937</v>
      </c>
      <c r="L38" s="42">
        <v>113908</v>
      </c>
      <c r="M38" s="42">
        <v>2080764</v>
      </c>
      <c r="N38" s="42">
        <v>1597125</v>
      </c>
      <c r="O38" s="42">
        <v>20951</v>
      </c>
      <c r="P38" s="42">
        <v>73621</v>
      </c>
      <c r="Q38" s="42">
        <v>275214</v>
      </c>
      <c r="R38" s="42">
        <v>2041252</v>
      </c>
      <c r="S38" s="43">
        <v>55736</v>
      </c>
      <c r="T38" s="42">
        <v>407474</v>
      </c>
      <c r="U38" s="4"/>
    </row>
    <row r="39" spans="1:21" x14ac:dyDescent="0.3">
      <c r="A39" s="49">
        <v>46085</v>
      </c>
      <c r="B39" s="42">
        <v>29234</v>
      </c>
      <c r="C39" s="42">
        <v>268477</v>
      </c>
      <c r="D39" s="42">
        <v>265853</v>
      </c>
      <c r="E39" s="42">
        <v>236955</v>
      </c>
      <c r="F39" s="42">
        <v>904853</v>
      </c>
      <c r="G39" s="42">
        <v>420332</v>
      </c>
      <c r="H39" s="42">
        <v>77558</v>
      </c>
      <c r="I39" s="42">
        <v>106903</v>
      </c>
      <c r="J39" s="42">
        <v>240889</v>
      </c>
      <c r="K39" s="42">
        <v>413734</v>
      </c>
      <c r="L39" s="42">
        <v>112794</v>
      </c>
      <c r="M39" s="42">
        <v>2060577</v>
      </c>
      <c r="N39" s="42">
        <v>1610238</v>
      </c>
      <c r="O39" s="42">
        <v>22295</v>
      </c>
      <c r="P39" s="42">
        <v>71900</v>
      </c>
      <c r="Q39" s="42">
        <v>273543</v>
      </c>
      <c r="R39" s="42">
        <v>2051904</v>
      </c>
      <c r="S39" s="43">
        <v>56208</v>
      </c>
      <c r="T39" s="42">
        <v>396065</v>
      </c>
      <c r="U39" s="4"/>
    </row>
    <row r="40" spans="1:21" x14ac:dyDescent="0.3">
      <c r="A40" s="49">
        <v>46084</v>
      </c>
      <c r="B40" s="42">
        <v>29871</v>
      </c>
      <c r="C40" s="42">
        <v>267280</v>
      </c>
      <c r="D40" s="42">
        <v>269696</v>
      </c>
      <c r="E40" s="42">
        <v>232433</v>
      </c>
      <c r="F40" s="42">
        <v>913289</v>
      </c>
      <c r="G40" s="42">
        <v>416977</v>
      </c>
      <c r="H40" s="42">
        <v>79462</v>
      </c>
      <c r="I40" s="42">
        <v>105413</v>
      </c>
      <c r="J40" s="42">
        <v>244932</v>
      </c>
      <c r="K40" s="42">
        <v>409789</v>
      </c>
      <c r="L40" s="42">
        <v>113326</v>
      </c>
      <c r="M40" s="42">
        <v>2073033</v>
      </c>
      <c r="N40" s="42">
        <v>1606292</v>
      </c>
      <c r="O40" s="42">
        <v>20302</v>
      </c>
      <c r="P40" s="42">
        <v>71894</v>
      </c>
      <c r="Q40" s="42">
        <v>273307</v>
      </c>
      <c r="R40" s="42">
        <v>2060733</v>
      </c>
      <c r="S40" s="43">
        <v>60610</v>
      </c>
      <c r="T40" s="42">
        <v>401236</v>
      </c>
      <c r="U40" s="4"/>
    </row>
    <row r="41" spans="1:21" x14ac:dyDescent="0.3">
      <c r="A41" s="49">
        <v>46083</v>
      </c>
      <c r="B41" s="42">
        <v>30644</v>
      </c>
      <c r="C41" s="42">
        <v>253775</v>
      </c>
      <c r="D41" s="42">
        <v>254229</v>
      </c>
      <c r="E41" s="42">
        <v>231870</v>
      </c>
      <c r="F41" s="42">
        <v>903763</v>
      </c>
      <c r="G41" s="42">
        <v>412304</v>
      </c>
      <c r="H41" s="42">
        <v>77189</v>
      </c>
      <c r="I41" s="42">
        <v>104777</v>
      </c>
      <c r="J41" s="42">
        <v>249357</v>
      </c>
      <c r="K41" s="42">
        <v>409669</v>
      </c>
      <c r="L41" s="42">
        <v>115194</v>
      </c>
      <c r="M41" s="42">
        <v>2133091</v>
      </c>
      <c r="N41" s="42">
        <v>1617030</v>
      </c>
      <c r="O41" s="42">
        <v>20821</v>
      </c>
      <c r="P41" s="42">
        <v>69581</v>
      </c>
      <c r="Q41" s="42">
        <v>275812</v>
      </c>
      <c r="R41" s="42">
        <v>2055100</v>
      </c>
      <c r="S41" s="43">
        <v>54286</v>
      </c>
      <c r="T41" s="42">
        <v>400893</v>
      </c>
      <c r="U41" s="4"/>
    </row>
    <row r="42" spans="1:21" x14ac:dyDescent="0.3">
      <c r="A42" s="49">
        <v>46080</v>
      </c>
      <c r="B42" s="42">
        <v>26362</v>
      </c>
      <c r="C42" s="42">
        <v>255979</v>
      </c>
      <c r="D42" s="42">
        <v>249554</v>
      </c>
      <c r="E42" s="42">
        <v>226209</v>
      </c>
      <c r="F42" s="42">
        <v>903552</v>
      </c>
      <c r="G42" s="42">
        <v>424059</v>
      </c>
      <c r="H42" s="42">
        <v>74808</v>
      </c>
      <c r="I42" s="42">
        <v>102310</v>
      </c>
      <c r="J42" s="42">
        <v>247386</v>
      </c>
      <c r="K42" s="42">
        <v>409142</v>
      </c>
      <c r="L42" s="42">
        <v>115409</v>
      </c>
      <c r="M42" s="42">
        <v>2131548</v>
      </c>
      <c r="N42" s="42">
        <v>1614903</v>
      </c>
      <c r="O42" s="42">
        <v>21856</v>
      </c>
      <c r="P42" s="42">
        <v>70752</v>
      </c>
      <c r="Q42" s="42">
        <v>272226</v>
      </c>
      <c r="R42" s="42">
        <v>2023461</v>
      </c>
      <c r="S42" s="43">
        <v>48971</v>
      </c>
      <c r="T42" s="42">
        <v>405645</v>
      </c>
      <c r="U42" s="4"/>
    </row>
    <row r="43" spans="1:21" x14ac:dyDescent="0.3">
      <c r="A43" s="49">
        <v>46079</v>
      </c>
      <c r="B43" s="42">
        <v>25821</v>
      </c>
      <c r="C43" s="42">
        <v>250755</v>
      </c>
      <c r="D43" s="42">
        <v>246385</v>
      </c>
      <c r="E43" s="42">
        <v>226372</v>
      </c>
      <c r="F43" s="42">
        <v>910396</v>
      </c>
      <c r="G43" s="42">
        <v>410358</v>
      </c>
      <c r="H43" s="42">
        <v>70977</v>
      </c>
      <c r="I43" s="42">
        <v>102916</v>
      </c>
      <c r="J43" s="42">
        <v>248741</v>
      </c>
      <c r="K43" s="42">
        <v>407015</v>
      </c>
      <c r="L43" s="42">
        <v>117879</v>
      </c>
      <c r="M43" s="42">
        <v>2119646</v>
      </c>
      <c r="N43" s="42">
        <v>1617691</v>
      </c>
      <c r="O43" s="42">
        <v>21551</v>
      </c>
      <c r="P43" s="42">
        <v>70723</v>
      </c>
      <c r="Q43" s="42">
        <v>275854</v>
      </c>
      <c r="R43" s="42">
        <v>2054054</v>
      </c>
      <c r="S43" s="43">
        <v>48731</v>
      </c>
      <c r="T43" s="42">
        <v>402928</v>
      </c>
      <c r="U43" s="4"/>
    </row>
    <row r="44" spans="1:21" x14ac:dyDescent="0.3">
      <c r="A44" s="49">
        <v>46078</v>
      </c>
      <c r="B44" s="42">
        <v>24981</v>
      </c>
      <c r="C44" s="42">
        <v>251655</v>
      </c>
      <c r="D44" s="42">
        <v>244766</v>
      </c>
      <c r="E44" s="42">
        <v>222802</v>
      </c>
      <c r="F44" s="42">
        <v>913351</v>
      </c>
      <c r="G44" s="42">
        <v>378188</v>
      </c>
      <c r="H44" s="42">
        <v>71252</v>
      </c>
      <c r="I44" s="42">
        <v>100855</v>
      </c>
      <c r="J44" s="42">
        <v>251106</v>
      </c>
      <c r="K44" s="42">
        <v>408053</v>
      </c>
      <c r="L44" s="42">
        <v>120088</v>
      </c>
      <c r="M44" s="42">
        <v>2106480</v>
      </c>
      <c r="N44" s="42">
        <v>1599190</v>
      </c>
      <c r="O44" s="42">
        <v>22202</v>
      </c>
      <c r="P44" s="42">
        <v>70303</v>
      </c>
      <c r="Q44" s="42">
        <v>272895</v>
      </c>
      <c r="R44" s="42">
        <v>2046818</v>
      </c>
      <c r="S44" s="43">
        <v>46394</v>
      </c>
      <c r="T44" s="42">
        <v>397198</v>
      </c>
      <c r="U44" s="4"/>
    </row>
    <row r="45" spans="1:21" x14ac:dyDescent="0.3">
      <c r="A45" s="49">
        <v>46077</v>
      </c>
      <c r="B45" s="42">
        <v>26218</v>
      </c>
      <c r="C45" s="42">
        <v>248697</v>
      </c>
      <c r="D45" s="42">
        <v>245891</v>
      </c>
      <c r="E45" s="42">
        <v>222562</v>
      </c>
      <c r="F45" s="42">
        <v>911287</v>
      </c>
      <c r="G45" s="42">
        <v>369721</v>
      </c>
      <c r="H45" s="42">
        <v>71503</v>
      </c>
      <c r="I45" s="42">
        <v>96835</v>
      </c>
      <c r="J45" s="42">
        <v>261235</v>
      </c>
      <c r="K45" s="42">
        <v>420182</v>
      </c>
      <c r="L45" s="42">
        <v>125454</v>
      </c>
      <c r="M45" s="42">
        <v>2102705</v>
      </c>
      <c r="N45" s="42">
        <v>1619531</v>
      </c>
      <c r="O45" s="42">
        <v>22919</v>
      </c>
      <c r="P45" s="42">
        <v>69944</v>
      </c>
      <c r="Q45" s="42">
        <v>270599</v>
      </c>
      <c r="R45" s="42">
        <v>2017196</v>
      </c>
      <c r="S45" s="43">
        <v>46671</v>
      </c>
      <c r="T45" s="42">
        <v>396109</v>
      </c>
      <c r="U45" s="4"/>
    </row>
    <row r="46" spans="1:21" x14ac:dyDescent="0.3">
      <c r="A46" s="49">
        <v>46076</v>
      </c>
      <c r="B46" s="42">
        <v>26609</v>
      </c>
      <c r="C46" s="42">
        <v>249942</v>
      </c>
      <c r="D46" s="42">
        <v>251043</v>
      </c>
      <c r="E46" s="42">
        <v>222299</v>
      </c>
      <c r="F46" s="42">
        <v>903026</v>
      </c>
      <c r="G46" s="42">
        <v>368373</v>
      </c>
      <c r="H46" s="42">
        <v>71751</v>
      </c>
      <c r="I46" s="42">
        <v>96307</v>
      </c>
      <c r="J46" s="42">
        <v>263504</v>
      </c>
      <c r="K46" s="42">
        <v>417008</v>
      </c>
      <c r="L46" s="42">
        <v>134620</v>
      </c>
      <c r="M46" s="42">
        <v>2070084</v>
      </c>
      <c r="N46" s="42">
        <v>1599047</v>
      </c>
      <c r="O46" s="42">
        <v>22728</v>
      </c>
      <c r="P46" s="42">
        <v>71801</v>
      </c>
      <c r="Q46" s="42">
        <v>273966</v>
      </c>
      <c r="R46" s="42">
        <v>2000000</v>
      </c>
      <c r="S46" s="43">
        <v>46829</v>
      </c>
      <c r="T46" s="42">
        <v>398087</v>
      </c>
      <c r="U46" s="4"/>
    </row>
    <row r="47" spans="1:21" x14ac:dyDescent="0.3">
      <c r="A47" s="49">
        <v>46073</v>
      </c>
      <c r="B47" s="42">
        <v>26353</v>
      </c>
      <c r="C47" s="42">
        <v>252021</v>
      </c>
      <c r="D47" s="42">
        <v>240191</v>
      </c>
      <c r="E47" s="42">
        <v>220186</v>
      </c>
      <c r="F47" s="42">
        <v>910182</v>
      </c>
      <c r="G47" s="42">
        <v>355583</v>
      </c>
      <c r="H47" s="42">
        <v>70915</v>
      </c>
      <c r="I47" s="42">
        <v>95761</v>
      </c>
      <c r="J47" s="42">
        <v>266405</v>
      </c>
      <c r="K47" s="42">
        <v>416190</v>
      </c>
      <c r="L47" s="42">
        <v>131993</v>
      </c>
      <c r="M47" s="42">
        <v>2066875</v>
      </c>
      <c r="N47" s="42">
        <v>1595121</v>
      </c>
      <c r="O47" s="42">
        <v>23803</v>
      </c>
      <c r="P47" s="42">
        <v>67553</v>
      </c>
      <c r="Q47" s="42">
        <v>271454</v>
      </c>
      <c r="R47" s="42">
        <v>1999946</v>
      </c>
      <c r="S47" s="43">
        <v>47194</v>
      </c>
      <c r="T47" s="42">
        <v>396788</v>
      </c>
      <c r="U47" s="4"/>
    </row>
    <row r="48" spans="1:21" x14ac:dyDescent="0.3">
      <c r="A48" s="49">
        <v>46072</v>
      </c>
      <c r="B48" s="42">
        <v>26323</v>
      </c>
      <c r="C48" s="42">
        <v>255134</v>
      </c>
      <c r="D48" s="42">
        <v>241554</v>
      </c>
      <c r="E48" s="42">
        <v>218132</v>
      </c>
      <c r="F48" s="42">
        <v>915661</v>
      </c>
      <c r="G48" s="42">
        <v>356282</v>
      </c>
      <c r="H48" s="42">
        <v>71182</v>
      </c>
      <c r="I48" s="42">
        <v>95672</v>
      </c>
      <c r="J48" s="42">
        <v>269705</v>
      </c>
      <c r="K48" s="42">
        <v>409585</v>
      </c>
      <c r="L48" s="42">
        <v>130451</v>
      </c>
      <c r="M48" s="42">
        <v>2054615</v>
      </c>
      <c r="N48" s="42">
        <v>1589566</v>
      </c>
      <c r="O48" s="42">
        <v>23985</v>
      </c>
      <c r="P48" s="42">
        <v>68368</v>
      </c>
      <c r="Q48" s="42">
        <v>277691</v>
      </c>
      <c r="R48" s="42">
        <v>1972341</v>
      </c>
      <c r="S48" s="43">
        <v>47572</v>
      </c>
      <c r="T48" s="42">
        <v>396290</v>
      </c>
      <c r="U48" s="4"/>
    </row>
    <row r="49" spans="1:21" x14ac:dyDescent="0.3">
      <c r="A49" s="49">
        <v>46071</v>
      </c>
      <c r="B49" s="43">
        <v>26615</v>
      </c>
      <c r="C49" s="42">
        <v>253776</v>
      </c>
      <c r="D49" s="42">
        <v>237041</v>
      </c>
      <c r="E49" s="42">
        <v>218498</v>
      </c>
      <c r="F49" s="42">
        <v>915128</v>
      </c>
      <c r="G49" s="42">
        <v>353742</v>
      </c>
      <c r="H49" s="42">
        <v>72177</v>
      </c>
      <c r="I49" s="42">
        <v>95815</v>
      </c>
      <c r="J49" s="42">
        <v>268933</v>
      </c>
      <c r="K49" s="42">
        <v>410177</v>
      </c>
      <c r="L49" s="42">
        <v>130969</v>
      </c>
      <c r="M49" s="42">
        <v>2077853</v>
      </c>
      <c r="N49" s="42">
        <v>1609124</v>
      </c>
      <c r="O49" s="42">
        <v>23722</v>
      </c>
      <c r="P49" s="42">
        <v>68313</v>
      </c>
      <c r="Q49" s="42">
        <v>267267</v>
      </c>
      <c r="R49" s="42">
        <v>1962456</v>
      </c>
      <c r="S49" s="43">
        <v>47844</v>
      </c>
      <c r="T49" s="42">
        <v>394136</v>
      </c>
      <c r="U49" s="4"/>
    </row>
    <row r="50" spans="1:21" x14ac:dyDescent="0.3">
      <c r="A50" s="49">
        <v>46070</v>
      </c>
      <c r="B50" s="43">
        <v>26596</v>
      </c>
      <c r="C50" s="42">
        <v>256213</v>
      </c>
      <c r="D50" s="42">
        <v>238845</v>
      </c>
      <c r="E50" s="42">
        <v>218415</v>
      </c>
      <c r="F50" s="42">
        <v>916813</v>
      </c>
      <c r="G50" s="42">
        <v>354328</v>
      </c>
      <c r="H50" s="42">
        <v>73004</v>
      </c>
      <c r="I50" s="42">
        <v>95743</v>
      </c>
      <c r="J50" s="42">
        <v>272967</v>
      </c>
      <c r="K50" s="42">
        <v>407078</v>
      </c>
      <c r="L50" s="42">
        <v>131496</v>
      </c>
      <c r="M50" s="42">
        <v>2087493</v>
      </c>
      <c r="N50" s="42">
        <v>1613556</v>
      </c>
      <c r="O50" s="42">
        <v>23335</v>
      </c>
      <c r="P50" s="42">
        <v>68377</v>
      </c>
      <c r="Q50" s="42">
        <v>272951</v>
      </c>
      <c r="R50" s="42">
        <v>1966090</v>
      </c>
      <c r="S50" s="43">
        <v>44984</v>
      </c>
      <c r="T50" s="42">
        <v>392196</v>
      </c>
      <c r="U50" s="4"/>
    </row>
    <row r="51" spans="1:21" x14ac:dyDescent="0.3">
      <c r="A51" s="49">
        <v>46069</v>
      </c>
      <c r="B51" s="43">
        <v>26748</v>
      </c>
      <c r="C51" s="42">
        <v>255366</v>
      </c>
      <c r="D51" s="42">
        <v>231889</v>
      </c>
      <c r="E51" s="42">
        <v>218846</v>
      </c>
      <c r="F51" s="42">
        <v>918443</v>
      </c>
      <c r="G51" s="42">
        <v>361085</v>
      </c>
      <c r="H51" s="42">
        <v>74592</v>
      </c>
      <c r="I51" s="42">
        <v>95864</v>
      </c>
      <c r="J51" s="42">
        <v>271074</v>
      </c>
      <c r="K51" s="42">
        <v>408683</v>
      </c>
      <c r="L51" s="42">
        <v>133180</v>
      </c>
      <c r="M51" s="42">
        <v>2084472</v>
      </c>
      <c r="N51" s="42">
        <v>1596650</v>
      </c>
      <c r="O51" s="42">
        <v>23085</v>
      </c>
      <c r="P51" s="42">
        <v>68688</v>
      </c>
      <c r="Q51" s="42">
        <v>269798</v>
      </c>
      <c r="R51" s="42">
        <v>1949235</v>
      </c>
      <c r="S51" s="43">
        <v>42089</v>
      </c>
      <c r="T51" s="42">
        <v>388354</v>
      </c>
      <c r="U51" s="4"/>
    </row>
    <row r="52" spans="1:21" x14ac:dyDescent="0.3">
      <c r="A52" s="49">
        <v>46066</v>
      </c>
      <c r="B52" s="43">
        <v>26748</v>
      </c>
      <c r="C52" s="42">
        <v>255366</v>
      </c>
      <c r="D52" s="42">
        <v>231889</v>
      </c>
      <c r="E52" s="42">
        <v>218846</v>
      </c>
      <c r="F52" s="42">
        <v>918443</v>
      </c>
      <c r="G52" s="42">
        <v>361085</v>
      </c>
      <c r="H52" s="42">
        <v>74592</v>
      </c>
      <c r="I52" s="42">
        <v>95864</v>
      </c>
      <c r="J52" s="42">
        <v>271074</v>
      </c>
      <c r="K52" s="42">
        <v>408683</v>
      </c>
      <c r="L52" s="42">
        <v>133180</v>
      </c>
      <c r="M52" s="42">
        <v>2084472</v>
      </c>
      <c r="N52" s="42">
        <v>1596650</v>
      </c>
      <c r="O52" s="42">
        <v>23085</v>
      </c>
      <c r="P52" s="42">
        <v>68688</v>
      </c>
      <c r="Q52" s="42">
        <v>269798</v>
      </c>
      <c r="R52" s="42">
        <v>1949235</v>
      </c>
      <c r="S52" s="43">
        <v>45881</v>
      </c>
      <c r="T52" s="42">
        <v>388354</v>
      </c>
      <c r="U52" s="4"/>
    </row>
    <row r="53" spans="1:21" x14ac:dyDescent="0.3">
      <c r="A53" s="49">
        <v>46065</v>
      </c>
      <c r="B53" s="43">
        <v>26756</v>
      </c>
      <c r="C53" s="42">
        <v>250439</v>
      </c>
      <c r="D53" s="42">
        <v>232369</v>
      </c>
      <c r="E53" s="42">
        <v>218905</v>
      </c>
      <c r="F53" s="42">
        <v>922214</v>
      </c>
      <c r="G53" s="42">
        <v>346246</v>
      </c>
      <c r="H53" s="42">
        <v>74035</v>
      </c>
      <c r="I53" s="42">
        <v>96017</v>
      </c>
      <c r="J53" s="42">
        <v>273207</v>
      </c>
      <c r="K53" s="42">
        <v>406408</v>
      </c>
      <c r="L53" s="42">
        <v>132454</v>
      </c>
      <c r="M53" s="42">
        <v>2086808</v>
      </c>
      <c r="N53" s="42">
        <v>1595826</v>
      </c>
      <c r="O53" s="42">
        <v>23375</v>
      </c>
      <c r="P53" s="42">
        <v>69871</v>
      </c>
      <c r="Q53" s="42">
        <v>271526</v>
      </c>
      <c r="R53" s="42">
        <v>1936666</v>
      </c>
      <c r="S53" s="43">
        <v>46503</v>
      </c>
      <c r="T53" s="42">
        <v>390785</v>
      </c>
      <c r="U53" s="4"/>
    </row>
    <row r="54" spans="1:21" x14ac:dyDescent="0.3">
      <c r="A54" s="49">
        <v>46064</v>
      </c>
      <c r="B54" s="42">
        <v>27518</v>
      </c>
      <c r="C54" s="42">
        <v>253473</v>
      </c>
      <c r="D54" s="42">
        <v>231541</v>
      </c>
      <c r="E54" s="42">
        <v>216852</v>
      </c>
      <c r="F54" s="42">
        <v>926172</v>
      </c>
      <c r="G54" s="42">
        <v>345350</v>
      </c>
      <c r="H54" s="42">
        <v>74477</v>
      </c>
      <c r="I54" s="42">
        <v>96264</v>
      </c>
      <c r="J54" s="42">
        <v>271167</v>
      </c>
      <c r="K54" s="42">
        <v>408069</v>
      </c>
      <c r="L54" s="42">
        <v>134053</v>
      </c>
      <c r="M54" s="42">
        <v>2064327</v>
      </c>
      <c r="N54" s="42">
        <v>1604191</v>
      </c>
      <c r="O54" s="42">
        <v>23019</v>
      </c>
      <c r="P54" s="42">
        <v>70072</v>
      </c>
      <c r="Q54" s="42">
        <v>263148</v>
      </c>
      <c r="R54" s="42">
        <v>1927480</v>
      </c>
      <c r="S54" s="43">
        <v>44772</v>
      </c>
      <c r="T54" s="42">
        <v>396288</v>
      </c>
      <c r="U54" s="4"/>
    </row>
    <row r="55" spans="1:21" x14ac:dyDescent="0.3">
      <c r="A55" s="49">
        <v>46063</v>
      </c>
      <c r="B55" s="42">
        <v>27789</v>
      </c>
      <c r="C55" s="42">
        <v>247194</v>
      </c>
      <c r="D55" s="42">
        <v>227574</v>
      </c>
      <c r="E55" s="42">
        <v>215037</v>
      </c>
      <c r="F55" s="42">
        <v>926273</v>
      </c>
      <c r="G55" s="42">
        <v>334948</v>
      </c>
      <c r="H55" s="42">
        <v>71848</v>
      </c>
      <c r="I55" s="42">
        <v>95799</v>
      </c>
      <c r="J55" s="42">
        <v>270792</v>
      </c>
      <c r="K55" s="42">
        <v>404391</v>
      </c>
      <c r="L55" s="42">
        <v>133641</v>
      </c>
      <c r="M55" s="42">
        <v>2070538</v>
      </c>
      <c r="N55" s="42">
        <v>1623408</v>
      </c>
      <c r="O55" s="42">
        <v>24157</v>
      </c>
      <c r="P55" s="42">
        <v>72216</v>
      </c>
      <c r="Q55" s="42">
        <v>263282</v>
      </c>
      <c r="R55" s="42">
        <v>1934958</v>
      </c>
      <c r="S55" s="43">
        <v>42975</v>
      </c>
      <c r="T55" s="42">
        <v>408094</v>
      </c>
      <c r="U55" s="4"/>
    </row>
    <row r="56" spans="1:21" x14ac:dyDescent="0.3">
      <c r="A56" s="49">
        <v>46062</v>
      </c>
      <c r="B56" s="42">
        <v>28248</v>
      </c>
      <c r="C56" s="42">
        <v>249514</v>
      </c>
      <c r="D56" s="42">
        <v>225063</v>
      </c>
      <c r="E56" s="42">
        <v>214108</v>
      </c>
      <c r="F56" s="42">
        <v>925758</v>
      </c>
      <c r="G56" s="42">
        <v>319302</v>
      </c>
      <c r="H56" s="42">
        <v>71753</v>
      </c>
      <c r="I56" s="42">
        <v>96261</v>
      </c>
      <c r="J56" s="42">
        <v>271876</v>
      </c>
      <c r="K56" s="42">
        <v>404446</v>
      </c>
      <c r="L56" s="42">
        <v>136120</v>
      </c>
      <c r="M56" s="42">
        <v>2080640</v>
      </c>
      <c r="N56" s="42">
        <v>1637765</v>
      </c>
      <c r="O56" s="42">
        <v>23643</v>
      </c>
      <c r="P56" s="42">
        <v>71089</v>
      </c>
      <c r="Q56" s="42">
        <v>261326</v>
      </c>
      <c r="R56" s="42">
        <v>1933282</v>
      </c>
      <c r="S56" s="43">
        <v>43932</v>
      </c>
      <c r="T56" s="42">
        <v>396806</v>
      </c>
      <c r="U56" s="4"/>
    </row>
    <row r="57" spans="1:21" x14ac:dyDescent="0.3">
      <c r="A57" s="49">
        <v>46059</v>
      </c>
      <c r="B57" s="42">
        <v>27541</v>
      </c>
      <c r="C57" s="42">
        <v>254514</v>
      </c>
      <c r="D57" s="42">
        <v>224523</v>
      </c>
      <c r="E57" s="42">
        <v>214229</v>
      </c>
      <c r="F57" s="42">
        <v>918947</v>
      </c>
      <c r="G57" s="42">
        <v>305445</v>
      </c>
      <c r="H57" s="42">
        <v>70347</v>
      </c>
      <c r="I57" s="42">
        <v>94405</v>
      </c>
      <c r="J57" s="42">
        <v>273329</v>
      </c>
      <c r="K57" s="42">
        <v>401609</v>
      </c>
      <c r="L57" s="42">
        <v>135258</v>
      </c>
      <c r="M57" s="42">
        <v>2072651</v>
      </c>
      <c r="N57" s="42">
        <v>1651937</v>
      </c>
      <c r="O57" s="42">
        <v>23225</v>
      </c>
      <c r="P57" s="42">
        <v>72361</v>
      </c>
      <c r="Q57" s="42">
        <v>266104</v>
      </c>
      <c r="R57" s="42">
        <v>1940179</v>
      </c>
      <c r="S57" s="43">
        <v>44158</v>
      </c>
      <c r="T57" s="42">
        <v>398069</v>
      </c>
      <c r="U57" s="4"/>
    </row>
    <row r="58" spans="1:21" x14ac:dyDescent="0.3">
      <c r="A58" s="49">
        <v>46058</v>
      </c>
      <c r="B58" s="42">
        <v>28155</v>
      </c>
      <c r="C58" s="42">
        <v>258919</v>
      </c>
      <c r="D58" s="42">
        <v>225067</v>
      </c>
      <c r="E58" s="42">
        <v>216027</v>
      </c>
      <c r="F58" s="42">
        <v>911060</v>
      </c>
      <c r="G58" s="42">
        <v>311360</v>
      </c>
      <c r="H58" s="42">
        <v>71097</v>
      </c>
      <c r="I58" s="42">
        <v>94109</v>
      </c>
      <c r="J58" s="42">
        <v>278900</v>
      </c>
      <c r="K58" s="42">
        <v>400952</v>
      </c>
      <c r="L58" s="42">
        <v>137350</v>
      </c>
      <c r="M58" s="42">
        <v>2096168</v>
      </c>
      <c r="N58" s="42">
        <v>1654197</v>
      </c>
      <c r="O58" s="42">
        <v>23039</v>
      </c>
      <c r="P58" s="42">
        <v>71893</v>
      </c>
      <c r="Q58" s="42">
        <v>277480</v>
      </c>
      <c r="R58" s="42">
        <v>1936409</v>
      </c>
      <c r="S58" s="43">
        <v>45335</v>
      </c>
      <c r="T58" s="42">
        <v>404921</v>
      </c>
      <c r="U58" s="4"/>
    </row>
    <row r="59" spans="1:21" x14ac:dyDescent="0.3">
      <c r="A59" s="49">
        <v>46057</v>
      </c>
      <c r="B59" s="42">
        <v>28670</v>
      </c>
      <c r="C59" s="42">
        <v>254469</v>
      </c>
      <c r="D59" s="42">
        <v>226895</v>
      </c>
      <c r="E59" s="42">
        <v>214317</v>
      </c>
      <c r="F59" s="42">
        <v>913031</v>
      </c>
      <c r="G59" s="42">
        <v>305826</v>
      </c>
      <c r="H59" s="42">
        <v>69219</v>
      </c>
      <c r="I59" s="42">
        <v>93418</v>
      </c>
      <c r="J59" s="42">
        <v>280183</v>
      </c>
      <c r="K59" s="42">
        <v>407643</v>
      </c>
      <c r="L59" s="42">
        <v>143230</v>
      </c>
      <c r="M59" s="42">
        <v>2114233</v>
      </c>
      <c r="N59" s="42">
        <v>1655425</v>
      </c>
      <c r="O59" s="42">
        <v>22816</v>
      </c>
      <c r="P59" s="42">
        <v>70673</v>
      </c>
      <c r="Q59" s="42">
        <v>274226</v>
      </c>
      <c r="R59" s="42">
        <v>1925826</v>
      </c>
      <c r="S59" s="43">
        <v>45472</v>
      </c>
      <c r="T59" s="42">
        <v>402573</v>
      </c>
      <c r="U59" s="4"/>
    </row>
    <row r="60" spans="1:21" x14ac:dyDescent="0.3">
      <c r="A60" s="49">
        <v>46056</v>
      </c>
      <c r="B60" s="42">
        <v>28190</v>
      </c>
      <c r="C60" s="42">
        <v>254240</v>
      </c>
      <c r="D60" s="42">
        <v>227888</v>
      </c>
      <c r="E60" s="42">
        <v>216252</v>
      </c>
      <c r="F60" s="42">
        <v>910464</v>
      </c>
      <c r="G60" s="42">
        <v>303673</v>
      </c>
      <c r="H60" s="42">
        <v>71304</v>
      </c>
      <c r="I60" s="42">
        <v>93555</v>
      </c>
      <c r="J60" s="42">
        <v>278845</v>
      </c>
      <c r="K60" s="42">
        <v>409694</v>
      </c>
      <c r="L60" s="42">
        <v>143180</v>
      </c>
      <c r="M60" s="42">
        <v>2091314</v>
      </c>
      <c r="N60" s="42">
        <v>1655983</v>
      </c>
      <c r="O60" s="42">
        <v>23044</v>
      </c>
      <c r="P60" s="42">
        <v>70011</v>
      </c>
      <c r="Q60" s="42">
        <v>268823</v>
      </c>
      <c r="R60" s="42">
        <v>1928476</v>
      </c>
      <c r="S60" s="43">
        <v>47252</v>
      </c>
      <c r="T60" s="42">
        <v>407183</v>
      </c>
      <c r="U60" s="4"/>
    </row>
    <row r="61" spans="1:21" x14ac:dyDescent="0.3">
      <c r="A61" s="49">
        <v>46055</v>
      </c>
      <c r="B61" s="42">
        <v>27618</v>
      </c>
      <c r="C61" s="42">
        <v>245896</v>
      </c>
      <c r="D61" s="42">
        <v>230024</v>
      </c>
      <c r="E61" s="42">
        <v>220072</v>
      </c>
      <c r="F61" s="42">
        <v>910001</v>
      </c>
      <c r="G61" s="42">
        <v>304951</v>
      </c>
      <c r="H61" s="42">
        <v>73204</v>
      </c>
      <c r="I61" s="42">
        <v>94169</v>
      </c>
      <c r="J61" s="42">
        <v>274154</v>
      </c>
      <c r="K61" s="42">
        <v>414776</v>
      </c>
      <c r="L61" s="42">
        <v>142368</v>
      </c>
      <c r="M61" s="42">
        <v>2079861</v>
      </c>
      <c r="N61" s="42">
        <v>1710172</v>
      </c>
      <c r="O61" s="42">
        <v>22699</v>
      </c>
      <c r="P61" s="42">
        <v>69534</v>
      </c>
      <c r="Q61" s="42">
        <v>259229</v>
      </c>
      <c r="R61" s="42">
        <v>1921474</v>
      </c>
      <c r="S61" s="43">
        <v>47702</v>
      </c>
      <c r="T61" s="42">
        <v>407377</v>
      </c>
      <c r="U61" s="4"/>
    </row>
    <row r="62" spans="1:21" x14ac:dyDescent="0.3">
      <c r="A62" s="49">
        <v>46052</v>
      </c>
      <c r="B62" s="43">
        <v>26390</v>
      </c>
      <c r="C62" s="42">
        <v>245245</v>
      </c>
      <c r="D62" s="42">
        <v>229273</v>
      </c>
      <c r="E62" s="42">
        <v>220587</v>
      </c>
      <c r="F62" s="42">
        <v>916932</v>
      </c>
      <c r="G62" s="42">
        <v>294519</v>
      </c>
      <c r="H62" s="42">
        <v>77203</v>
      </c>
      <c r="I62" s="42">
        <v>94918</v>
      </c>
      <c r="J62" s="42">
        <v>274242</v>
      </c>
      <c r="K62" s="42">
        <v>425516</v>
      </c>
      <c r="L62" s="42">
        <v>147995</v>
      </c>
      <c r="M62" s="42">
        <v>2079926</v>
      </c>
      <c r="N62" s="42">
        <v>1655019</v>
      </c>
      <c r="O62" s="42">
        <v>23462</v>
      </c>
      <c r="P62" s="42">
        <v>69675</v>
      </c>
      <c r="Q62" s="42">
        <v>260930</v>
      </c>
      <c r="R62" s="42">
        <v>1913238</v>
      </c>
      <c r="S62" s="43">
        <v>48326</v>
      </c>
      <c r="T62" s="42">
        <v>410316</v>
      </c>
      <c r="U62" s="4"/>
    </row>
    <row r="63" spans="1:21" x14ac:dyDescent="0.3">
      <c r="A63" s="49">
        <v>46051</v>
      </c>
      <c r="B63" s="43">
        <v>33875</v>
      </c>
      <c r="C63" s="42">
        <v>249654</v>
      </c>
      <c r="D63" s="42">
        <v>228292</v>
      </c>
      <c r="E63" s="42">
        <v>218259</v>
      </c>
      <c r="F63" s="42">
        <v>922962</v>
      </c>
      <c r="G63" s="42">
        <v>300038</v>
      </c>
      <c r="H63" s="42">
        <v>79791</v>
      </c>
      <c r="I63" s="42">
        <v>95319</v>
      </c>
      <c r="J63" s="42">
        <v>279300</v>
      </c>
      <c r="K63" s="42">
        <v>451510</v>
      </c>
      <c r="L63" s="42">
        <v>156028</v>
      </c>
      <c r="M63" s="42">
        <v>2072540</v>
      </c>
      <c r="N63" s="42">
        <v>1638857</v>
      </c>
      <c r="O63" s="42">
        <v>23427</v>
      </c>
      <c r="P63" s="42">
        <v>69029</v>
      </c>
      <c r="Q63" s="42">
        <v>258855</v>
      </c>
      <c r="R63" s="42">
        <v>1911520</v>
      </c>
      <c r="S63" s="43">
        <v>50659</v>
      </c>
      <c r="T63" s="42">
        <v>414639</v>
      </c>
      <c r="U63" s="4"/>
    </row>
    <row r="64" spans="1:21" x14ac:dyDescent="0.3">
      <c r="A64" s="49">
        <v>46050</v>
      </c>
      <c r="B64" s="43">
        <v>33792</v>
      </c>
      <c r="C64" s="42">
        <v>254192</v>
      </c>
      <c r="D64" s="42">
        <v>227793</v>
      </c>
      <c r="E64" s="42">
        <v>223180</v>
      </c>
      <c r="F64" s="42">
        <v>914342</v>
      </c>
      <c r="G64" s="42">
        <v>296757</v>
      </c>
      <c r="H64" s="42">
        <v>83075</v>
      </c>
      <c r="I64" s="42">
        <v>95715</v>
      </c>
      <c r="J64" s="42">
        <v>278421</v>
      </c>
      <c r="K64" s="42">
        <v>465123</v>
      </c>
      <c r="L64" s="42">
        <v>156772</v>
      </c>
      <c r="M64" s="42">
        <v>2059034</v>
      </c>
      <c r="N64" s="42">
        <v>1621944</v>
      </c>
      <c r="O64" s="42">
        <v>22584</v>
      </c>
      <c r="P64" s="42">
        <v>70662</v>
      </c>
      <c r="Q64" s="42">
        <v>262769</v>
      </c>
      <c r="R64" s="42">
        <v>1906525</v>
      </c>
      <c r="S64" s="43">
        <v>46757</v>
      </c>
      <c r="T64" s="42">
        <v>417472</v>
      </c>
      <c r="U64" s="4"/>
    </row>
    <row r="65" spans="1:21" x14ac:dyDescent="0.3">
      <c r="A65" s="49">
        <v>46049</v>
      </c>
      <c r="B65" s="43">
        <v>31746</v>
      </c>
      <c r="C65" s="42">
        <v>252055</v>
      </c>
      <c r="D65" s="42">
        <v>224459</v>
      </c>
      <c r="E65" s="42">
        <v>227204</v>
      </c>
      <c r="F65" s="42">
        <v>919284</v>
      </c>
      <c r="G65" s="42">
        <v>300726</v>
      </c>
      <c r="H65" s="42">
        <v>85552</v>
      </c>
      <c r="I65" s="42">
        <v>96111</v>
      </c>
      <c r="J65" s="42">
        <v>278219</v>
      </c>
      <c r="K65" s="42">
        <v>488463</v>
      </c>
      <c r="L65" s="42">
        <v>156637</v>
      </c>
      <c r="M65" s="42">
        <v>2035649</v>
      </c>
      <c r="N65" s="42">
        <v>1625943</v>
      </c>
      <c r="O65" s="42">
        <v>24276</v>
      </c>
      <c r="P65" s="42">
        <v>70906</v>
      </c>
      <c r="Q65" s="42">
        <v>260759</v>
      </c>
      <c r="R65" s="42">
        <v>1897461</v>
      </c>
      <c r="S65" s="43">
        <v>45586</v>
      </c>
      <c r="T65" s="42">
        <v>416547</v>
      </c>
      <c r="U65" s="4"/>
    </row>
    <row r="66" spans="1:21" x14ac:dyDescent="0.3">
      <c r="A66" s="49">
        <v>46048</v>
      </c>
      <c r="B66" s="43">
        <v>30144</v>
      </c>
      <c r="C66" s="42">
        <v>247188</v>
      </c>
      <c r="D66" s="42">
        <v>225547</v>
      </c>
      <c r="E66" s="42">
        <v>219397</v>
      </c>
      <c r="F66" s="42">
        <v>893573</v>
      </c>
      <c r="G66" s="42">
        <v>295327</v>
      </c>
      <c r="H66" s="42">
        <v>86609</v>
      </c>
      <c r="I66" s="42">
        <v>97055</v>
      </c>
      <c r="J66" s="42">
        <v>282678</v>
      </c>
      <c r="K66" s="42">
        <v>525061</v>
      </c>
      <c r="L66" s="42">
        <v>161943</v>
      </c>
      <c r="M66" s="42">
        <v>2003676</v>
      </c>
      <c r="N66" s="42">
        <v>1633952</v>
      </c>
      <c r="O66" s="42">
        <v>24123</v>
      </c>
      <c r="P66" s="42">
        <v>69670</v>
      </c>
      <c r="Q66" s="42">
        <v>258042</v>
      </c>
      <c r="R66" s="42">
        <v>1896831</v>
      </c>
      <c r="S66" s="43">
        <v>47184</v>
      </c>
      <c r="T66" s="42">
        <v>420532</v>
      </c>
      <c r="U66" s="4"/>
    </row>
    <row r="67" spans="1:21" x14ac:dyDescent="0.3">
      <c r="A67" s="49">
        <v>46045</v>
      </c>
      <c r="B67" s="43">
        <v>30544</v>
      </c>
      <c r="C67" s="42">
        <v>243558</v>
      </c>
      <c r="D67" s="42">
        <v>220980</v>
      </c>
      <c r="E67" s="42">
        <v>217552</v>
      </c>
      <c r="F67" s="42">
        <v>882143</v>
      </c>
      <c r="G67" s="42">
        <v>303122</v>
      </c>
      <c r="H67" s="42">
        <v>88980</v>
      </c>
      <c r="I67" s="42">
        <v>97412</v>
      </c>
      <c r="J67" s="42">
        <v>283633</v>
      </c>
      <c r="K67" s="42">
        <v>539164</v>
      </c>
      <c r="L67" s="42">
        <v>159548</v>
      </c>
      <c r="M67" s="42">
        <v>1994832</v>
      </c>
      <c r="N67" s="42">
        <v>1613536</v>
      </c>
      <c r="O67" s="42">
        <v>24299</v>
      </c>
      <c r="P67" s="42">
        <v>70623</v>
      </c>
      <c r="Q67" s="42">
        <v>256688</v>
      </c>
      <c r="R67" s="42">
        <v>1883988</v>
      </c>
      <c r="S67" s="43">
        <v>47485</v>
      </c>
      <c r="T67" s="42">
        <v>426053</v>
      </c>
      <c r="U67" s="4"/>
    </row>
    <row r="68" spans="1:21" x14ac:dyDescent="0.3">
      <c r="A68" s="49">
        <v>46044</v>
      </c>
      <c r="B68" s="43">
        <v>29496</v>
      </c>
      <c r="C68" s="42">
        <v>238080</v>
      </c>
      <c r="D68" s="42">
        <v>210901</v>
      </c>
      <c r="E68" s="42">
        <v>220271</v>
      </c>
      <c r="F68" s="42">
        <v>872558</v>
      </c>
      <c r="G68" s="42">
        <v>293459</v>
      </c>
      <c r="H68" s="42">
        <v>90765</v>
      </c>
      <c r="I68" s="42">
        <v>96278</v>
      </c>
      <c r="J68" s="42">
        <v>282227</v>
      </c>
      <c r="K68" s="42">
        <v>541033</v>
      </c>
      <c r="L68" s="42">
        <v>155564</v>
      </c>
      <c r="M68" s="42">
        <v>1971090</v>
      </c>
      <c r="N68" s="42">
        <v>1595488</v>
      </c>
      <c r="O68" s="42">
        <v>24471</v>
      </c>
      <c r="P68" s="42">
        <v>70533</v>
      </c>
      <c r="Q68" s="42">
        <v>256615</v>
      </c>
      <c r="R68" s="42">
        <v>1887656</v>
      </c>
      <c r="S68" s="43">
        <v>50840</v>
      </c>
      <c r="T68" s="42">
        <v>424307</v>
      </c>
      <c r="U68" s="4"/>
    </row>
    <row r="69" spans="1:21" x14ac:dyDescent="0.3">
      <c r="A69" s="49">
        <v>46043</v>
      </c>
      <c r="B69" s="43">
        <v>28910</v>
      </c>
      <c r="C69" s="42">
        <v>231869</v>
      </c>
      <c r="D69" s="42">
        <v>210027</v>
      </c>
      <c r="E69" s="42">
        <v>216649</v>
      </c>
      <c r="F69" s="42">
        <v>873603</v>
      </c>
      <c r="G69" s="42">
        <v>292012</v>
      </c>
      <c r="H69" s="42">
        <v>92273</v>
      </c>
      <c r="I69" s="42">
        <v>96908</v>
      </c>
      <c r="J69" s="42">
        <v>280000</v>
      </c>
      <c r="K69" s="42">
        <v>532136</v>
      </c>
      <c r="L69" s="42">
        <v>153311</v>
      </c>
      <c r="M69" s="42">
        <v>1968514</v>
      </c>
      <c r="N69" s="42">
        <v>1596341</v>
      </c>
      <c r="O69" s="42">
        <v>24086</v>
      </c>
      <c r="P69" s="42">
        <v>70243</v>
      </c>
      <c r="Q69" s="42">
        <v>258495</v>
      </c>
      <c r="R69" s="42">
        <v>1895323</v>
      </c>
      <c r="S69" s="43">
        <v>55386</v>
      </c>
      <c r="T69" s="42">
        <v>417835</v>
      </c>
      <c r="U69" s="4"/>
    </row>
    <row r="70" spans="1:21" x14ac:dyDescent="0.3">
      <c r="A70" s="49">
        <v>46042</v>
      </c>
      <c r="B70" s="43">
        <v>29579</v>
      </c>
      <c r="C70" s="42">
        <v>230657</v>
      </c>
      <c r="D70" s="42">
        <v>207612</v>
      </c>
      <c r="E70" s="42">
        <v>213597</v>
      </c>
      <c r="F70" s="42">
        <v>880948</v>
      </c>
      <c r="G70" s="42">
        <v>292607</v>
      </c>
      <c r="H70" s="42">
        <v>92661</v>
      </c>
      <c r="I70" s="42">
        <v>98085</v>
      </c>
      <c r="J70" s="42">
        <v>278431</v>
      </c>
      <c r="K70" s="42">
        <v>528004</v>
      </c>
      <c r="L70" s="42">
        <v>152020</v>
      </c>
      <c r="M70" s="42">
        <v>1964359</v>
      </c>
      <c r="N70" s="42">
        <v>1614025</v>
      </c>
      <c r="O70" s="42">
        <v>24541</v>
      </c>
      <c r="P70" s="42">
        <v>70237</v>
      </c>
      <c r="Q70" s="42">
        <v>267118</v>
      </c>
      <c r="R70" s="42">
        <v>1926910</v>
      </c>
      <c r="S70" s="43">
        <v>51915</v>
      </c>
      <c r="T70" s="42">
        <v>413471</v>
      </c>
      <c r="U70" s="4"/>
    </row>
    <row r="71" spans="1:21" x14ac:dyDescent="0.3">
      <c r="A71" s="49">
        <v>46041</v>
      </c>
      <c r="B71" s="43">
        <v>30241</v>
      </c>
      <c r="C71" s="42">
        <v>223722</v>
      </c>
      <c r="D71" s="42">
        <v>206867</v>
      </c>
      <c r="E71" s="42">
        <v>220550</v>
      </c>
      <c r="F71" s="42">
        <v>879481</v>
      </c>
      <c r="G71" s="42">
        <v>286602</v>
      </c>
      <c r="H71" s="42">
        <v>90743</v>
      </c>
      <c r="I71" s="42">
        <v>101115</v>
      </c>
      <c r="J71" s="42">
        <v>276024</v>
      </c>
      <c r="K71" s="42">
        <v>519272</v>
      </c>
      <c r="L71" s="42">
        <v>148778</v>
      </c>
      <c r="M71" s="42">
        <v>1981689</v>
      </c>
      <c r="N71" s="42">
        <v>1653615</v>
      </c>
      <c r="O71" s="42">
        <v>23886</v>
      </c>
      <c r="P71" s="42">
        <v>71408</v>
      </c>
      <c r="Q71" s="42">
        <v>270159</v>
      </c>
      <c r="R71" s="42">
        <v>1935692</v>
      </c>
      <c r="S71" s="43">
        <v>49902</v>
      </c>
      <c r="T71" s="42">
        <v>410563</v>
      </c>
      <c r="U71" s="4"/>
    </row>
    <row r="72" spans="1:21" x14ac:dyDescent="0.3">
      <c r="A72" s="49">
        <v>46038</v>
      </c>
      <c r="B72" s="43">
        <v>30664</v>
      </c>
      <c r="C72" s="42">
        <v>223722</v>
      </c>
      <c r="D72" s="42">
        <v>206867</v>
      </c>
      <c r="E72" s="42">
        <v>220550</v>
      </c>
      <c r="F72" s="42">
        <v>879481</v>
      </c>
      <c r="G72" s="42">
        <v>286602</v>
      </c>
      <c r="H72" s="42">
        <v>90743</v>
      </c>
      <c r="I72" s="42">
        <v>101115</v>
      </c>
      <c r="J72" s="42">
        <v>276024</v>
      </c>
      <c r="K72" s="42">
        <v>519272</v>
      </c>
      <c r="L72" s="42">
        <v>148778</v>
      </c>
      <c r="M72" s="42">
        <v>1981689</v>
      </c>
      <c r="N72" s="42">
        <v>1653615</v>
      </c>
      <c r="O72" s="42">
        <v>23886</v>
      </c>
      <c r="P72" s="42">
        <v>71408</v>
      </c>
      <c r="Q72" s="42">
        <v>270159</v>
      </c>
      <c r="R72" s="42">
        <v>1935692</v>
      </c>
      <c r="S72" s="43">
        <v>48590</v>
      </c>
      <c r="T72" s="42">
        <v>410563</v>
      </c>
      <c r="U72" s="4"/>
    </row>
    <row r="73" spans="1:21" x14ac:dyDescent="0.3">
      <c r="A73" s="49">
        <v>46037</v>
      </c>
      <c r="B73" s="43">
        <v>30674</v>
      </c>
      <c r="C73" s="42">
        <v>224715</v>
      </c>
      <c r="D73" s="42">
        <v>207185</v>
      </c>
      <c r="E73" s="42">
        <v>217213</v>
      </c>
      <c r="F73" s="42">
        <v>872783</v>
      </c>
      <c r="G73" s="42">
        <v>289825</v>
      </c>
      <c r="H73" s="42">
        <v>90001</v>
      </c>
      <c r="I73" s="42">
        <v>100004</v>
      </c>
      <c r="J73" s="42">
        <v>274871</v>
      </c>
      <c r="K73" s="42">
        <v>521959</v>
      </c>
      <c r="L73" s="42">
        <v>148359</v>
      </c>
      <c r="M73" s="42">
        <v>1997392</v>
      </c>
      <c r="N73" s="42">
        <v>1642969</v>
      </c>
      <c r="O73" s="42">
        <v>23725</v>
      </c>
      <c r="P73" s="42">
        <v>69430</v>
      </c>
      <c r="Q73" s="42">
        <v>272588</v>
      </c>
      <c r="R73" s="42">
        <v>1906535</v>
      </c>
      <c r="S73" s="43">
        <v>48495</v>
      </c>
      <c r="T73" s="42">
        <v>406760</v>
      </c>
      <c r="U73" s="4"/>
    </row>
    <row r="74" spans="1:21" x14ac:dyDescent="0.3">
      <c r="A74" s="49">
        <v>46036</v>
      </c>
      <c r="B74" s="43">
        <v>29850</v>
      </c>
      <c r="C74" s="42">
        <v>227417</v>
      </c>
      <c r="D74" s="42">
        <v>207673</v>
      </c>
      <c r="E74" s="42">
        <v>218897</v>
      </c>
      <c r="F74" s="42">
        <v>878115</v>
      </c>
      <c r="G74" s="42">
        <v>291334</v>
      </c>
      <c r="H74" s="42">
        <v>86142</v>
      </c>
      <c r="I74" s="42">
        <v>97041</v>
      </c>
      <c r="J74" s="42">
        <v>273455</v>
      </c>
      <c r="K74" s="42">
        <v>523548</v>
      </c>
      <c r="L74" s="42">
        <v>151671</v>
      </c>
      <c r="M74" s="42">
        <v>2002150</v>
      </c>
      <c r="N74" s="42">
        <v>1649266</v>
      </c>
      <c r="O74" s="42">
        <v>24741</v>
      </c>
      <c r="P74" s="42">
        <v>68583</v>
      </c>
      <c r="Q74" s="42">
        <v>273072</v>
      </c>
      <c r="R74" s="42">
        <v>1901895</v>
      </c>
      <c r="S74" s="43">
        <v>49165</v>
      </c>
      <c r="T74" s="42">
        <v>406645</v>
      </c>
      <c r="U74" s="4"/>
    </row>
    <row r="75" spans="1:21" x14ac:dyDescent="0.3">
      <c r="A75" s="49">
        <v>46035</v>
      </c>
      <c r="B75" s="43">
        <v>29868</v>
      </c>
      <c r="C75" s="42">
        <v>229456</v>
      </c>
      <c r="D75" s="42">
        <v>207867</v>
      </c>
      <c r="E75" s="42">
        <v>219263</v>
      </c>
      <c r="F75" s="42">
        <v>883672</v>
      </c>
      <c r="G75" s="42">
        <v>294242</v>
      </c>
      <c r="H75" s="42">
        <v>85211</v>
      </c>
      <c r="I75" s="42">
        <v>96220</v>
      </c>
      <c r="J75" s="42">
        <v>269813</v>
      </c>
      <c r="K75" s="42">
        <v>527455</v>
      </c>
      <c r="L75" s="42">
        <v>151513</v>
      </c>
      <c r="M75" s="42">
        <v>2018789</v>
      </c>
      <c r="N75" s="42">
        <v>1635220</v>
      </c>
      <c r="O75" s="42">
        <v>23843</v>
      </c>
      <c r="P75" s="42">
        <v>68752</v>
      </c>
      <c r="Q75" s="42">
        <v>278878</v>
      </c>
      <c r="R75" s="42">
        <v>1909351</v>
      </c>
      <c r="S75" s="43">
        <v>47371</v>
      </c>
      <c r="T75" s="42">
        <v>397732</v>
      </c>
      <c r="U75" s="4"/>
    </row>
    <row r="76" spans="1:21" x14ac:dyDescent="0.3">
      <c r="A76" s="49">
        <v>46034</v>
      </c>
      <c r="B76" s="43">
        <v>29506</v>
      </c>
      <c r="C76" s="42">
        <v>240500</v>
      </c>
      <c r="D76" s="42">
        <v>209351</v>
      </c>
      <c r="E76" s="42">
        <v>216055</v>
      </c>
      <c r="F76" s="42">
        <v>885138</v>
      </c>
      <c r="G76" s="42">
        <v>292435</v>
      </c>
      <c r="H76" s="42">
        <v>86114</v>
      </c>
      <c r="I76" s="42">
        <v>95929</v>
      </c>
      <c r="J76" s="42">
        <v>270748</v>
      </c>
      <c r="K76" s="42">
        <v>525246</v>
      </c>
      <c r="L76" s="42">
        <v>150693</v>
      </c>
      <c r="M76" s="42">
        <v>1998525</v>
      </c>
      <c r="N76" s="42">
        <v>1642735</v>
      </c>
      <c r="O76" s="42">
        <v>23051</v>
      </c>
      <c r="P76" s="42">
        <v>65707</v>
      </c>
      <c r="Q76" s="42">
        <v>276479</v>
      </c>
      <c r="R76" s="42">
        <v>1924441</v>
      </c>
      <c r="S76" s="43">
        <v>47886</v>
      </c>
      <c r="T76" s="42">
        <v>395754</v>
      </c>
      <c r="U76" s="4"/>
    </row>
    <row r="77" spans="1:21" x14ac:dyDescent="0.3">
      <c r="A77" s="49">
        <v>46031</v>
      </c>
      <c r="B77" s="43">
        <v>28254</v>
      </c>
      <c r="C77" s="42">
        <v>239760</v>
      </c>
      <c r="D77" s="42">
        <v>210126</v>
      </c>
      <c r="E77" s="42">
        <v>218089</v>
      </c>
      <c r="F77" s="42">
        <v>888209</v>
      </c>
      <c r="G77" s="42">
        <v>296253</v>
      </c>
      <c r="H77" s="42">
        <v>87070</v>
      </c>
      <c r="I77" s="42">
        <v>94454</v>
      </c>
      <c r="J77" s="42">
        <v>267388</v>
      </c>
      <c r="K77" s="42">
        <v>499546</v>
      </c>
      <c r="L77" s="42">
        <v>150200</v>
      </c>
      <c r="M77" s="42">
        <v>1996097</v>
      </c>
      <c r="N77" s="42">
        <v>1680104</v>
      </c>
      <c r="O77" s="42">
        <v>23362</v>
      </c>
      <c r="P77" s="42">
        <v>64781</v>
      </c>
      <c r="Q77" s="42">
        <v>273069</v>
      </c>
      <c r="R77" s="42">
        <v>1950179</v>
      </c>
      <c r="S77" s="43">
        <v>47511</v>
      </c>
      <c r="T77" s="42">
        <v>393332</v>
      </c>
      <c r="U77" s="4"/>
    </row>
    <row r="78" spans="1:21" x14ac:dyDescent="0.3">
      <c r="A78" s="49">
        <v>46030</v>
      </c>
      <c r="B78" s="42">
        <v>29143</v>
      </c>
      <c r="C78" s="42">
        <v>233188</v>
      </c>
      <c r="D78" s="42">
        <v>208502</v>
      </c>
      <c r="E78" s="42">
        <v>218093</v>
      </c>
      <c r="F78" s="42">
        <v>886346</v>
      </c>
      <c r="G78" s="42">
        <v>294459</v>
      </c>
      <c r="H78" s="42">
        <v>85325</v>
      </c>
      <c r="I78" s="42">
        <v>92597</v>
      </c>
      <c r="J78" s="42">
        <v>269656</v>
      </c>
      <c r="K78" s="42">
        <v>493909</v>
      </c>
      <c r="L78" s="42">
        <v>150366</v>
      </c>
      <c r="M78" s="42">
        <v>1979059</v>
      </c>
      <c r="N78" s="42">
        <v>1626957</v>
      </c>
      <c r="O78" s="42">
        <v>22804</v>
      </c>
      <c r="P78" s="42">
        <v>63864</v>
      </c>
      <c r="Q78" s="42">
        <v>267002</v>
      </c>
      <c r="R78" s="42">
        <v>1933405</v>
      </c>
      <c r="S78" s="43">
        <v>48454</v>
      </c>
      <c r="T78" s="42">
        <v>391609</v>
      </c>
      <c r="U78" s="4"/>
    </row>
    <row r="79" spans="1:21" x14ac:dyDescent="0.3">
      <c r="A79" s="49">
        <v>46029</v>
      </c>
      <c r="B79" s="42">
        <v>30006</v>
      </c>
      <c r="C79" s="42">
        <v>233132</v>
      </c>
      <c r="D79" s="42">
        <v>207526</v>
      </c>
      <c r="E79" s="42">
        <v>216614</v>
      </c>
      <c r="F79" s="42">
        <v>888705</v>
      </c>
      <c r="G79" s="42">
        <v>290338</v>
      </c>
      <c r="H79" s="42">
        <v>85046</v>
      </c>
      <c r="I79" s="42">
        <v>91983</v>
      </c>
      <c r="J79" s="42">
        <v>267814</v>
      </c>
      <c r="K79" s="42">
        <v>489300</v>
      </c>
      <c r="L79" s="42">
        <v>154284</v>
      </c>
      <c r="M79" s="42">
        <v>1989673</v>
      </c>
      <c r="N79" s="42">
        <v>1605973</v>
      </c>
      <c r="O79" s="42">
        <v>22498</v>
      </c>
      <c r="P79" s="42">
        <v>64443</v>
      </c>
      <c r="Q79" s="42">
        <v>272119</v>
      </c>
      <c r="R79" s="42">
        <v>1943051</v>
      </c>
      <c r="S79" s="43">
        <v>47242</v>
      </c>
      <c r="T79" s="42">
        <v>390925</v>
      </c>
      <c r="U79" s="4"/>
    </row>
    <row r="80" spans="1:21" x14ac:dyDescent="0.3">
      <c r="A80" s="49">
        <v>46028</v>
      </c>
      <c r="B80" s="42">
        <v>30078</v>
      </c>
      <c r="C80" s="42">
        <v>230926</v>
      </c>
      <c r="D80" s="42">
        <v>206314</v>
      </c>
      <c r="E80" s="42">
        <v>218740</v>
      </c>
      <c r="F80" s="42">
        <v>881815</v>
      </c>
      <c r="G80" s="42">
        <v>287715</v>
      </c>
      <c r="H80" s="42">
        <v>84556</v>
      </c>
      <c r="I80" s="42">
        <v>90378</v>
      </c>
      <c r="J80" s="42">
        <v>267027</v>
      </c>
      <c r="K80" s="42">
        <v>488116</v>
      </c>
      <c r="L80" s="42">
        <v>153240</v>
      </c>
      <c r="M80" s="42">
        <v>1968879</v>
      </c>
      <c r="N80" s="42">
        <v>1596169</v>
      </c>
      <c r="O80" s="42">
        <v>22168</v>
      </c>
      <c r="P80" s="42">
        <v>66021</v>
      </c>
      <c r="Q80" s="42">
        <v>274253</v>
      </c>
      <c r="R80" s="42">
        <v>1945513</v>
      </c>
      <c r="S80" s="43">
        <v>45041</v>
      </c>
      <c r="T80" s="42">
        <v>394363</v>
      </c>
      <c r="U80" s="4"/>
    </row>
    <row r="81" spans="1:21" x14ac:dyDescent="0.3">
      <c r="A81" s="49">
        <v>46027</v>
      </c>
      <c r="B81" s="42">
        <v>30788</v>
      </c>
      <c r="C81" s="42">
        <v>227312</v>
      </c>
      <c r="D81" s="42">
        <v>203839</v>
      </c>
      <c r="E81" s="42">
        <v>213642</v>
      </c>
      <c r="F81" s="42">
        <v>871900</v>
      </c>
      <c r="G81" s="42">
        <v>290022</v>
      </c>
      <c r="H81" s="42">
        <v>82115</v>
      </c>
      <c r="I81" s="42">
        <v>88427</v>
      </c>
      <c r="J81" s="42">
        <v>267154</v>
      </c>
      <c r="K81" s="42">
        <v>480541</v>
      </c>
      <c r="L81" s="42">
        <v>152477</v>
      </c>
      <c r="M81" s="42">
        <v>1961329</v>
      </c>
      <c r="N81" s="42">
        <v>1577205</v>
      </c>
      <c r="O81" s="42">
        <v>22226</v>
      </c>
      <c r="P81" s="42">
        <v>65113</v>
      </c>
      <c r="Q81" s="42">
        <v>270831</v>
      </c>
      <c r="R81" s="42">
        <v>1922606</v>
      </c>
      <c r="S81" s="43">
        <v>46080</v>
      </c>
      <c r="T81" s="42">
        <v>390635</v>
      </c>
      <c r="U81" s="4"/>
    </row>
    <row r="82" spans="1:21" x14ac:dyDescent="0.3">
      <c r="A82" s="49">
        <v>46024</v>
      </c>
      <c r="B82" s="42">
        <v>28501</v>
      </c>
      <c r="C82" s="42">
        <v>226618</v>
      </c>
      <c r="D82" s="42">
        <v>201186</v>
      </c>
      <c r="E82" s="42">
        <v>209087</v>
      </c>
      <c r="F82" s="42">
        <v>871705</v>
      </c>
      <c r="G82" s="42">
        <v>291041</v>
      </c>
      <c r="H82" s="42">
        <v>81758</v>
      </c>
      <c r="I82" s="42">
        <v>90015</v>
      </c>
      <c r="J82" s="42">
        <v>263127</v>
      </c>
      <c r="K82" s="42">
        <v>482412</v>
      </c>
      <c r="L82" s="42">
        <v>150533</v>
      </c>
      <c r="M82" s="42">
        <v>1955183</v>
      </c>
      <c r="N82" s="42">
        <v>1571446</v>
      </c>
      <c r="O82" s="42">
        <v>20980</v>
      </c>
      <c r="P82" s="42">
        <v>67050</v>
      </c>
      <c r="Q82" s="42">
        <v>270747</v>
      </c>
      <c r="R82" s="42">
        <v>1929400</v>
      </c>
      <c r="S82" s="43">
        <v>45448</v>
      </c>
      <c r="T82" s="42">
        <v>391637</v>
      </c>
      <c r="U82" s="4"/>
    </row>
    <row r="83" spans="1:21" x14ac:dyDescent="0.3">
      <c r="A83" s="49">
        <v>46022</v>
      </c>
      <c r="B83" s="42">
        <v>28882</v>
      </c>
      <c r="C83" s="42">
        <v>223121</v>
      </c>
      <c r="D83" s="42">
        <v>197983</v>
      </c>
      <c r="E83" s="42">
        <v>209384</v>
      </c>
      <c r="F83" s="42">
        <v>866890</v>
      </c>
      <c r="G83" s="42">
        <v>287505</v>
      </c>
      <c r="H83" s="42">
        <v>80340</v>
      </c>
      <c r="I83" s="42">
        <v>89176</v>
      </c>
      <c r="J83" s="42">
        <v>258964</v>
      </c>
      <c r="K83" s="42">
        <v>476471</v>
      </c>
      <c r="L83" s="42">
        <v>153572</v>
      </c>
      <c r="M83" s="42">
        <v>1922527</v>
      </c>
      <c r="N83" s="42">
        <v>1562506</v>
      </c>
      <c r="O83" s="42">
        <v>20419</v>
      </c>
      <c r="P83" s="42">
        <v>63196</v>
      </c>
      <c r="Q83" s="42">
        <v>274684</v>
      </c>
      <c r="R83" s="42">
        <v>1931042</v>
      </c>
      <c r="S83" s="43">
        <v>37670</v>
      </c>
      <c r="T83" s="42">
        <v>390143</v>
      </c>
      <c r="U83" s="4"/>
    </row>
    <row r="84" spans="1:21" x14ac:dyDescent="0.3">
      <c r="A84" s="49">
        <v>46021</v>
      </c>
      <c r="B84" s="42">
        <v>28984</v>
      </c>
      <c r="C84" s="42">
        <v>223804</v>
      </c>
      <c r="D84" s="42">
        <v>196003</v>
      </c>
      <c r="E84" s="42">
        <v>211171</v>
      </c>
      <c r="F84" s="42">
        <v>869169</v>
      </c>
      <c r="G84" s="42">
        <v>286132</v>
      </c>
      <c r="H84" s="42">
        <v>79352</v>
      </c>
      <c r="I84" s="42">
        <v>89124</v>
      </c>
      <c r="J84" s="42">
        <v>260139</v>
      </c>
      <c r="K84" s="42">
        <v>481866</v>
      </c>
      <c r="L84" s="42">
        <v>157391</v>
      </c>
      <c r="M84" s="42">
        <v>1898257</v>
      </c>
      <c r="N84" s="42">
        <v>1533985</v>
      </c>
      <c r="O84" s="42">
        <v>20166</v>
      </c>
      <c r="P84" s="42">
        <v>61375</v>
      </c>
      <c r="Q84" s="42">
        <v>276539</v>
      </c>
      <c r="R84" s="42">
        <v>1936495</v>
      </c>
      <c r="S84" s="43">
        <v>41989</v>
      </c>
      <c r="T84" s="42">
        <v>388787</v>
      </c>
      <c r="U84" s="4"/>
    </row>
    <row r="85" spans="1:21" x14ac:dyDescent="0.3">
      <c r="A85" s="49">
        <v>46020</v>
      </c>
      <c r="B85" s="42">
        <v>28955</v>
      </c>
      <c r="C85" s="42">
        <v>222335</v>
      </c>
      <c r="D85" s="42">
        <v>197096</v>
      </c>
      <c r="E85" s="42">
        <v>207155</v>
      </c>
      <c r="F85" s="42">
        <v>869811</v>
      </c>
      <c r="G85" s="42">
        <v>285806</v>
      </c>
      <c r="H85" s="42">
        <v>80458</v>
      </c>
      <c r="I85" s="42">
        <v>88894</v>
      </c>
      <c r="J85" s="42">
        <v>260331</v>
      </c>
      <c r="K85" s="42">
        <v>479786</v>
      </c>
      <c r="L85" s="42">
        <v>155800</v>
      </c>
      <c r="M85" s="42">
        <v>1880851</v>
      </c>
      <c r="N85" s="42">
        <v>1540651</v>
      </c>
      <c r="O85" s="42">
        <v>20000</v>
      </c>
      <c r="P85" s="42">
        <v>62072</v>
      </c>
      <c r="Q85" s="42">
        <v>274823</v>
      </c>
      <c r="R85" s="42">
        <v>1930671</v>
      </c>
      <c r="S85" s="43">
        <v>41092</v>
      </c>
      <c r="T85" s="42">
        <v>392796</v>
      </c>
      <c r="U85" s="4"/>
    </row>
    <row r="86" spans="1:21" x14ac:dyDescent="0.3">
      <c r="A86" s="49">
        <v>46017</v>
      </c>
      <c r="B86" s="42">
        <v>28822</v>
      </c>
      <c r="C86" s="42">
        <v>219248</v>
      </c>
      <c r="D86" s="42">
        <v>201363</v>
      </c>
      <c r="E86" s="42">
        <v>205435</v>
      </c>
      <c r="F86" s="42">
        <v>869579</v>
      </c>
      <c r="G86" s="42">
        <v>287468</v>
      </c>
      <c r="H86" s="42">
        <v>80463</v>
      </c>
      <c r="I86" s="42">
        <v>89110</v>
      </c>
      <c r="J86" s="42">
        <v>267916</v>
      </c>
      <c r="K86" s="42">
        <v>492660</v>
      </c>
      <c r="L86" s="42">
        <v>156985</v>
      </c>
      <c r="M86" s="42">
        <v>1865500</v>
      </c>
      <c r="N86" s="42">
        <v>1538210</v>
      </c>
      <c r="O86" s="42">
        <v>21824</v>
      </c>
      <c r="P86" s="42">
        <v>59963</v>
      </c>
      <c r="Q86" s="42">
        <v>270643</v>
      </c>
      <c r="R86" s="42">
        <v>1925353</v>
      </c>
      <c r="S86" s="43">
        <v>35588</v>
      </c>
      <c r="T86" s="42">
        <v>391459</v>
      </c>
      <c r="U86" s="4"/>
    </row>
    <row r="87" spans="1:21" x14ac:dyDescent="0.3">
      <c r="A87" s="49">
        <v>46015</v>
      </c>
      <c r="B87" s="42">
        <v>28557</v>
      </c>
      <c r="C87" s="42">
        <v>217792</v>
      </c>
      <c r="D87" s="42">
        <v>199879</v>
      </c>
      <c r="E87" s="42">
        <v>200436</v>
      </c>
      <c r="F87" s="42">
        <v>869810</v>
      </c>
      <c r="G87" s="42">
        <v>285259</v>
      </c>
      <c r="H87" s="42">
        <v>81122</v>
      </c>
      <c r="I87" s="42">
        <v>89079</v>
      </c>
      <c r="J87" s="42">
        <v>267112</v>
      </c>
      <c r="K87" s="42">
        <v>488300</v>
      </c>
      <c r="L87" s="42">
        <v>154905</v>
      </c>
      <c r="M87" s="42">
        <v>1869530</v>
      </c>
      <c r="N87" s="42">
        <v>1555550</v>
      </c>
      <c r="O87" s="42">
        <v>21718</v>
      </c>
      <c r="P87" s="42">
        <v>61480</v>
      </c>
      <c r="Q87" s="42">
        <v>264683</v>
      </c>
      <c r="R87" s="42">
        <v>1921192</v>
      </c>
      <c r="S87" s="43">
        <v>35588</v>
      </c>
      <c r="T87" s="42">
        <v>389308</v>
      </c>
      <c r="U87" s="4"/>
    </row>
    <row r="88" spans="1:21" x14ac:dyDescent="0.3">
      <c r="A88" s="49">
        <v>46014</v>
      </c>
      <c r="B88" s="42">
        <v>28181</v>
      </c>
      <c r="C88" s="42">
        <v>217163</v>
      </c>
      <c r="D88" s="42">
        <v>198132</v>
      </c>
      <c r="E88" s="42">
        <v>197138</v>
      </c>
      <c r="F88" s="42">
        <v>866951</v>
      </c>
      <c r="G88" s="42">
        <v>285084</v>
      </c>
      <c r="H88" s="42">
        <v>82159</v>
      </c>
      <c r="I88" s="42">
        <v>88305</v>
      </c>
      <c r="J88" s="42">
        <v>267343</v>
      </c>
      <c r="K88" s="42">
        <v>492103</v>
      </c>
      <c r="L88" s="42">
        <v>155710</v>
      </c>
      <c r="M88" s="42">
        <v>1863543</v>
      </c>
      <c r="N88" s="42">
        <v>1557649</v>
      </c>
      <c r="O88" s="42">
        <v>21988</v>
      </c>
      <c r="P88" s="42">
        <v>61462</v>
      </c>
      <c r="Q88" s="42">
        <v>265616</v>
      </c>
      <c r="R88" s="42">
        <v>1911017</v>
      </c>
      <c r="S88" s="43">
        <v>39855</v>
      </c>
      <c r="T88" s="42">
        <v>388537</v>
      </c>
      <c r="U88" s="4"/>
    </row>
    <row r="89" spans="1:21" x14ac:dyDescent="0.3">
      <c r="A89" s="49">
        <v>46013</v>
      </c>
      <c r="B89" s="42">
        <v>27769</v>
      </c>
      <c r="C89" s="42">
        <v>216042</v>
      </c>
      <c r="D89" s="42">
        <v>198360</v>
      </c>
      <c r="E89" s="42">
        <v>196326</v>
      </c>
      <c r="F89" s="42">
        <v>862428</v>
      </c>
      <c r="G89" s="42">
        <v>288389</v>
      </c>
      <c r="H89" s="42">
        <v>83828</v>
      </c>
      <c r="I89" s="42">
        <v>89405</v>
      </c>
      <c r="J89" s="42">
        <v>269262</v>
      </c>
      <c r="K89" s="42">
        <v>499192</v>
      </c>
      <c r="L89" s="42">
        <v>156794</v>
      </c>
      <c r="M89" s="42">
        <v>1857230</v>
      </c>
      <c r="N89" s="42">
        <v>1558483</v>
      </c>
      <c r="O89" s="42">
        <v>22566</v>
      </c>
      <c r="P89" s="42">
        <v>62105</v>
      </c>
      <c r="Q89" s="42">
        <v>267020</v>
      </c>
      <c r="R89" s="42">
        <v>1899427</v>
      </c>
      <c r="S89" s="43">
        <v>40074</v>
      </c>
      <c r="T89" s="42">
        <v>386187</v>
      </c>
      <c r="U89" s="4"/>
    </row>
    <row r="90" spans="1:21" x14ac:dyDescent="0.3">
      <c r="A90" s="49">
        <v>46010</v>
      </c>
      <c r="B90" s="42">
        <v>27068</v>
      </c>
      <c r="C90" s="42">
        <v>216095</v>
      </c>
      <c r="D90" s="42">
        <v>195825</v>
      </c>
      <c r="E90" s="42">
        <v>191904</v>
      </c>
      <c r="F90" s="42">
        <v>853100</v>
      </c>
      <c r="G90" s="42">
        <v>297340</v>
      </c>
      <c r="H90" s="42">
        <v>82593</v>
      </c>
      <c r="I90" s="42">
        <v>88956</v>
      </c>
      <c r="J90" s="42">
        <v>269236</v>
      </c>
      <c r="K90" s="42">
        <v>487043</v>
      </c>
      <c r="L90" s="42">
        <v>156839</v>
      </c>
      <c r="M90" s="42">
        <v>1865471</v>
      </c>
      <c r="N90" s="42">
        <v>1551471</v>
      </c>
      <c r="O90" s="42">
        <v>23919</v>
      </c>
      <c r="P90" s="42">
        <v>89090</v>
      </c>
      <c r="Q90" s="42">
        <v>370170</v>
      </c>
      <c r="R90" s="42">
        <v>2384789</v>
      </c>
      <c r="S90" s="43">
        <v>41238</v>
      </c>
      <c r="T90" s="42">
        <v>483551</v>
      </c>
      <c r="U90" s="4"/>
    </row>
    <row r="91" spans="1:21" x14ac:dyDescent="0.3">
      <c r="A91" s="49">
        <v>46009</v>
      </c>
      <c r="B91" s="42">
        <v>27030</v>
      </c>
      <c r="C91" s="42">
        <v>217665</v>
      </c>
      <c r="D91" s="42">
        <v>198742</v>
      </c>
      <c r="E91" s="42">
        <v>190343</v>
      </c>
      <c r="F91" s="42">
        <v>853613</v>
      </c>
      <c r="G91" s="42">
        <v>300203</v>
      </c>
      <c r="H91" s="42">
        <v>80942</v>
      </c>
      <c r="I91" s="42">
        <v>89294</v>
      </c>
      <c r="J91" s="42">
        <v>258140</v>
      </c>
      <c r="K91" s="42">
        <v>484610</v>
      </c>
      <c r="L91" s="42">
        <v>155909</v>
      </c>
      <c r="M91" s="42">
        <v>1870631</v>
      </c>
      <c r="N91" s="42">
        <v>1561054</v>
      </c>
      <c r="O91" s="42">
        <v>24171</v>
      </c>
      <c r="P91" s="42">
        <v>89080</v>
      </c>
      <c r="Q91" s="42">
        <v>372388</v>
      </c>
      <c r="R91" s="42">
        <v>2389332</v>
      </c>
      <c r="S91" s="43">
        <v>62501</v>
      </c>
      <c r="T91" s="42">
        <v>491721</v>
      </c>
      <c r="U91" s="4"/>
    </row>
    <row r="92" spans="1:21" x14ac:dyDescent="0.3">
      <c r="A92" s="49">
        <v>46008</v>
      </c>
      <c r="B92" s="42">
        <v>27417</v>
      </c>
      <c r="C92" s="42">
        <v>215297</v>
      </c>
      <c r="D92" s="42">
        <v>203603</v>
      </c>
      <c r="E92" s="42">
        <v>187991</v>
      </c>
      <c r="F92" s="42">
        <v>842246</v>
      </c>
      <c r="G92" s="42">
        <v>294722</v>
      </c>
      <c r="H92" s="42">
        <v>81085</v>
      </c>
      <c r="I92" s="42">
        <v>87225</v>
      </c>
      <c r="J92" s="42">
        <v>256782</v>
      </c>
      <c r="K92" s="42">
        <v>478188</v>
      </c>
      <c r="L92" s="42">
        <v>154478</v>
      </c>
      <c r="M92" s="42">
        <v>1888246</v>
      </c>
      <c r="N92" s="42">
        <v>1555100</v>
      </c>
      <c r="O92" s="42">
        <v>24336</v>
      </c>
      <c r="P92" s="42">
        <v>89655</v>
      </c>
      <c r="Q92" s="42">
        <v>386714</v>
      </c>
      <c r="R92" s="42">
        <v>2478823</v>
      </c>
      <c r="S92" s="43">
        <v>62501</v>
      </c>
      <c r="T92" s="42">
        <v>498676</v>
      </c>
      <c r="U92" s="4"/>
    </row>
    <row r="93" spans="1:21" x14ac:dyDescent="0.3">
      <c r="A93" s="49">
        <v>46007</v>
      </c>
      <c r="B93" s="42">
        <v>26994</v>
      </c>
      <c r="C93" s="42">
        <v>293796</v>
      </c>
      <c r="D93" s="42">
        <v>282031</v>
      </c>
      <c r="E93" s="42">
        <v>244427</v>
      </c>
      <c r="F93" s="42">
        <v>986986</v>
      </c>
      <c r="G93" s="42">
        <v>379679</v>
      </c>
      <c r="H93" s="42">
        <v>103974</v>
      </c>
      <c r="I93" s="42">
        <v>103436</v>
      </c>
      <c r="J93" s="42">
        <v>256887</v>
      </c>
      <c r="K93" s="42">
        <v>471093</v>
      </c>
      <c r="L93" s="42">
        <v>152921</v>
      </c>
      <c r="M93" s="42">
        <v>1916438</v>
      </c>
      <c r="N93" s="42">
        <v>1574623</v>
      </c>
      <c r="O93" s="42">
        <v>24502</v>
      </c>
      <c r="P93" s="42">
        <v>90249</v>
      </c>
      <c r="Q93" s="42">
        <v>378693</v>
      </c>
      <c r="R93" s="42">
        <v>2466313</v>
      </c>
      <c r="S93" s="43">
        <v>66008</v>
      </c>
      <c r="T93" s="42">
        <v>503526</v>
      </c>
      <c r="U93" s="4"/>
    </row>
    <row r="94" spans="1:21" x14ac:dyDescent="0.3">
      <c r="A94" s="49">
        <v>46006</v>
      </c>
      <c r="B94" s="42">
        <v>27160</v>
      </c>
      <c r="C94" s="42">
        <v>292034</v>
      </c>
      <c r="D94" s="42">
        <v>281480</v>
      </c>
      <c r="E94" s="42">
        <v>243886</v>
      </c>
      <c r="F94" s="42">
        <v>978378</v>
      </c>
      <c r="G94" s="42">
        <v>380427</v>
      </c>
      <c r="H94" s="42">
        <v>101803</v>
      </c>
      <c r="I94" s="42">
        <v>101923</v>
      </c>
      <c r="J94" s="42">
        <v>259075</v>
      </c>
      <c r="K94" s="42">
        <v>466073</v>
      </c>
      <c r="L94" s="42">
        <v>154485</v>
      </c>
      <c r="M94" s="42">
        <v>1934967</v>
      </c>
      <c r="N94" s="42">
        <v>1559155</v>
      </c>
      <c r="O94" s="42">
        <v>24602</v>
      </c>
      <c r="P94" s="42">
        <v>90655</v>
      </c>
      <c r="Q94" s="42">
        <v>348405</v>
      </c>
      <c r="R94" s="42">
        <v>2401536</v>
      </c>
      <c r="S94" s="43">
        <v>59729</v>
      </c>
      <c r="T94" s="42">
        <v>470882</v>
      </c>
      <c r="U94" s="4"/>
    </row>
    <row r="95" spans="1:21" x14ac:dyDescent="0.3">
      <c r="A95" s="49">
        <v>46003</v>
      </c>
      <c r="B95" s="42">
        <v>43886</v>
      </c>
      <c r="C95" s="42">
        <v>296029</v>
      </c>
      <c r="D95" s="42">
        <v>286302</v>
      </c>
      <c r="E95" s="42">
        <v>249121</v>
      </c>
      <c r="F95" s="42">
        <v>977679</v>
      </c>
      <c r="G95" s="42">
        <v>377333</v>
      </c>
      <c r="H95" s="42">
        <v>101616</v>
      </c>
      <c r="I95" s="42">
        <v>101344</v>
      </c>
      <c r="J95" s="42">
        <v>257347</v>
      </c>
      <c r="K95" s="42">
        <v>460191</v>
      </c>
      <c r="L95" s="42">
        <v>154255</v>
      </c>
      <c r="M95" s="42">
        <v>1914677</v>
      </c>
      <c r="N95" s="42">
        <v>1560927</v>
      </c>
      <c r="O95" s="42">
        <v>24849</v>
      </c>
      <c r="P95" s="42">
        <v>88474</v>
      </c>
      <c r="Q95" s="42">
        <v>332069</v>
      </c>
      <c r="R95" s="42">
        <v>2275363</v>
      </c>
      <c r="S95" s="43">
        <v>46807</v>
      </c>
      <c r="T95" s="42">
        <v>444516</v>
      </c>
      <c r="U95" s="4"/>
    </row>
    <row r="96" spans="1:21" x14ac:dyDescent="0.3">
      <c r="A96" s="49">
        <v>46002</v>
      </c>
      <c r="B96" s="42">
        <v>43154</v>
      </c>
      <c r="C96" s="42">
        <v>299601</v>
      </c>
      <c r="D96" s="42">
        <v>298365</v>
      </c>
      <c r="E96" s="42">
        <v>250935</v>
      </c>
      <c r="F96" s="42">
        <v>981396</v>
      </c>
      <c r="G96" s="42">
        <v>396517</v>
      </c>
      <c r="H96" s="42">
        <v>105545</v>
      </c>
      <c r="I96" s="42">
        <v>103554</v>
      </c>
      <c r="J96" s="42">
        <v>258390</v>
      </c>
      <c r="K96" s="42">
        <v>454262</v>
      </c>
      <c r="L96" s="42">
        <v>155098</v>
      </c>
      <c r="M96" s="42">
        <v>1901295</v>
      </c>
      <c r="N96" s="42">
        <v>1549341</v>
      </c>
      <c r="O96" s="42">
        <v>24692</v>
      </c>
      <c r="P96" s="42">
        <v>88773</v>
      </c>
      <c r="Q96" s="42">
        <v>324252</v>
      </c>
      <c r="R96" s="42">
        <v>2208131</v>
      </c>
      <c r="S96" s="43">
        <v>46153</v>
      </c>
      <c r="T96" s="42">
        <v>423987</v>
      </c>
      <c r="U96" s="4"/>
    </row>
    <row r="97" spans="1:21" x14ac:dyDescent="0.3">
      <c r="A97" s="49">
        <v>46001</v>
      </c>
      <c r="B97" s="42">
        <v>42057</v>
      </c>
      <c r="C97" s="42">
        <v>287419</v>
      </c>
      <c r="D97" s="42">
        <v>300994</v>
      </c>
      <c r="E97" s="42">
        <v>247048</v>
      </c>
      <c r="F97" s="42">
        <v>964957</v>
      </c>
      <c r="G97" s="42">
        <v>428205</v>
      </c>
      <c r="H97" s="42">
        <v>115951</v>
      </c>
      <c r="I97" s="42">
        <v>101451</v>
      </c>
      <c r="J97" s="42">
        <v>252132</v>
      </c>
      <c r="K97" s="42">
        <v>440368</v>
      </c>
      <c r="L97" s="42">
        <v>153563</v>
      </c>
      <c r="M97" s="42">
        <v>1878201</v>
      </c>
      <c r="N97" s="42">
        <v>1549289</v>
      </c>
      <c r="O97" s="42">
        <v>24763</v>
      </c>
      <c r="P97" s="42">
        <v>83570</v>
      </c>
      <c r="Q97" s="42">
        <v>330174</v>
      </c>
      <c r="R97" s="42">
        <v>2177344</v>
      </c>
      <c r="S97" s="43">
        <v>45100</v>
      </c>
      <c r="T97" s="42">
        <v>419873</v>
      </c>
      <c r="U97" s="4"/>
    </row>
    <row r="98" spans="1:21" x14ac:dyDescent="0.3">
      <c r="A98" s="49">
        <v>46000</v>
      </c>
      <c r="B98" s="42">
        <v>42972</v>
      </c>
      <c r="C98" s="42">
        <v>296662</v>
      </c>
      <c r="D98" s="42">
        <v>332405</v>
      </c>
      <c r="E98" s="42">
        <v>251868</v>
      </c>
      <c r="F98" s="42">
        <v>942794</v>
      </c>
      <c r="G98" s="42">
        <v>465416</v>
      </c>
      <c r="H98" s="42">
        <v>114432</v>
      </c>
      <c r="I98" s="42">
        <v>92395</v>
      </c>
      <c r="J98" s="42">
        <v>250821</v>
      </c>
      <c r="K98" s="42">
        <v>432569</v>
      </c>
      <c r="L98" s="42">
        <v>154762</v>
      </c>
      <c r="M98" s="42">
        <v>1867966</v>
      </c>
      <c r="N98" s="42">
        <v>1550763</v>
      </c>
      <c r="O98" s="42">
        <v>24793</v>
      </c>
      <c r="P98" s="42">
        <v>83015</v>
      </c>
      <c r="Q98" s="42">
        <v>325383</v>
      </c>
      <c r="R98" s="42">
        <v>2141031</v>
      </c>
      <c r="S98" s="43">
        <v>44531</v>
      </c>
      <c r="T98" s="42">
        <v>413907</v>
      </c>
      <c r="U98" s="4"/>
    </row>
    <row r="99" spans="1:21" x14ac:dyDescent="0.3">
      <c r="A99" s="49">
        <v>45999</v>
      </c>
      <c r="B99" s="42">
        <v>42032</v>
      </c>
      <c r="C99" s="42">
        <v>266281</v>
      </c>
      <c r="D99" s="42">
        <v>302625</v>
      </c>
      <c r="E99" s="42">
        <v>258682</v>
      </c>
      <c r="F99" s="42">
        <v>909719</v>
      </c>
      <c r="G99" s="42">
        <v>458488</v>
      </c>
      <c r="H99" s="42">
        <v>108458</v>
      </c>
      <c r="I99" s="42">
        <v>90599</v>
      </c>
      <c r="J99" s="42">
        <v>251141</v>
      </c>
      <c r="K99" s="42">
        <v>427425</v>
      </c>
      <c r="L99" s="42">
        <v>150508</v>
      </c>
      <c r="M99" s="42">
        <v>1890812</v>
      </c>
      <c r="N99" s="42">
        <v>1569468</v>
      </c>
      <c r="O99" s="42">
        <v>24304</v>
      </c>
      <c r="P99" s="42">
        <v>82767</v>
      </c>
      <c r="Q99" s="42">
        <v>320495</v>
      </c>
      <c r="R99" s="42">
        <v>2120883</v>
      </c>
      <c r="S99" s="43">
        <v>42795</v>
      </c>
      <c r="T99" s="42">
        <v>392008</v>
      </c>
      <c r="U99" s="4"/>
    </row>
    <row r="100" spans="1:21" x14ac:dyDescent="0.3">
      <c r="A100" s="49">
        <v>45996</v>
      </c>
      <c r="B100" s="42">
        <v>42574</v>
      </c>
      <c r="C100" s="42">
        <v>262530</v>
      </c>
      <c r="D100" s="42">
        <v>291247</v>
      </c>
      <c r="E100" s="42">
        <v>272511</v>
      </c>
      <c r="F100" s="42">
        <v>881225</v>
      </c>
      <c r="G100" s="42">
        <v>430115</v>
      </c>
      <c r="H100" s="42">
        <v>107473</v>
      </c>
      <c r="I100" s="42">
        <v>85065</v>
      </c>
      <c r="J100" s="42">
        <v>252824</v>
      </c>
      <c r="K100" s="42">
        <v>426860</v>
      </c>
      <c r="L100" s="42">
        <v>150956</v>
      </c>
      <c r="M100" s="42">
        <v>1918535</v>
      </c>
      <c r="N100" s="42">
        <v>1568739</v>
      </c>
      <c r="O100" s="42">
        <v>24210</v>
      </c>
      <c r="P100" s="42">
        <v>83738</v>
      </c>
      <c r="Q100" s="42">
        <v>315813</v>
      </c>
      <c r="R100" s="42">
        <v>2101559</v>
      </c>
      <c r="S100" s="43">
        <v>44996</v>
      </c>
      <c r="T100" s="42">
        <v>386281</v>
      </c>
      <c r="U100" s="4"/>
    </row>
    <row r="101" spans="1:21" x14ac:dyDescent="0.3">
      <c r="A101" s="49">
        <v>45995</v>
      </c>
      <c r="B101" s="42">
        <v>43071</v>
      </c>
      <c r="C101" s="42">
        <v>251607</v>
      </c>
      <c r="D101" s="42">
        <v>293057</v>
      </c>
      <c r="E101" s="42">
        <v>275387</v>
      </c>
      <c r="F101" s="42">
        <v>880656</v>
      </c>
      <c r="G101" s="42">
        <v>403878</v>
      </c>
      <c r="H101" s="42">
        <v>101994</v>
      </c>
      <c r="I101" s="42">
        <v>82803</v>
      </c>
      <c r="J101" s="42">
        <v>246981</v>
      </c>
      <c r="K101" s="42">
        <v>426136</v>
      </c>
      <c r="L101" s="42">
        <v>151704</v>
      </c>
      <c r="M101" s="42">
        <v>1929190</v>
      </c>
      <c r="N101" s="42">
        <v>1552237</v>
      </c>
      <c r="O101" s="42">
        <v>24287</v>
      </c>
      <c r="P101" s="42">
        <v>84265</v>
      </c>
      <c r="Q101" s="42">
        <v>314352</v>
      </c>
      <c r="R101" s="42">
        <v>2091963</v>
      </c>
      <c r="S101" s="43">
        <v>44585</v>
      </c>
      <c r="T101" s="42">
        <v>387860</v>
      </c>
      <c r="U101" s="4"/>
    </row>
    <row r="102" spans="1:21" x14ac:dyDescent="0.3">
      <c r="A102" s="49">
        <v>45994</v>
      </c>
      <c r="B102" s="42">
        <v>43488</v>
      </c>
      <c r="C102" s="42">
        <v>224029</v>
      </c>
      <c r="D102" s="42">
        <v>283013</v>
      </c>
      <c r="E102" s="42">
        <v>275077</v>
      </c>
      <c r="F102" s="42">
        <v>860160</v>
      </c>
      <c r="G102" s="42">
        <v>398015</v>
      </c>
      <c r="H102" s="42">
        <v>104949</v>
      </c>
      <c r="I102" s="42">
        <v>77735</v>
      </c>
      <c r="J102" s="42">
        <v>248306</v>
      </c>
      <c r="K102" s="42">
        <v>423395</v>
      </c>
      <c r="L102" s="42">
        <v>150200</v>
      </c>
      <c r="M102" s="42">
        <v>1921451</v>
      </c>
      <c r="N102" s="42">
        <v>1548573</v>
      </c>
      <c r="O102" s="42">
        <v>24384</v>
      </c>
      <c r="P102" s="42">
        <v>84512</v>
      </c>
      <c r="Q102" s="42">
        <v>312162</v>
      </c>
      <c r="R102" s="42">
        <v>2088900</v>
      </c>
      <c r="S102" s="43">
        <v>44122</v>
      </c>
      <c r="T102" s="42">
        <v>384960</v>
      </c>
      <c r="U102" s="4"/>
    </row>
    <row r="103" spans="1:21" x14ac:dyDescent="0.3">
      <c r="A103" s="49">
        <v>45993</v>
      </c>
      <c r="B103" s="42">
        <v>43781</v>
      </c>
      <c r="C103" s="42">
        <v>202574</v>
      </c>
      <c r="D103" s="42">
        <v>299768</v>
      </c>
      <c r="E103" s="42">
        <v>274997</v>
      </c>
      <c r="F103" s="42">
        <v>851184</v>
      </c>
      <c r="G103" s="42">
        <v>394859</v>
      </c>
      <c r="H103" s="42">
        <v>104251</v>
      </c>
      <c r="I103" s="42">
        <v>77275</v>
      </c>
      <c r="J103" s="42">
        <v>242931</v>
      </c>
      <c r="K103" s="42">
        <v>418490</v>
      </c>
      <c r="L103" s="42">
        <v>150832</v>
      </c>
      <c r="M103" s="42">
        <v>1914667</v>
      </c>
      <c r="N103" s="42">
        <v>1524306</v>
      </c>
      <c r="O103" s="42">
        <v>24329</v>
      </c>
      <c r="P103" s="42">
        <v>82132</v>
      </c>
      <c r="Q103" s="42">
        <v>308211</v>
      </c>
      <c r="R103" s="42">
        <v>2074887</v>
      </c>
      <c r="S103" s="43">
        <v>47122</v>
      </c>
      <c r="T103" s="42">
        <v>379767</v>
      </c>
      <c r="U103" s="4"/>
    </row>
    <row r="104" spans="1:21" x14ac:dyDescent="0.3">
      <c r="A104" s="49">
        <v>45992</v>
      </c>
      <c r="B104" s="42">
        <v>44120</v>
      </c>
      <c r="C104" s="42">
        <v>195629</v>
      </c>
      <c r="D104" s="42">
        <v>297606</v>
      </c>
      <c r="E104" s="42">
        <v>276819</v>
      </c>
      <c r="F104" s="42">
        <v>847463</v>
      </c>
      <c r="G104" s="42">
        <v>384930</v>
      </c>
      <c r="H104" s="42">
        <v>104470</v>
      </c>
      <c r="I104" s="42">
        <v>76056</v>
      </c>
      <c r="J104" s="42">
        <v>243967</v>
      </c>
      <c r="K104" s="42">
        <v>418697</v>
      </c>
      <c r="L104" s="42">
        <v>150592</v>
      </c>
      <c r="M104" s="42">
        <v>1915731</v>
      </c>
      <c r="N104" s="42">
        <v>1511104</v>
      </c>
      <c r="O104" s="42">
        <v>24218</v>
      </c>
      <c r="P104" s="42">
        <v>82672</v>
      </c>
      <c r="Q104" s="42">
        <v>304326</v>
      </c>
      <c r="R104" s="42">
        <v>2070762</v>
      </c>
      <c r="S104" s="43">
        <v>47122</v>
      </c>
      <c r="T104" s="42">
        <v>378254</v>
      </c>
      <c r="U104" s="4"/>
    </row>
    <row r="105" spans="1:21" x14ac:dyDescent="0.3">
      <c r="A105" s="49">
        <v>45989</v>
      </c>
      <c r="B105" s="42">
        <v>46327</v>
      </c>
      <c r="C105" s="42">
        <v>194445</v>
      </c>
      <c r="D105" s="42">
        <v>301817</v>
      </c>
      <c r="E105" s="42">
        <v>274570</v>
      </c>
      <c r="F105" s="42">
        <v>834071</v>
      </c>
      <c r="G105" s="42">
        <v>358609</v>
      </c>
      <c r="H105" s="42">
        <v>105488</v>
      </c>
      <c r="I105" s="42">
        <v>76389</v>
      </c>
      <c r="J105" s="42">
        <v>238343</v>
      </c>
      <c r="K105" s="42">
        <v>419484</v>
      </c>
      <c r="L105" s="42">
        <v>151360</v>
      </c>
      <c r="M105" s="42">
        <v>1910832</v>
      </c>
      <c r="N105" s="42">
        <v>1506316</v>
      </c>
      <c r="O105" s="42">
        <v>26714</v>
      </c>
      <c r="P105" s="42">
        <v>83803</v>
      </c>
      <c r="Q105" s="42">
        <v>303169</v>
      </c>
      <c r="R105" s="42">
        <v>2067030</v>
      </c>
      <c r="S105" s="43">
        <v>43980</v>
      </c>
      <c r="T105" s="42">
        <v>372918</v>
      </c>
      <c r="U105" s="4"/>
    </row>
    <row r="106" spans="1:21" x14ac:dyDescent="0.3">
      <c r="A106" s="49">
        <v>45988</v>
      </c>
      <c r="B106" s="5">
        <v>46323</v>
      </c>
      <c r="C106" s="42">
        <v>191864</v>
      </c>
      <c r="D106" s="42">
        <v>310580</v>
      </c>
      <c r="E106" s="42">
        <v>275653</v>
      </c>
      <c r="F106" s="42">
        <v>833956</v>
      </c>
      <c r="G106" s="42">
        <v>355120</v>
      </c>
      <c r="H106" s="42">
        <v>104884</v>
      </c>
      <c r="I106" s="42">
        <v>77052</v>
      </c>
      <c r="J106" s="42">
        <v>238342</v>
      </c>
      <c r="K106" s="42">
        <v>431603</v>
      </c>
      <c r="L106" s="42">
        <v>151796</v>
      </c>
      <c r="M106" s="42">
        <v>1910501</v>
      </c>
      <c r="N106" s="42">
        <v>1500113</v>
      </c>
      <c r="O106" s="42">
        <v>26526</v>
      </c>
      <c r="P106" s="42">
        <v>83620</v>
      </c>
      <c r="Q106" s="42">
        <v>300491</v>
      </c>
      <c r="R106" s="42">
        <v>2073533</v>
      </c>
      <c r="S106" s="43">
        <v>43102</v>
      </c>
      <c r="T106" s="42">
        <v>371854</v>
      </c>
      <c r="U106" s="4"/>
    </row>
    <row r="107" spans="1:21" x14ac:dyDescent="0.3">
      <c r="A107" s="49">
        <v>45987</v>
      </c>
      <c r="B107" s="5">
        <v>47239</v>
      </c>
      <c r="C107" s="42">
        <v>191864</v>
      </c>
      <c r="D107" s="42">
        <v>310580</v>
      </c>
      <c r="E107" s="42">
        <v>275653</v>
      </c>
      <c r="F107" s="42">
        <v>833956</v>
      </c>
      <c r="G107" s="42">
        <v>355120</v>
      </c>
      <c r="H107" s="42">
        <v>104884</v>
      </c>
      <c r="I107" s="42">
        <v>77052</v>
      </c>
      <c r="J107" s="42">
        <v>238342</v>
      </c>
      <c r="K107" s="42">
        <v>431603</v>
      </c>
      <c r="L107" s="42">
        <v>151796</v>
      </c>
      <c r="M107" s="42">
        <v>1910501</v>
      </c>
      <c r="N107" s="42">
        <v>1500113</v>
      </c>
      <c r="O107" s="42">
        <v>26526</v>
      </c>
      <c r="P107" s="42">
        <v>83620</v>
      </c>
      <c r="Q107" s="42">
        <v>300491</v>
      </c>
      <c r="R107" s="42">
        <v>2073533</v>
      </c>
      <c r="S107" s="43">
        <v>47589</v>
      </c>
      <c r="T107" s="42">
        <v>371854</v>
      </c>
      <c r="U107" s="4"/>
    </row>
    <row r="108" spans="1:21" x14ac:dyDescent="0.3">
      <c r="A108" s="49">
        <v>45986</v>
      </c>
      <c r="B108" s="5">
        <v>47161</v>
      </c>
      <c r="C108" s="42">
        <v>192678</v>
      </c>
      <c r="D108" s="42">
        <v>315550</v>
      </c>
      <c r="E108" s="42">
        <v>280112</v>
      </c>
      <c r="F108" s="42">
        <v>830589</v>
      </c>
      <c r="G108" s="42">
        <v>344420</v>
      </c>
      <c r="H108" s="42">
        <v>107180</v>
      </c>
      <c r="I108" s="42">
        <v>77509</v>
      </c>
      <c r="J108" s="42">
        <v>233461</v>
      </c>
      <c r="K108" s="42">
        <v>432946</v>
      </c>
      <c r="L108" s="42">
        <v>144541</v>
      </c>
      <c r="M108" s="42">
        <v>1890503</v>
      </c>
      <c r="N108" s="42">
        <v>1493602</v>
      </c>
      <c r="O108" s="42">
        <v>26260</v>
      </c>
      <c r="P108" s="42">
        <v>83199</v>
      </c>
      <c r="Q108" s="42">
        <v>296684</v>
      </c>
      <c r="R108" s="42">
        <v>2070962</v>
      </c>
      <c r="S108" s="43">
        <v>47589</v>
      </c>
      <c r="T108" s="42">
        <v>366685</v>
      </c>
      <c r="U108" s="4"/>
    </row>
    <row r="109" spans="1:21" x14ac:dyDescent="0.3">
      <c r="A109" s="49">
        <v>45985</v>
      </c>
      <c r="B109" s="5">
        <v>48425</v>
      </c>
      <c r="C109" s="42">
        <v>191929</v>
      </c>
      <c r="D109" s="42">
        <v>295072</v>
      </c>
      <c r="E109" s="42">
        <v>280396</v>
      </c>
      <c r="F109" s="42">
        <v>827699</v>
      </c>
      <c r="G109" s="42">
        <v>338759</v>
      </c>
      <c r="H109" s="42">
        <v>108179</v>
      </c>
      <c r="I109" s="42">
        <v>77698</v>
      </c>
      <c r="J109" s="42">
        <v>228873</v>
      </c>
      <c r="K109" s="42">
        <v>442270</v>
      </c>
      <c r="L109" s="42">
        <v>148942</v>
      </c>
      <c r="M109" s="42">
        <v>1866604</v>
      </c>
      <c r="N109" s="42">
        <v>1487980</v>
      </c>
      <c r="O109" s="42">
        <v>26501</v>
      </c>
      <c r="P109" s="42">
        <v>82243</v>
      </c>
      <c r="Q109" s="42">
        <v>300040</v>
      </c>
      <c r="R109" s="42">
        <v>2064878</v>
      </c>
      <c r="S109" s="43">
        <v>48292</v>
      </c>
      <c r="T109" s="42">
        <v>368952</v>
      </c>
      <c r="U109" s="4"/>
    </row>
    <row r="110" spans="1:21" x14ac:dyDescent="0.3">
      <c r="A110" s="49">
        <v>45982</v>
      </c>
      <c r="B110" s="5">
        <v>47112</v>
      </c>
      <c r="C110" s="42">
        <v>193577</v>
      </c>
      <c r="D110" s="42">
        <v>295180</v>
      </c>
      <c r="E110" s="42">
        <v>281109</v>
      </c>
      <c r="F110" s="42">
        <v>829453</v>
      </c>
      <c r="G110" s="42">
        <v>337057</v>
      </c>
      <c r="H110" s="42">
        <v>108770</v>
      </c>
      <c r="I110" s="42">
        <v>77156</v>
      </c>
      <c r="J110" s="42">
        <v>238101</v>
      </c>
      <c r="K110" s="42">
        <v>470349</v>
      </c>
      <c r="L110" s="42">
        <v>154236</v>
      </c>
      <c r="M110" s="42">
        <v>1847292</v>
      </c>
      <c r="N110" s="42">
        <v>1505966</v>
      </c>
      <c r="O110" s="42">
        <v>26373</v>
      </c>
      <c r="P110" s="42">
        <v>82052</v>
      </c>
      <c r="Q110" s="42">
        <v>301739</v>
      </c>
      <c r="R110" s="42">
        <v>2066052</v>
      </c>
      <c r="S110" s="43">
        <v>50999</v>
      </c>
      <c r="T110" s="42">
        <v>369697</v>
      </c>
      <c r="U110" s="4"/>
    </row>
    <row r="111" spans="1:21" x14ac:dyDescent="0.3">
      <c r="A111" s="49">
        <v>45981</v>
      </c>
      <c r="B111" s="42">
        <v>47075</v>
      </c>
      <c r="C111" s="42">
        <v>187933</v>
      </c>
      <c r="D111" s="42">
        <v>285223</v>
      </c>
      <c r="E111" s="42">
        <v>279972</v>
      </c>
      <c r="F111" s="42">
        <v>827791</v>
      </c>
      <c r="G111" s="42">
        <v>333529</v>
      </c>
      <c r="H111" s="42">
        <v>109197</v>
      </c>
      <c r="I111" s="42">
        <v>75791</v>
      </c>
      <c r="J111" s="42">
        <v>242483</v>
      </c>
      <c r="K111" s="42">
        <v>470585</v>
      </c>
      <c r="L111" s="42">
        <v>155694</v>
      </c>
      <c r="M111" s="42">
        <v>1851304</v>
      </c>
      <c r="N111" s="42">
        <v>1496759</v>
      </c>
      <c r="O111" s="42">
        <v>26939</v>
      </c>
      <c r="P111" s="42">
        <v>83391</v>
      </c>
      <c r="Q111" s="42">
        <v>304450</v>
      </c>
      <c r="R111" s="42">
        <v>2055445</v>
      </c>
      <c r="S111" s="43">
        <v>50167</v>
      </c>
      <c r="T111" s="42">
        <v>385200</v>
      </c>
      <c r="U111" s="4"/>
    </row>
    <row r="112" spans="1:21" x14ac:dyDescent="0.3">
      <c r="A112" s="49">
        <v>45980</v>
      </c>
      <c r="B112" s="42">
        <v>46709</v>
      </c>
      <c r="C112" s="42">
        <v>182218</v>
      </c>
      <c r="D112" s="42">
        <v>284095</v>
      </c>
      <c r="E112" s="42">
        <v>278126</v>
      </c>
      <c r="F112" s="42">
        <v>828884</v>
      </c>
      <c r="G112" s="42">
        <v>332973</v>
      </c>
      <c r="H112" s="42">
        <v>108441</v>
      </c>
      <c r="I112" s="42">
        <v>75566</v>
      </c>
      <c r="J112" s="42">
        <v>246593</v>
      </c>
      <c r="K112" s="42">
        <v>467893</v>
      </c>
      <c r="L112" s="42">
        <v>154417</v>
      </c>
      <c r="M112" s="42">
        <v>1850691</v>
      </c>
      <c r="N112" s="42">
        <v>1505968</v>
      </c>
      <c r="O112" s="42">
        <v>26853</v>
      </c>
      <c r="P112" s="42">
        <v>82664</v>
      </c>
      <c r="Q112" s="42">
        <v>295289</v>
      </c>
      <c r="R112" s="42">
        <v>2046652</v>
      </c>
      <c r="S112" s="43">
        <v>48319</v>
      </c>
      <c r="T112" s="42">
        <v>384941</v>
      </c>
      <c r="U112" s="4"/>
    </row>
    <row r="113" spans="1:21" x14ac:dyDescent="0.3">
      <c r="A113" s="49">
        <v>45979</v>
      </c>
      <c r="B113" s="42">
        <v>44403</v>
      </c>
      <c r="C113" s="42">
        <v>179770</v>
      </c>
      <c r="D113" s="42">
        <v>280244</v>
      </c>
      <c r="E113" s="42">
        <v>278400</v>
      </c>
      <c r="F113" s="42">
        <v>830747</v>
      </c>
      <c r="G113" s="42">
        <v>329837</v>
      </c>
      <c r="H113" s="42">
        <v>103502</v>
      </c>
      <c r="I113" s="42">
        <v>76329</v>
      </c>
      <c r="J113" s="42">
        <v>251537</v>
      </c>
      <c r="K113" s="42">
        <v>471953</v>
      </c>
      <c r="L113" s="42">
        <v>153295</v>
      </c>
      <c r="M113" s="42">
        <v>1868023</v>
      </c>
      <c r="N113" s="42">
        <v>1506695</v>
      </c>
      <c r="O113" s="42">
        <v>27116</v>
      </c>
      <c r="P113" s="42">
        <v>82876</v>
      </c>
      <c r="Q113" s="42">
        <v>299587</v>
      </c>
      <c r="R113" s="42">
        <v>2037320</v>
      </c>
      <c r="S113" s="43">
        <v>50062</v>
      </c>
      <c r="T113" s="42">
        <v>388785</v>
      </c>
      <c r="U113" s="4"/>
    </row>
    <row r="114" spans="1:21" x14ac:dyDescent="0.3">
      <c r="A114" s="49">
        <v>45978</v>
      </c>
      <c r="B114" s="42">
        <v>44410</v>
      </c>
      <c r="C114" s="42">
        <v>177370</v>
      </c>
      <c r="D114" s="42">
        <v>278451</v>
      </c>
      <c r="E114" s="42">
        <v>284795</v>
      </c>
      <c r="F114" s="42">
        <v>829993</v>
      </c>
      <c r="G114" s="42">
        <v>332108</v>
      </c>
      <c r="H114" s="42">
        <v>101483</v>
      </c>
      <c r="I114" s="42">
        <v>77220</v>
      </c>
      <c r="J114" s="42">
        <v>259014</v>
      </c>
      <c r="K114" s="42">
        <v>474390</v>
      </c>
      <c r="L114" s="42">
        <v>151989</v>
      </c>
      <c r="M114" s="42">
        <v>1882942</v>
      </c>
      <c r="N114" s="42">
        <v>1516189</v>
      </c>
      <c r="O114" s="42">
        <v>27340</v>
      </c>
      <c r="P114" s="42">
        <v>83464</v>
      </c>
      <c r="Q114" s="42">
        <v>295084</v>
      </c>
      <c r="R114" s="42">
        <v>2013856</v>
      </c>
      <c r="S114" s="43">
        <v>46405</v>
      </c>
      <c r="T114" s="42">
        <v>392877</v>
      </c>
      <c r="U114" s="4"/>
    </row>
    <row r="115" spans="1:21" x14ac:dyDescent="0.3">
      <c r="A115" s="49">
        <v>45975</v>
      </c>
      <c r="B115" s="42">
        <v>43230</v>
      </c>
      <c r="C115" s="42">
        <v>174771</v>
      </c>
      <c r="D115" s="42">
        <v>274623</v>
      </c>
      <c r="E115" s="42">
        <v>286593</v>
      </c>
      <c r="F115" s="42">
        <v>828928</v>
      </c>
      <c r="G115" s="42">
        <v>320949</v>
      </c>
      <c r="H115" s="42">
        <v>100753</v>
      </c>
      <c r="I115" s="42">
        <v>76879</v>
      </c>
      <c r="J115" s="42">
        <v>263114</v>
      </c>
      <c r="K115" s="42">
        <v>477283</v>
      </c>
      <c r="L115" s="42">
        <v>157115</v>
      </c>
      <c r="M115" s="42">
        <v>1907581</v>
      </c>
      <c r="N115" s="42">
        <v>1521443</v>
      </c>
      <c r="O115" s="42">
        <v>27843</v>
      </c>
      <c r="P115" s="42">
        <v>84108</v>
      </c>
      <c r="Q115" s="42">
        <v>294670</v>
      </c>
      <c r="R115" s="42">
        <v>1993235</v>
      </c>
      <c r="S115" s="43">
        <v>51400</v>
      </c>
      <c r="T115" s="42">
        <v>385635</v>
      </c>
      <c r="U115" s="4"/>
    </row>
    <row r="116" spans="1:21" x14ac:dyDescent="0.3">
      <c r="A116" s="49">
        <v>45974</v>
      </c>
      <c r="B116" s="42">
        <v>43411</v>
      </c>
      <c r="C116" s="42">
        <v>177425</v>
      </c>
      <c r="D116" s="42">
        <v>275069</v>
      </c>
      <c r="E116" s="42">
        <v>288452</v>
      </c>
      <c r="F116" s="42">
        <v>828051</v>
      </c>
      <c r="G116" s="42">
        <v>317394</v>
      </c>
      <c r="H116" s="42">
        <v>101240</v>
      </c>
      <c r="I116" s="42">
        <v>78993</v>
      </c>
      <c r="J116" s="42">
        <v>394971</v>
      </c>
      <c r="K116" s="42">
        <v>480877</v>
      </c>
      <c r="L116" s="42">
        <v>164137</v>
      </c>
      <c r="M116" s="42">
        <v>1906433</v>
      </c>
      <c r="N116" s="42">
        <v>1534690</v>
      </c>
      <c r="O116" s="42">
        <v>28055</v>
      </c>
      <c r="P116" s="42">
        <v>86758</v>
      </c>
      <c r="Q116" s="42">
        <v>305182</v>
      </c>
      <c r="R116" s="42">
        <v>1982066</v>
      </c>
      <c r="S116" s="43">
        <v>50091</v>
      </c>
      <c r="T116" s="42">
        <v>394971</v>
      </c>
      <c r="U116" s="4"/>
    </row>
    <row r="117" spans="1:21" x14ac:dyDescent="0.3">
      <c r="A117" s="49">
        <v>45973</v>
      </c>
      <c r="B117" s="42">
        <v>43592</v>
      </c>
      <c r="C117" s="42">
        <v>179241</v>
      </c>
      <c r="D117" s="42">
        <v>276034</v>
      </c>
      <c r="E117" s="42">
        <v>291229</v>
      </c>
      <c r="F117" s="42">
        <v>822316</v>
      </c>
      <c r="G117" s="42">
        <v>319028</v>
      </c>
      <c r="H117" s="42">
        <v>101706</v>
      </c>
      <c r="I117" s="42">
        <v>80332</v>
      </c>
      <c r="J117" s="42">
        <v>387587</v>
      </c>
      <c r="K117" s="42">
        <v>480255</v>
      </c>
      <c r="L117" s="42">
        <v>163733</v>
      </c>
      <c r="M117" s="42">
        <v>1909611</v>
      </c>
      <c r="N117" s="42">
        <v>1521780</v>
      </c>
      <c r="O117" s="42">
        <v>27682</v>
      </c>
      <c r="P117" s="42">
        <v>90719</v>
      </c>
      <c r="Q117" s="42">
        <v>298734</v>
      </c>
      <c r="R117" s="42">
        <v>1986135</v>
      </c>
      <c r="S117" s="43">
        <v>47504</v>
      </c>
      <c r="T117" s="42">
        <v>387587</v>
      </c>
      <c r="U117" s="4"/>
    </row>
    <row r="118" spans="1:21" x14ac:dyDescent="0.3">
      <c r="A118" s="49">
        <v>45972</v>
      </c>
      <c r="B118" s="42">
        <v>43237</v>
      </c>
      <c r="C118" s="42">
        <v>179953</v>
      </c>
      <c r="D118" s="42">
        <v>273683</v>
      </c>
      <c r="E118" s="42">
        <v>290497</v>
      </c>
      <c r="F118" s="42">
        <v>829257</v>
      </c>
      <c r="G118" s="42">
        <v>316951</v>
      </c>
      <c r="H118" s="42">
        <v>101663</v>
      </c>
      <c r="I118" s="42">
        <v>81548</v>
      </c>
      <c r="J118" s="42">
        <v>386798</v>
      </c>
      <c r="K118" s="42">
        <v>466031</v>
      </c>
      <c r="L118" s="42">
        <v>160603</v>
      </c>
      <c r="M118" s="42">
        <v>1907365</v>
      </c>
      <c r="N118" s="42">
        <v>1528747</v>
      </c>
      <c r="O118" s="42">
        <v>27451</v>
      </c>
      <c r="P118" s="42">
        <v>86384</v>
      </c>
      <c r="Q118" s="42">
        <v>295835</v>
      </c>
      <c r="R118" s="42">
        <v>1992626</v>
      </c>
      <c r="S118" s="43">
        <v>46682</v>
      </c>
      <c r="T118" s="42">
        <v>386798</v>
      </c>
      <c r="U118" s="4"/>
    </row>
    <row r="119" spans="1:21" x14ac:dyDescent="0.3">
      <c r="A119" s="49">
        <v>45971</v>
      </c>
      <c r="B119" s="42">
        <v>42792</v>
      </c>
      <c r="C119" s="42">
        <v>179467</v>
      </c>
      <c r="D119" s="42">
        <v>272612</v>
      </c>
      <c r="E119" s="42">
        <v>289605</v>
      </c>
      <c r="F119" s="42">
        <v>831275</v>
      </c>
      <c r="G119" s="42">
        <v>312845</v>
      </c>
      <c r="H119" s="42">
        <v>102883</v>
      </c>
      <c r="I119" s="42">
        <v>82840</v>
      </c>
      <c r="J119" s="42">
        <v>392134</v>
      </c>
      <c r="K119" s="42">
        <v>459997</v>
      </c>
      <c r="L119" s="42">
        <v>159649</v>
      </c>
      <c r="M119" s="42">
        <v>1913442</v>
      </c>
      <c r="N119" s="42">
        <v>1535138</v>
      </c>
      <c r="O119" s="42">
        <v>27544</v>
      </c>
      <c r="P119" s="42">
        <v>81781</v>
      </c>
      <c r="Q119" s="42">
        <v>296639</v>
      </c>
      <c r="R119" s="42">
        <v>1981117</v>
      </c>
      <c r="S119" s="43">
        <v>49482</v>
      </c>
      <c r="T119" s="42">
        <v>392134</v>
      </c>
      <c r="U119" s="4"/>
    </row>
    <row r="120" spans="1:21" x14ac:dyDescent="0.3">
      <c r="A120" s="49">
        <v>45968</v>
      </c>
      <c r="B120" s="42">
        <v>42738</v>
      </c>
      <c r="C120" s="42">
        <v>183213</v>
      </c>
      <c r="D120" s="42">
        <v>275427</v>
      </c>
      <c r="E120" s="42">
        <v>289841</v>
      </c>
      <c r="F120" s="42">
        <v>831234</v>
      </c>
      <c r="G120" s="42">
        <v>309883</v>
      </c>
      <c r="H120" s="42">
        <v>102193</v>
      </c>
      <c r="I120" s="42">
        <v>82230</v>
      </c>
      <c r="J120" s="42">
        <v>398180</v>
      </c>
      <c r="K120" s="42">
        <v>455161</v>
      </c>
      <c r="L120" s="42">
        <v>155040</v>
      </c>
      <c r="M120" s="42">
        <v>1921530</v>
      </c>
      <c r="N120" s="42">
        <v>1542684</v>
      </c>
      <c r="O120" s="42">
        <v>27518</v>
      </c>
      <c r="P120" s="42">
        <v>82337</v>
      </c>
      <c r="Q120" s="42">
        <v>297552</v>
      </c>
      <c r="R120" s="42">
        <v>1978820</v>
      </c>
      <c r="S120" s="43">
        <v>49000</v>
      </c>
      <c r="T120" s="42">
        <v>398180</v>
      </c>
      <c r="U120" s="4"/>
    </row>
    <row r="121" spans="1:21" x14ac:dyDescent="0.3">
      <c r="A121" s="49">
        <v>45967</v>
      </c>
      <c r="B121" s="42">
        <v>43155</v>
      </c>
      <c r="C121" s="42">
        <v>186002</v>
      </c>
      <c r="D121" s="42">
        <v>278858</v>
      </c>
      <c r="E121" s="42">
        <v>297110</v>
      </c>
      <c r="F121" s="42">
        <v>836118</v>
      </c>
      <c r="G121" s="42">
        <v>311623</v>
      </c>
      <c r="H121" s="42">
        <v>99422</v>
      </c>
      <c r="I121" s="42">
        <v>82881</v>
      </c>
      <c r="J121" s="42">
        <v>266683</v>
      </c>
      <c r="K121" s="42">
        <v>452487</v>
      </c>
      <c r="L121" s="42">
        <v>156949</v>
      </c>
      <c r="M121" s="42">
        <v>1933855</v>
      </c>
      <c r="N121" s="42">
        <v>1556062</v>
      </c>
      <c r="O121" s="42">
        <v>27153</v>
      </c>
      <c r="P121" s="42">
        <v>83565</v>
      </c>
      <c r="Q121" s="42">
        <v>298945</v>
      </c>
      <c r="R121" s="42">
        <v>1977963</v>
      </c>
      <c r="S121" s="43">
        <v>47893</v>
      </c>
      <c r="T121" s="42">
        <v>404249</v>
      </c>
      <c r="U121" s="4"/>
    </row>
    <row r="122" spans="1:21" x14ac:dyDescent="0.3">
      <c r="A122" s="49">
        <v>45966</v>
      </c>
      <c r="B122" s="42">
        <v>43241</v>
      </c>
      <c r="C122" s="42">
        <v>183663</v>
      </c>
      <c r="D122" s="42">
        <v>277464</v>
      </c>
      <c r="E122" s="42">
        <v>295835</v>
      </c>
      <c r="F122" s="42">
        <v>833502</v>
      </c>
      <c r="G122" s="42">
        <v>311389</v>
      </c>
      <c r="H122" s="42">
        <v>93952</v>
      </c>
      <c r="I122" s="42">
        <v>82833</v>
      </c>
      <c r="J122" s="42">
        <v>268554</v>
      </c>
      <c r="K122" s="42">
        <v>453313</v>
      </c>
      <c r="L122" s="42">
        <v>156033</v>
      </c>
      <c r="M122" s="42">
        <v>1923839</v>
      </c>
      <c r="N122" s="42">
        <v>1565671</v>
      </c>
      <c r="O122" s="42">
        <v>26933</v>
      </c>
      <c r="P122" s="42">
        <v>84808</v>
      </c>
      <c r="Q122" s="42">
        <v>291975</v>
      </c>
      <c r="R122" s="42">
        <v>1962450</v>
      </c>
      <c r="S122" s="43">
        <v>50335</v>
      </c>
      <c r="T122" s="42">
        <v>398801</v>
      </c>
      <c r="U122" s="4"/>
    </row>
    <row r="123" spans="1:21" x14ac:dyDescent="0.3">
      <c r="A123" s="49">
        <v>45965</v>
      </c>
      <c r="B123" s="42">
        <v>43439</v>
      </c>
      <c r="C123" s="42">
        <v>180801</v>
      </c>
      <c r="D123" s="42">
        <v>270917</v>
      </c>
      <c r="E123" s="42">
        <v>292964</v>
      </c>
      <c r="F123" s="42">
        <v>835176</v>
      </c>
      <c r="G123" s="42">
        <v>314190</v>
      </c>
      <c r="H123" s="42">
        <v>91568</v>
      </c>
      <c r="I123" s="42">
        <v>81378</v>
      </c>
      <c r="J123" s="42">
        <v>269926</v>
      </c>
      <c r="K123" s="42">
        <v>450399</v>
      </c>
      <c r="L123" s="42">
        <v>155257</v>
      </c>
      <c r="M123" s="42">
        <v>1924327</v>
      </c>
      <c r="N123" s="42">
        <v>1576226</v>
      </c>
      <c r="O123" s="42">
        <v>27093</v>
      </c>
      <c r="P123" s="42">
        <v>86448</v>
      </c>
      <c r="Q123" s="42">
        <v>292709</v>
      </c>
      <c r="R123" s="42">
        <v>1956133</v>
      </c>
      <c r="S123" s="43">
        <v>50335</v>
      </c>
      <c r="T123" s="42">
        <v>394943</v>
      </c>
      <c r="U123" s="4"/>
    </row>
    <row r="124" spans="1:21" x14ac:dyDescent="0.3">
      <c r="A124" s="49">
        <v>45964</v>
      </c>
      <c r="B124" s="42">
        <v>41613</v>
      </c>
      <c r="C124" s="42">
        <v>173850</v>
      </c>
      <c r="D124" s="42">
        <v>265305</v>
      </c>
      <c r="E124" s="42">
        <v>292008</v>
      </c>
      <c r="F124" s="42">
        <v>834362</v>
      </c>
      <c r="G124" s="42">
        <v>313342</v>
      </c>
      <c r="H124" s="42">
        <v>90072</v>
      </c>
      <c r="I124" s="42">
        <v>79213</v>
      </c>
      <c r="J124" s="42">
        <v>275180</v>
      </c>
      <c r="K124" s="42">
        <v>452773</v>
      </c>
      <c r="L124" s="42">
        <v>157212</v>
      </c>
      <c r="M124" s="42">
        <v>1917137</v>
      </c>
      <c r="N124" s="42">
        <v>1596274</v>
      </c>
      <c r="O124" s="42">
        <v>26432</v>
      </c>
      <c r="P124" s="42">
        <v>86951</v>
      </c>
      <c r="Q124" s="42">
        <v>293302</v>
      </c>
      <c r="R124" s="42">
        <v>1940696</v>
      </c>
      <c r="S124" s="43">
        <v>47266</v>
      </c>
      <c r="T124" s="42">
        <v>392481</v>
      </c>
      <c r="U124" s="4"/>
    </row>
    <row r="125" spans="1:21" x14ac:dyDescent="0.3">
      <c r="A125" s="49">
        <v>45961</v>
      </c>
      <c r="B125" s="42">
        <v>38512</v>
      </c>
      <c r="C125" s="42">
        <v>170009</v>
      </c>
      <c r="D125" s="42">
        <v>263425</v>
      </c>
      <c r="E125" s="42">
        <v>279822</v>
      </c>
      <c r="F125" s="42">
        <v>838017</v>
      </c>
      <c r="G125" s="42">
        <v>310146</v>
      </c>
      <c r="H125" s="42">
        <v>88598</v>
      </c>
      <c r="I125" s="42">
        <v>76251</v>
      </c>
      <c r="J125" s="42">
        <v>275408</v>
      </c>
      <c r="K125" s="42">
        <v>449900</v>
      </c>
      <c r="L125" s="42">
        <v>156090</v>
      </c>
      <c r="M125" s="42">
        <v>1911219</v>
      </c>
      <c r="N125" s="42">
        <v>1612193</v>
      </c>
      <c r="O125" s="42">
        <v>28004</v>
      </c>
      <c r="P125" s="42">
        <v>87360</v>
      </c>
      <c r="Q125" s="42">
        <v>291812</v>
      </c>
      <c r="R125" s="42">
        <v>1920587</v>
      </c>
      <c r="S125" s="43">
        <v>47780</v>
      </c>
      <c r="T125" s="42">
        <v>391513</v>
      </c>
      <c r="U125" s="4"/>
    </row>
    <row r="126" spans="1:21" x14ac:dyDescent="0.3">
      <c r="A126" s="49">
        <v>45960</v>
      </c>
      <c r="B126" s="42">
        <v>37894</v>
      </c>
      <c r="C126" s="42">
        <v>169218</v>
      </c>
      <c r="D126" s="42">
        <v>255611</v>
      </c>
      <c r="E126" s="42">
        <v>277296</v>
      </c>
      <c r="F126" s="42">
        <v>839293</v>
      </c>
      <c r="G126" s="42">
        <v>318489</v>
      </c>
      <c r="H126" s="42">
        <v>87023</v>
      </c>
      <c r="I126" s="42">
        <v>74904</v>
      </c>
      <c r="J126" s="42">
        <v>276601</v>
      </c>
      <c r="K126" s="42">
        <v>456333</v>
      </c>
      <c r="L126" s="42">
        <v>159144</v>
      </c>
      <c r="M126" s="42">
        <v>1898912</v>
      </c>
      <c r="N126" s="42">
        <v>1632044</v>
      </c>
      <c r="O126" s="42">
        <v>27622</v>
      </c>
      <c r="P126" s="42">
        <v>89281</v>
      </c>
      <c r="Q126" s="42">
        <v>296973</v>
      </c>
      <c r="R126" s="42">
        <v>1923203</v>
      </c>
      <c r="S126" s="43">
        <v>47912</v>
      </c>
      <c r="T126" s="42">
        <v>391806</v>
      </c>
      <c r="U126" s="4"/>
    </row>
    <row r="127" spans="1:21" x14ac:dyDescent="0.3">
      <c r="A127" s="49">
        <v>45959</v>
      </c>
      <c r="B127" s="42">
        <v>35760</v>
      </c>
      <c r="C127" s="42">
        <v>170403</v>
      </c>
      <c r="D127" s="42">
        <v>254237</v>
      </c>
      <c r="E127" s="42">
        <v>281831</v>
      </c>
      <c r="F127" s="42">
        <v>849326</v>
      </c>
      <c r="G127" s="42">
        <v>329125</v>
      </c>
      <c r="H127" s="42">
        <v>87738</v>
      </c>
      <c r="I127" s="42">
        <v>74440</v>
      </c>
      <c r="J127" s="42">
        <v>277212</v>
      </c>
      <c r="K127" s="42">
        <v>456178</v>
      </c>
      <c r="L127" s="42">
        <v>158052</v>
      </c>
      <c r="M127" s="42">
        <v>1886555</v>
      </c>
      <c r="N127" s="42">
        <v>1640747</v>
      </c>
      <c r="O127" s="42">
        <v>27777</v>
      </c>
      <c r="P127" s="42">
        <v>91023</v>
      </c>
      <c r="Q127" s="42">
        <v>299695</v>
      </c>
      <c r="R127" s="42">
        <v>1925512</v>
      </c>
      <c r="S127" s="43">
        <v>46757</v>
      </c>
      <c r="T127" s="42">
        <v>388161</v>
      </c>
      <c r="U127" s="4"/>
    </row>
    <row r="128" spans="1:21" x14ac:dyDescent="0.3">
      <c r="A128" s="49">
        <v>45958</v>
      </c>
      <c r="B128" s="42">
        <v>34998</v>
      </c>
      <c r="C128" s="42">
        <v>173436</v>
      </c>
      <c r="D128" s="42">
        <v>248118</v>
      </c>
      <c r="E128" s="42">
        <v>278750</v>
      </c>
      <c r="F128" s="42">
        <v>843717</v>
      </c>
      <c r="G128" s="42">
        <v>321889</v>
      </c>
      <c r="H128" s="42">
        <v>88049</v>
      </c>
      <c r="I128" s="42">
        <v>74922</v>
      </c>
      <c r="J128" s="42">
        <v>272068</v>
      </c>
      <c r="K128" s="42">
        <v>457122</v>
      </c>
      <c r="L128" s="42">
        <v>158187</v>
      </c>
      <c r="M128" s="42">
        <v>1891657</v>
      </c>
      <c r="N128" s="42">
        <v>1629494</v>
      </c>
      <c r="O128" s="42">
        <v>28717</v>
      </c>
      <c r="P128" s="42">
        <v>90629</v>
      </c>
      <c r="Q128" s="42">
        <v>299186</v>
      </c>
      <c r="R128" s="42">
        <v>1929734</v>
      </c>
      <c r="S128" s="43">
        <v>45825</v>
      </c>
      <c r="T128" s="42">
        <v>384572</v>
      </c>
      <c r="U128" s="4"/>
    </row>
    <row r="129" spans="1:21" x14ac:dyDescent="0.3">
      <c r="A129" s="49">
        <v>45957</v>
      </c>
      <c r="B129" s="42">
        <v>34900</v>
      </c>
      <c r="C129" s="42">
        <v>174774</v>
      </c>
      <c r="D129" s="42">
        <v>241428</v>
      </c>
      <c r="E129" s="42">
        <v>281866</v>
      </c>
      <c r="F129" s="42">
        <v>843837</v>
      </c>
      <c r="G129" s="42">
        <v>317868</v>
      </c>
      <c r="H129" s="42">
        <v>88072</v>
      </c>
      <c r="I129" s="42">
        <v>74548</v>
      </c>
      <c r="J129" s="42">
        <v>270352</v>
      </c>
      <c r="K129" s="42">
        <v>463706</v>
      </c>
      <c r="L129" s="42">
        <v>161322</v>
      </c>
      <c r="M129" s="42">
        <v>1894458</v>
      </c>
      <c r="N129" s="42">
        <v>1634589</v>
      </c>
      <c r="O129" s="42">
        <v>29391</v>
      </c>
      <c r="P129" s="42">
        <v>88262</v>
      </c>
      <c r="Q129" s="42">
        <v>293369</v>
      </c>
      <c r="R129" s="42">
        <v>1925941</v>
      </c>
      <c r="S129" s="43">
        <v>45173</v>
      </c>
      <c r="T129" s="42">
        <v>382900</v>
      </c>
      <c r="U129" s="4"/>
    </row>
    <row r="130" spans="1:21" x14ac:dyDescent="0.3">
      <c r="A130" s="49">
        <v>45954</v>
      </c>
      <c r="B130" s="42">
        <v>36164</v>
      </c>
      <c r="C130" s="42">
        <v>172045</v>
      </c>
      <c r="D130" s="42">
        <v>242479</v>
      </c>
      <c r="E130" s="42">
        <v>281160</v>
      </c>
      <c r="F130" s="42">
        <v>840084</v>
      </c>
      <c r="G130" s="42">
        <v>314092</v>
      </c>
      <c r="H130" s="42">
        <v>88503</v>
      </c>
      <c r="I130" s="42">
        <v>74313</v>
      </c>
      <c r="J130" s="42">
        <v>265093</v>
      </c>
      <c r="K130" s="42">
        <v>464052</v>
      </c>
      <c r="L130" s="42">
        <v>164267</v>
      </c>
      <c r="M130" s="42">
        <v>1879787</v>
      </c>
      <c r="N130" s="42">
        <v>1643734</v>
      </c>
      <c r="O130" s="42">
        <v>29685</v>
      </c>
      <c r="P130" s="42">
        <v>88922</v>
      </c>
      <c r="Q130" s="42">
        <v>292317</v>
      </c>
      <c r="R130" s="42">
        <v>1899749</v>
      </c>
      <c r="S130" s="43">
        <v>45925</v>
      </c>
      <c r="T130" s="42">
        <v>382789</v>
      </c>
      <c r="U130" s="4"/>
    </row>
    <row r="131" spans="1:21" x14ac:dyDescent="0.3">
      <c r="A131" s="49">
        <v>45953</v>
      </c>
      <c r="B131" s="42">
        <v>35358</v>
      </c>
      <c r="C131" s="42">
        <v>172042</v>
      </c>
      <c r="D131" s="42">
        <v>242306</v>
      </c>
      <c r="E131" s="42">
        <v>274727</v>
      </c>
      <c r="F131" s="42">
        <v>835446</v>
      </c>
      <c r="G131" s="42">
        <v>312332</v>
      </c>
      <c r="H131" s="42">
        <v>88491</v>
      </c>
      <c r="I131" s="42">
        <v>74054</v>
      </c>
      <c r="J131" s="42">
        <v>264956</v>
      </c>
      <c r="K131" s="42">
        <v>464096</v>
      </c>
      <c r="L131" s="42">
        <v>165672</v>
      </c>
      <c r="M131" s="42">
        <v>1893287</v>
      </c>
      <c r="N131" s="42">
        <v>1644833</v>
      </c>
      <c r="O131" s="42">
        <v>29342</v>
      </c>
      <c r="P131" s="42">
        <v>86168</v>
      </c>
      <c r="Q131" s="42">
        <v>283565</v>
      </c>
      <c r="R131" s="42">
        <v>1894109</v>
      </c>
      <c r="S131" s="43">
        <v>48072</v>
      </c>
      <c r="T131" s="42">
        <v>380388</v>
      </c>
      <c r="U131" s="4"/>
    </row>
    <row r="132" spans="1:21" x14ac:dyDescent="0.3">
      <c r="A132" s="49">
        <v>45952</v>
      </c>
      <c r="B132" s="42">
        <v>35443</v>
      </c>
      <c r="C132" s="42">
        <v>176615</v>
      </c>
      <c r="D132" s="42">
        <v>237796</v>
      </c>
      <c r="E132" s="42">
        <v>274349</v>
      </c>
      <c r="F132" s="42">
        <v>835344</v>
      </c>
      <c r="G132" s="42">
        <v>311733</v>
      </c>
      <c r="H132" s="42">
        <v>89241</v>
      </c>
      <c r="I132" s="42">
        <v>73599</v>
      </c>
      <c r="J132" s="42">
        <v>258482</v>
      </c>
      <c r="K132" s="42">
        <v>463789</v>
      </c>
      <c r="L132" s="42">
        <v>165714</v>
      </c>
      <c r="M132" s="42">
        <v>1981979</v>
      </c>
      <c r="N132" s="42">
        <v>1667755</v>
      </c>
      <c r="O132" s="42">
        <v>28650</v>
      </c>
      <c r="P132" s="42">
        <v>86201</v>
      </c>
      <c r="Q132" s="42">
        <v>279609</v>
      </c>
      <c r="R132" s="42">
        <v>1894853</v>
      </c>
      <c r="S132" s="43">
        <v>47616</v>
      </c>
      <c r="T132" s="42">
        <v>381993</v>
      </c>
      <c r="U132" s="4"/>
    </row>
    <row r="133" spans="1:21" x14ac:dyDescent="0.3">
      <c r="A133" s="49">
        <v>45951</v>
      </c>
      <c r="B133" s="42">
        <v>35369</v>
      </c>
      <c r="C133" s="42">
        <v>173878</v>
      </c>
      <c r="D133" s="42">
        <v>233484</v>
      </c>
      <c r="E133" s="42">
        <v>272419</v>
      </c>
      <c r="F133" s="42">
        <v>835887</v>
      </c>
      <c r="G133" s="42">
        <v>307569</v>
      </c>
      <c r="H133" s="42">
        <v>89666</v>
      </c>
      <c r="I133" s="42">
        <v>74034</v>
      </c>
      <c r="J133" s="42">
        <v>258680</v>
      </c>
      <c r="K133" s="42">
        <v>472421</v>
      </c>
      <c r="L133" s="42">
        <v>169418</v>
      </c>
      <c r="M133" s="42">
        <v>1997649</v>
      </c>
      <c r="N133" s="42">
        <v>1682048</v>
      </c>
      <c r="O133" s="42">
        <v>28477</v>
      </c>
      <c r="P133" s="42">
        <v>90396</v>
      </c>
      <c r="Q133" s="42">
        <v>289838</v>
      </c>
      <c r="R133" s="42">
        <v>1882544</v>
      </c>
      <c r="S133" s="43">
        <v>46821</v>
      </c>
      <c r="T133" s="42">
        <v>383684</v>
      </c>
      <c r="U133" s="4"/>
    </row>
    <row r="134" spans="1:21" x14ac:dyDescent="0.3">
      <c r="A134" s="49">
        <v>45950</v>
      </c>
      <c r="B134" s="42">
        <v>35164</v>
      </c>
      <c r="C134" s="42">
        <v>171982</v>
      </c>
      <c r="D134" s="42">
        <v>234904</v>
      </c>
      <c r="E134" s="42">
        <v>269553</v>
      </c>
      <c r="F134" s="42">
        <v>838701</v>
      </c>
      <c r="G134" s="42">
        <v>303637</v>
      </c>
      <c r="H134" s="42">
        <v>87626</v>
      </c>
      <c r="I134" s="42">
        <v>73915</v>
      </c>
      <c r="J134" s="42">
        <v>256056</v>
      </c>
      <c r="K134" s="42">
        <v>475938</v>
      </c>
      <c r="L134" s="42">
        <v>172283</v>
      </c>
      <c r="M134" s="42">
        <v>2008202</v>
      </c>
      <c r="N134" s="42">
        <v>1706292</v>
      </c>
      <c r="O134" s="42">
        <v>28968</v>
      </c>
      <c r="P134" s="42">
        <v>87689</v>
      </c>
      <c r="Q134" s="42">
        <v>290571</v>
      </c>
      <c r="R134" s="42">
        <v>1889512</v>
      </c>
      <c r="S134" s="43">
        <v>48334</v>
      </c>
      <c r="T134" s="42">
        <v>386154</v>
      </c>
      <c r="U134" s="4"/>
    </row>
    <row r="135" spans="1:21" x14ac:dyDescent="0.3">
      <c r="A135" s="49">
        <v>45947</v>
      </c>
      <c r="B135" s="42">
        <v>35009</v>
      </c>
      <c r="C135" s="42">
        <v>169781</v>
      </c>
      <c r="D135" s="42">
        <v>232217</v>
      </c>
      <c r="E135" s="42">
        <v>269731</v>
      </c>
      <c r="F135" s="42">
        <v>834110</v>
      </c>
      <c r="G135" s="42">
        <v>302949</v>
      </c>
      <c r="H135" s="42">
        <v>85607</v>
      </c>
      <c r="I135" s="42">
        <v>73117</v>
      </c>
      <c r="J135" s="42">
        <v>253318</v>
      </c>
      <c r="K135" s="42">
        <v>479971</v>
      </c>
      <c r="L135" s="42">
        <v>176068</v>
      </c>
      <c r="M135" s="42">
        <v>2037293</v>
      </c>
      <c r="N135" s="42">
        <v>1718466</v>
      </c>
      <c r="O135" s="42">
        <v>28821</v>
      </c>
      <c r="P135" s="42">
        <v>87065</v>
      </c>
      <c r="Q135" s="42">
        <v>284839</v>
      </c>
      <c r="R135" s="42">
        <v>1892416</v>
      </c>
      <c r="S135" s="43">
        <v>53519</v>
      </c>
      <c r="T135" s="42">
        <v>384150</v>
      </c>
      <c r="U135" s="4"/>
    </row>
    <row r="136" spans="1:21" x14ac:dyDescent="0.3">
      <c r="A136" s="49">
        <v>45946</v>
      </c>
      <c r="B136" s="42">
        <v>35209</v>
      </c>
      <c r="C136" s="42">
        <v>171049</v>
      </c>
      <c r="D136" s="42">
        <v>232883</v>
      </c>
      <c r="E136" s="42">
        <v>270346</v>
      </c>
      <c r="F136" s="42">
        <v>835517</v>
      </c>
      <c r="G136" s="42">
        <v>306809</v>
      </c>
      <c r="H136" s="42">
        <v>86476</v>
      </c>
      <c r="I136" s="42">
        <v>72926</v>
      </c>
      <c r="J136" s="42">
        <v>253140</v>
      </c>
      <c r="K136" s="42">
        <v>483770</v>
      </c>
      <c r="L136" s="42">
        <v>175706</v>
      </c>
      <c r="M136" s="42">
        <v>2062902</v>
      </c>
      <c r="N136" s="42">
        <v>1721787</v>
      </c>
      <c r="O136" s="42">
        <v>29033</v>
      </c>
      <c r="P136" s="42">
        <v>87257</v>
      </c>
      <c r="Q136" s="42">
        <v>282734</v>
      </c>
      <c r="R136" s="42">
        <v>1900094</v>
      </c>
      <c r="S136" s="43">
        <v>49984</v>
      </c>
      <c r="T136" s="42">
        <v>387225</v>
      </c>
      <c r="U136" s="4"/>
    </row>
    <row r="137" spans="1:21" x14ac:dyDescent="0.3">
      <c r="A137" s="49">
        <v>45945</v>
      </c>
      <c r="B137" s="42">
        <v>35605</v>
      </c>
      <c r="C137" s="42">
        <v>168972</v>
      </c>
      <c r="D137" s="42">
        <v>235137</v>
      </c>
      <c r="E137" s="42">
        <v>269183</v>
      </c>
      <c r="F137" s="42">
        <v>837212</v>
      </c>
      <c r="G137" s="42">
        <v>304887</v>
      </c>
      <c r="H137" s="42">
        <v>84506</v>
      </c>
      <c r="I137" s="42">
        <v>73351</v>
      </c>
      <c r="J137" s="42">
        <v>252652</v>
      </c>
      <c r="K137" s="42">
        <v>485753</v>
      </c>
      <c r="L137" s="42">
        <v>173230</v>
      </c>
      <c r="M137" s="42">
        <v>2069833</v>
      </c>
      <c r="N137" s="42">
        <v>1704093</v>
      </c>
      <c r="O137" s="42">
        <v>29157</v>
      </c>
      <c r="P137" s="42">
        <v>86440</v>
      </c>
      <c r="Q137" s="42">
        <v>282174</v>
      </c>
      <c r="R137" s="42">
        <v>1903169</v>
      </c>
      <c r="S137" s="43">
        <v>48473</v>
      </c>
      <c r="T137" s="42">
        <v>384743</v>
      </c>
      <c r="U137" s="4"/>
    </row>
    <row r="138" spans="1:21" x14ac:dyDescent="0.3">
      <c r="A138" s="49">
        <v>45944</v>
      </c>
      <c r="B138" s="42">
        <v>37137</v>
      </c>
      <c r="C138" s="42">
        <v>170002</v>
      </c>
      <c r="D138" s="42">
        <v>238475</v>
      </c>
      <c r="E138" s="42">
        <v>269924</v>
      </c>
      <c r="F138" s="42">
        <v>841690</v>
      </c>
      <c r="G138" s="42">
        <v>305335</v>
      </c>
      <c r="H138" s="42">
        <v>82509</v>
      </c>
      <c r="I138" s="42">
        <v>73172</v>
      </c>
      <c r="J138" s="42">
        <v>251638</v>
      </c>
      <c r="K138" s="42">
        <v>482999</v>
      </c>
      <c r="L138" s="42">
        <v>172048</v>
      </c>
      <c r="M138" s="42">
        <v>2066590</v>
      </c>
      <c r="N138" s="42">
        <v>1674169</v>
      </c>
      <c r="O138" s="42">
        <v>28503</v>
      </c>
      <c r="P138" s="42">
        <v>85017</v>
      </c>
      <c r="Q138" s="42">
        <v>278830</v>
      </c>
      <c r="R138" s="42">
        <v>1929048</v>
      </c>
      <c r="S138" s="43">
        <v>49406</v>
      </c>
      <c r="T138" s="42">
        <v>381590</v>
      </c>
      <c r="U138" s="4"/>
    </row>
    <row r="139" spans="1:21" x14ac:dyDescent="0.3">
      <c r="A139" s="49">
        <v>45943</v>
      </c>
      <c r="B139" s="42">
        <v>38125</v>
      </c>
      <c r="C139" s="42">
        <v>170597</v>
      </c>
      <c r="D139" s="42">
        <v>239447</v>
      </c>
      <c r="E139" s="42">
        <v>275300</v>
      </c>
      <c r="F139" s="42">
        <v>844859</v>
      </c>
      <c r="G139" s="42">
        <v>307851</v>
      </c>
      <c r="H139" s="42">
        <v>80104</v>
      </c>
      <c r="I139" s="42">
        <v>74672</v>
      </c>
      <c r="J139" s="42">
        <v>256564</v>
      </c>
      <c r="K139" s="42">
        <v>485352</v>
      </c>
      <c r="L139" s="42">
        <v>171132</v>
      </c>
      <c r="M139" s="42">
        <v>2058445</v>
      </c>
      <c r="N139" s="42">
        <v>1663807</v>
      </c>
      <c r="O139" s="42">
        <v>28136</v>
      </c>
      <c r="P139" s="42">
        <v>86978</v>
      </c>
      <c r="Q139" s="42">
        <v>277006</v>
      </c>
      <c r="R139" s="42">
        <v>1934968</v>
      </c>
      <c r="S139" s="43">
        <v>47285</v>
      </c>
      <c r="T139" s="42">
        <v>385903</v>
      </c>
      <c r="U139" s="4"/>
    </row>
    <row r="140" spans="1:21" x14ac:dyDescent="0.3">
      <c r="A140" s="49">
        <v>45940</v>
      </c>
      <c r="B140" s="42">
        <v>38107</v>
      </c>
      <c r="C140" s="42">
        <v>171881</v>
      </c>
      <c r="D140" s="42">
        <v>241046</v>
      </c>
      <c r="E140" s="42">
        <v>275281</v>
      </c>
      <c r="F140" s="42">
        <v>845081</v>
      </c>
      <c r="G140" s="42">
        <v>311058</v>
      </c>
      <c r="H140" s="42">
        <v>79649</v>
      </c>
      <c r="I140" s="42">
        <v>74453</v>
      </c>
      <c r="J140" s="42">
        <v>253791</v>
      </c>
      <c r="K140" s="42">
        <v>480721</v>
      </c>
      <c r="L140" s="42">
        <v>171302</v>
      </c>
      <c r="M140" s="42">
        <v>2069179</v>
      </c>
      <c r="N140" s="42">
        <v>1647174</v>
      </c>
      <c r="O140" s="42">
        <v>29019</v>
      </c>
      <c r="P140" s="42">
        <v>86757</v>
      </c>
      <c r="Q140" s="42">
        <v>282457</v>
      </c>
      <c r="R140" s="42">
        <v>1966220</v>
      </c>
      <c r="S140" s="43">
        <v>48169</v>
      </c>
      <c r="T140" s="42">
        <v>392305</v>
      </c>
      <c r="U140" s="4"/>
    </row>
    <row r="141" spans="1:21" x14ac:dyDescent="0.3">
      <c r="A141" s="49">
        <v>45939</v>
      </c>
      <c r="B141" s="42">
        <v>38906</v>
      </c>
      <c r="C141" s="42">
        <v>169507</v>
      </c>
      <c r="D141" s="42">
        <v>246899</v>
      </c>
      <c r="E141" s="42">
        <v>279439</v>
      </c>
      <c r="F141" s="42">
        <v>849870</v>
      </c>
      <c r="G141" s="42">
        <v>312303</v>
      </c>
      <c r="H141" s="42">
        <v>76459</v>
      </c>
      <c r="I141" s="42">
        <v>73941</v>
      </c>
      <c r="J141" s="42">
        <v>258726</v>
      </c>
      <c r="K141" s="42">
        <v>483650</v>
      </c>
      <c r="L141" s="42">
        <v>169711</v>
      </c>
      <c r="M141" s="42">
        <v>2020237</v>
      </c>
      <c r="N141" s="42">
        <v>1634963</v>
      </c>
      <c r="O141" s="42">
        <v>29406</v>
      </c>
      <c r="P141" s="42">
        <v>85009</v>
      </c>
      <c r="Q141" s="42">
        <v>287513</v>
      </c>
      <c r="R141" s="42">
        <v>1932794</v>
      </c>
      <c r="S141" s="43">
        <v>47306</v>
      </c>
      <c r="T141" s="42">
        <v>388172</v>
      </c>
      <c r="U141" s="4"/>
    </row>
    <row r="142" spans="1:21" x14ac:dyDescent="0.3">
      <c r="A142" s="49">
        <v>45938</v>
      </c>
      <c r="B142" s="42">
        <v>38522</v>
      </c>
      <c r="C142" s="42">
        <v>171456</v>
      </c>
      <c r="D142" s="42">
        <v>247113</v>
      </c>
      <c r="E142" s="42">
        <v>269141</v>
      </c>
      <c r="F142" s="42">
        <v>850986</v>
      </c>
      <c r="G142" s="42">
        <v>302948</v>
      </c>
      <c r="H142" s="42">
        <v>76276</v>
      </c>
      <c r="I142" s="42">
        <v>72824</v>
      </c>
      <c r="J142" s="42">
        <v>255773</v>
      </c>
      <c r="K142" s="42">
        <v>490496</v>
      </c>
      <c r="L142" s="42">
        <v>166386</v>
      </c>
      <c r="M142" s="42">
        <v>2028483</v>
      </c>
      <c r="N142" s="42">
        <v>1636257</v>
      </c>
      <c r="O142" s="42">
        <v>29306</v>
      </c>
      <c r="P142" s="42">
        <v>84609</v>
      </c>
      <c r="Q142" s="42">
        <v>289992</v>
      </c>
      <c r="R142" s="42">
        <v>1954874</v>
      </c>
      <c r="S142" s="43">
        <v>46994</v>
      </c>
      <c r="T142" s="42">
        <v>386467</v>
      </c>
      <c r="U142" s="4"/>
    </row>
    <row r="143" spans="1:21" x14ac:dyDescent="0.3">
      <c r="A143" s="49">
        <v>45937</v>
      </c>
      <c r="B143" s="42">
        <v>38717</v>
      </c>
      <c r="C143" s="42">
        <v>170970</v>
      </c>
      <c r="D143" s="42">
        <v>247550</v>
      </c>
      <c r="E143" s="42">
        <v>261636</v>
      </c>
      <c r="F143" s="42">
        <v>855286</v>
      </c>
      <c r="G143" s="42">
        <v>305134</v>
      </c>
      <c r="H143" s="42">
        <v>72345</v>
      </c>
      <c r="I143" s="42">
        <v>72046</v>
      </c>
      <c r="J143" s="42">
        <v>250850</v>
      </c>
      <c r="K143" s="42">
        <v>485559</v>
      </c>
      <c r="L143" s="42">
        <v>166474</v>
      </c>
      <c r="M143" s="42">
        <v>2036074</v>
      </c>
      <c r="N143" s="42">
        <v>1640321</v>
      </c>
      <c r="O143" s="42">
        <v>29001</v>
      </c>
      <c r="P143" s="42">
        <v>82515</v>
      </c>
      <c r="Q143" s="42">
        <v>285401</v>
      </c>
      <c r="R143" s="42">
        <v>1951558</v>
      </c>
      <c r="S143" s="43">
        <v>46572</v>
      </c>
      <c r="T143" s="42">
        <v>387003</v>
      </c>
      <c r="U143" s="4"/>
    </row>
    <row r="144" spans="1:21" x14ac:dyDescent="0.3">
      <c r="A144" s="49">
        <v>45936</v>
      </c>
      <c r="B144" s="42">
        <v>38214</v>
      </c>
      <c r="C144" s="42">
        <v>173056</v>
      </c>
      <c r="D144" s="42">
        <v>245678</v>
      </c>
      <c r="E144" s="42">
        <v>259248</v>
      </c>
      <c r="F144" s="42">
        <v>856846</v>
      </c>
      <c r="G144" s="42">
        <v>314202</v>
      </c>
      <c r="H144" s="42">
        <v>72837</v>
      </c>
      <c r="I144" s="42">
        <v>71962</v>
      </c>
      <c r="J144" s="42">
        <v>249040</v>
      </c>
      <c r="K144" s="42">
        <v>483672</v>
      </c>
      <c r="L144" s="42">
        <v>165728</v>
      </c>
      <c r="M144" s="42">
        <v>2041772</v>
      </c>
      <c r="N144" s="42">
        <v>1652462</v>
      </c>
      <c r="O144" s="42">
        <v>29567</v>
      </c>
      <c r="P144" s="42">
        <v>83685</v>
      </c>
      <c r="Q144" s="42">
        <v>286784</v>
      </c>
      <c r="R144" s="42">
        <v>1959711</v>
      </c>
      <c r="S144" s="43">
        <v>46755</v>
      </c>
      <c r="T144" s="42">
        <v>377445</v>
      </c>
      <c r="U144" s="4"/>
    </row>
    <row r="145" spans="1:21" x14ac:dyDescent="0.3">
      <c r="A145" s="49">
        <v>45933</v>
      </c>
      <c r="B145" s="42">
        <v>37577</v>
      </c>
      <c r="C145" s="42">
        <v>169711</v>
      </c>
      <c r="D145" s="42">
        <v>240717</v>
      </c>
      <c r="E145" s="42">
        <v>253504</v>
      </c>
      <c r="F145" s="42">
        <v>853481</v>
      </c>
      <c r="G145" s="42">
        <v>297351</v>
      </c>
      <c r="H145" s="42">
        <v>71063</v>
      </c>
      <c r="I145" s="42">
        <v>71475</v>
      </c>
      <c r="J145" s="42">
        <v>243936</v>
      </c>
      <c r="K145" s="42">
        <v>479525</v>
      </c>
      <c r="L145" s="42">
        <v>167130</v>
      </c>
      <c r="M145" s="42">
        <v>2045016</v>
      </c>
      <c r="N145" s="42">
        <v>1649566</v>
      </c>
      <c r="O145" s="42">
        <v>28926</v>
      </c>
      <c r="P145" s="42">
        <v>86406</v>
      </c>
      <c r="Q145" s="42">
        <v>279370</v>
      </c>
      <c r="R145" s="42">
        <v>1955343</v>
      </c>
      <c r="S145" s="43">
        <v>46512</v>
      </c>
      <c r="T145" s="42">
        <v>365847</v>
      </c>
      <c r="U145" s="4"/>
    </row>
    <row r="146" spans="1:21" x14ac:dyDescent="0.3">
      <c r="A146" s="49">
        <v>45932</v>
      </c>
      <c r="B146" s="42">
        <v>37473</v>
      </c>
      <c r="C146" s="42">
        <v>167198</v>
      </c>
      <c r="D146" s="42">
        <v>235587</v>
      </c>
      <c r="E146" s="42">
        <v>248602</v>
      </c>
      <c r="F146" s="42">
        <v>853264</v>
      </c>
      <c r="G146" s="42">
        <v>302702</v>
      </c>
      <c r="H146" s="42">
        <v>71391</v>
      </c>
      <c r="I146" s="42">
        <v>71590</v>
      </c>
      <c r="J146" s="42">
        <v>235864</v>
      </c>
      <c r="K146" s="42">
        <v>484786</v>
      </c>
      <c r="L146" s="42">
        <v>165704</v>
      </c>
      <c r="M146" s="42">
        <v>2034204</v>
      </c>
      <c r="N146" s="42">
        <v>1657719</v>
      </c>
      <c r="O146" s="42">
        <v>28283</v>
      </c>
      <c r="P146" s="42">
        <v>80608</v>
      </c>
      <c r="Q146" s="42">
        <v>282871</v>
      </c>
      <c r="R146" s="42">
        <v>1947110</v>
      </c>
      <c r="S146" s="43">
        <v>49747</v>
      </c>
      <c r="T146" s="42">
        <v>360343</v>
      </c>
      <c r="U146" s="4"/>
    </row>
    <row r="147" spans="1:21" x14ac:dyDescent="0.3">
      <c r="A147" s="49">
        <v>45931</v>
      </c>
      <c r="B147" s="42">
        <v>36733</v>
      </c>
      <c r="C147" s="42">
        <v>167437</v>
      </c>
      <c r="D147" s="42">
        <v>231842</v>
      </c>
      <c r="E147" s="42">
        <v>245662</v>
      </c>
      <c r="F147" s="42">
        <v>854549</v>
      </c>
      <c r="G147" s="42">
        <v>302505</v>
      </c>
      <c r="H147" s="42">
        <v>71051</v>
      </c>
      <c r="I147" s="42">
        <v>72599</v>
      </c>
      <c r="J147" s="42">
        <v>232655</v>
      </c>
      <c r="K147" s="42">
        <v>491059</v>
      </c>
      <c r="L147" s="42">
        <v>165273</v>
      </c>
      <c r="M147" s="42">
        <v>2018082</v>
      </c>
      <c r="N147" s="42">
        <v>1665212</v>
      </c>
      <c r="O147" s="42">
        <v>27564</v>
      </c>
      <c r="P147" s="42">
        <v>80274</v>
      </c>
      <c r="Q147" s="42">
        <v>283342</v>
      </c>
      <c r="R147" s="42">
        <v>1949657</v>
      </c>
      <c r="S147" s="43">
        <v>46325</v>
      </c>
      <c r="T147" s="42">
        <v>355934</v>
      </c>
      <c r="U147" s="4"/>
    </row>
    <row r="148" spans="1:21" x14ac:dyDescent="0.3">
      <c r="A148" s="49">
        <v>45930</v>
      </c>
      <c r="B148" s="42">
        <v>35699</v>
      </c>
      <c r="C148" s="42">
        <v>167976</v>
      </c>
      <c r="D148" s="42">
        <v>226426</v>
      </c>
      <c r="E148" s="42">
        <v>240191</v>
      </c>
      <c r="F148" s="42">
        <v>845775</v>
      </c>
      <c r="G148" s="42">
        <v>305711</v>
      </c>
      <c r="H148" s="42">
        <v>68651</v>
      </c>
      <c r="I148" s="42">
        <v>71950</v>
      </c>
      <c r="J148" s="42">
        <v>230658</v>
      </c>
      <c r="K148" s="42">
        <v>493748</v>
      </c>
      <c r="L148" s="42">
        <v>163837</v>
      </c>
      <c r="M148" s="42">
        <v>2006358</v>
      </c>
      <c r="N148" s="42">
        <v>1659086</v>
      </c>
      <c r="O148" s="42">
        <v>26874</v>
      </c>
      <c r="P148" s="42">
        <v>78830</v>
      </c>
      <c r="Q148" s="42">
        <v>278188</v>
      </c>
      <c r="R148" s="42">
        <v>1942253</v>
      </c>
      <c r="S148" s="43">
        <v>46325</v>
      </c>
      <c r="T148" s="42">
        <v>355192</v>
      </c>
      <c r="U148" s="4"/>
    </row>
    <row r="149" spans="1:21" x14ac:dyDescent="0.3">
      <c r="A149" s="49">
        <v>45929</v>
      </c>
      <c r="B149" s="42">
        <v>35703</v>
      </c>
      <c r="C149" s="42">
        <v>166188</v>
      </c>
      <c r="D149" s="42">
        <v>224629</v>
      </c>
      <c r="E149" s="42">
        <v>242673</v>
      </c>
      <c r="F149" s="42">
        <v>849029</v>
      </c>
      <c r="G149" s="42">
        <v>308535</v>
      </c>
      <c r="H149" s="42">
        <v>67148</v>
      </c>
      <c r="I149" s="42">
        <v>72302</v>
      </c>
      <c r="J149" s="42">
        <v>234218</v>
      </c>
      <c r="K149" s="42">
        <v>517465</v>
      </c>
      <c r="L149" s="42">
        <v>166174</v>
      </c>
      <c r="M149" s="42">
        <v>1984967</v>
      </c>
      <c r="N149" s="42">
        <v>1644502</v>
      </c>
      <c r="O149" s="42">
        <v>26601</v>
      </c>
      <c r="P149" s="42">
        <v>79002</v>
      </c>
      <c r="Q149" s="42">
        <v>273122</v>
      </c>
      <c r="R149" s="42">
        <v>1951131</v>
      </c>
      <c r="S149" s="43">
        <v>46818</v>
      </c>
      <c r="T149" s="42">
        <v>356238</v>
      </c>
      <c r="U149" s="4"/>
    </row>
    <row r="150" spans="1:21" x14ac:dyDescent="0.3">
      <c r="A150" s="49">
        <v>45926</v>
      </c>
      <c r="B150" s="42">
        <v>36389</v>
      </c>
      <c r="C150" s="42">
        <v>163324</v>
      </c>
      <c r="D150" s="42">
        <v>226931</v>
      </c>
      <c r="E150" s="42">
        <v>240401</v>
      </c>
      <c r="F150" s="42">
        <v>848823</v>
      </c>
      <c r="G150" s="42">
        <v>317836</v>
      </c>
      <c r="H150" s="42">
        <v>63700</v>
      </c>
      <c r="I150" s="42">
        <v>72238</v>
      </c>
      <c r="J150" s="42">
        <v>229994</v>
      </c>
      <c r="K150" s="42">
        <v>513357</v>
      </c>
      <c r="L150" s="42">
        <v>169643</v>
      </c>
      <c r="M150" s="42">
        <v>2000577</v>
      </c>
      <c r="N150" s="42">
        <v>1628131</v>
      </c>
      <c r="O150" s="42">
        <v>26994</v>
      </c>
      <c r="P150" s="42">
        <v>78027</v>
      </c>
      <c r="Q150" s="42">
        <v>271468</v>
      </c>
      <c r="R150" s="42">
        <v>1940671</v>
      </c>
      <c r="S150" s="43">
        <v>48551</v>
      </c>
      <c r="T150" s="42">
        <v>358685</v>
      </c>
      <c r="U150" s="4"/>
    </row>
    <row r="151" spans="1:21" x14ac:dyDescent="0.3">
      <c r="A151" s="49">
        <v>45925</v>
      </c>
      <c r="B151" s="42">
        <v>37026</v>
      </c>
      <c r="C151" s="42">
        <v>162378</v>
      </c>
      <c r="D151" s="42">
        <v>230715</v>
      </c>
      <c r="E151" s="42">
        <v>234479</v>
      </c>
      <c r="F151" s="42">
        <v>855054</v>
      </c>
      <c r="G151" s="42">
        <v>319780</v>
      </c>
      <c r="H151" s="42">
        <v>59680</v>
      </c>
      <c r="I151" s="42">
        <v>72459</v>
      </c>
      <c r="J151" s="42">
        <v>231950</v>
      </c>
      <c r="K151" s="42">
        <v>516312</v>
      </c>
      <c r="L151" s="42">
        <v>167627</v>
      </c>
      <c r="M151" s="42">
        <v>1968908</v>
      </c>
      <c r="N151" s="42">
        <v>1621794</v>
      </c>
      <c r="O151" s="42">
        <v>26939</v>
      </c>
      <c r="P151" s="42">
        <v>74684</v>
      </c>
      <c r="Q151" s="42">
        <v>276236</v>
      </c>
      <c r="R151" s="42">
        <v>1949743</v>
      </c>
      <c r="S151" s="43">
        <v>50568</v>
      </c>
      <c r="T151" s="42">
        <v>365013</v>
      </c>
      <c r="U151" s="4"/>
    </row>
    <row r="152" spans="1:21" x14ac:dyDescent="0.3">
      <c r="A152" s="49">
        <v>45924</v>
      </c>
      <c r="B152" s="42">
        <v>40671</v>
      </c>
      <c r="C152" s="42">
        <v>160820</v>
      </c>
      <c r="D152" s="42">
        <v>232238</v>
      </c>
      <c r="E152" s="42">
        <v>226731</v>
      </c>
      <c r="F152" s="42">
        <v>859010</v>
      </c>
      <c r="G152" s="42">
        <v>316662</v>
      </c>
      <c r="H152" s="42">
        <v>57219</v>
      </c>
      <c r="I152" s="42">
        <v>72408</v>
      </c>
      <c r="J152" s="42">
        <v>233519</v>
      </c>
      <c r="K152" s="42">
        <v>526067</v>
      </c>
      <c r="L152" s="42">
        <v>166138</v>
      </c>
      <c r="M152" s="42">
        <v>1958744</v>
      </c>
      <c r="N152" s="42">
        <v>1625464</v>
      </c>
      <c r="O152" s="42">
        <v>27413</v>
      </c>
      <c r="P152" s="42">
        <v>76464</v>
      </c>
      <c r="Q152" s="42">
        <v>274312</v>
      </c>
      <c r="R152" s="42">
        <v>1939432</v>
      </c>
      <c r="S152" s="43">
        <v>48425</v>
      </c>
      <c r="T152" s="42">
        <v>366573</v>
      </c>
      <c r="U152" s="4"/>
    </row>
    <row r="153" spans="1:21" x14ac:dyDescent="0.3">
      <c r="A153" s="49">
        <v>45923</v>
      </c>
      <c r="B153" s="42">
        <v>40441</v>
      </c>
      <c r="C153" s="42">
        <v>160854</v>
      </c>
      <c r="D153" s="42">
        <v>233166</v>
      </c>
      <c r="E153" s="42">
        <v>212186</v>
      </c>
      <c r="F153" s="42">
        <v>859215</v>
      </c>
      <c r="G153" s="42">
        <v>309893</v>
      </c>
      <c r="H153" s="42">
        <v>56346</v>
      </c>
      <c r="I153" s="42">
        <v>72030</v>
      </c>
      <c r="J153" s="42">
        <v>227318</v>
      </c>
      <c r="K153" s="42">
        <v>528789</v>
      </c>
      <c r="L153" s="42">
        <v>165805</v>
      </c>
      <c r="M153" s="42">
        <v>1936690</v>
      </c>
      <c r="N153" s="42">
        <v>1626777</v>
      </c>
      <c r="O153" s="42">
        <v>27809</v>
      </c>
      <c r="P153" s="42">
        <v>78112</v>
      </c>
      <c r="Q153" s="42">
        <v>274695</v>
      </c>
      <c r="R153" s="42">
        <v>1950995</v>
      </c>
      <c r="S153" s="43">
        <v>47629</v>
      </c>
      <c r="T153" s="42">
        <v>369261</v>
      </c>
      <c r="U153" s="4"/>
    </row>
    <row r="154" spans="1:21" x14ac:dyDescent="0.3">
      <c r="A154" s="49">
        <v>45922</v>
      </c>
      <c r="B154" s="42">
        <v>39620</v>
      </c>
      <c r="C154" s="42">
        <v>157386</v>
      </c>
      <c r="D154" s="42">
        <v>233817</v>
      </c>
      <c r="E154" s="42">
        <v>211897</v>
      </c>
      <c r="F154" s="42">
        <v>855451</v>
      </c>
      <c r="G154" s="42">
        <v>307877</v>
      </c>
      <c r="H154" s="42">
        <v>56112</v>
      </c>
      <c r="I154" s="42">
        <v>71809</v>
      </c>
      <c r="J154" s="42">
        <v>224837</v>
      </c>
      <c r="K154" s="42">
        <v>530457</v>
      </c>
      <c r="L154" s="42">
        <v>167003</v>
      </c>
      <c r="M154" s="42">
        <v>1933585</v>
      </c>
      <c r="N154" s="42">
        <v>1619304</v>
      </c>
      <c r="O154" s="42">
        <v>28334</v>
      </c>
      <c r="P154" s="42">
        <v>78398</v>
      </c>
      <c r="Q154" s="42">
        <v>277728</v>
      </c>
      <c r="R154" s="42">
        <v>1937172</v>
      </c>
      <c r="S154" s="43">
        <v>46735</v>
      </c>
      <c r="T154" s="42">
        <v>403317</v>
      </c>
      <c r="U154" s="4"/>
    </row>
    <row r="155" spans="1:21" x14ac:dyDescent="0.3">
      <c r="A155" s="49">
        <v>45919</v>
      </c>
      <c r="B155" s="42">
        <v>39610</v>
      </c>
      <c r="C155" s="42">
        <v>152347</v>
      </c>
      <c r="D155" s="42">
        <v>233942</v>
      </c>
      <c r="E155" s="42">
        <v>209215</v>
      </c>
      <c r="F155" s="42">
        <v>852655</v>
      </c>
      <c r="G155" s="42">
        <v>305390</v>
      </c>
      <c r="H155" s="42">
        <v>54754</v>
      </c>
      <c r="I155" s="42">
        <v>70492</v>
      </c>
      <c r="J155" s="42">
        <v>224836</v>
      </c>
      <c r="K155" s="42">
        <v>522306</v>
      </c>
      <c r="L155" s="42">
        <v>163057</v>
      </c>
      <c r="M155" s="42">
        <v>1947422</v>
      </c>
      <c r="N155" s="42">
        <v>1615896</v>
      </c>
      <c r="O155" s="42">
        <v>29166</v>
      </c>
      <c r="P155" s="42">
        <v>97356</v>
      </c>
      <c r="Q155" s="42">
        <v>345195</v>
      </c>
      <c r="R155" s="42">
        <v>2368571</v>
      </c>
      <c r="S155" s="43">
        <v>47336</v>
      </c>
      <c r="T155" s="42">
        <v>486978</v>
      </c>
      <c r="U155" s="4"/>
    </row>
    <row r="156" spans="1:21" x14ac:dyDescent="0.3">
      <c r="A156" s="49">
        <v>45918</v>
      </c>
      <c r="B156" s="42">
        <v>38509</v>
      </c>
      <c r="C156" s="42">
        <v>153753</v>
      </c>
      <c r="D156" s="42">
        <v>235552</v>
      </c>
      <c r="E156" s="42">
        <v>207017</v>
      </c>
      <c r="F156" s="42">
        <v>852084</v>
      </c>
      <c r="G156" s="42">
        <v>306173</v>
      </c>
      <c r="H156" s="42">
        <v>53206</v>
      </c>
      <c r="I156" s="42">
        <v>70776</v>
      </c>
      <c r="J156" s="42">
        <v>224082</v>
      </c>
      <c r="K156" s="42">
        <v>515612</v>
      </c>
      <c r="L156" s="42">
        <v>160988</v>
      </c>
      <c r="M156" s="42">
        <v>1950184</v>
      </c>
      <c r="N156" s="42">
        <v>1617272</v>
      </c>
      <c r="O156" s="42">
        <v>29822</v>
      </c>
      <c r="P156" s="42">
        <v>95773</v>
      </c>
      <c r="Q156" s="42">
        <v>340391</v>
      </c>
      <c r="R156" s="42">
        <v>2410938</v>
      </c>
      <c r="S156" s="43">
        <v>60274</v>
      </c>
      <c r="T156" s="42">
        <v>483844</v>
      </c>
      <c r="U156" s="4"/>
    </row>
    <row r="157" spans="1:21" x14ac:dyDescent="0.3">
      <c r="A157" s="49">
        <v>45917</v>
      </c>
      <c r="B157" s="42">
        <v>39506</v>
      </c>
      <c r="C157" s="42">
        <v>154943</v>
      </c>
      <c r="D157" s="42">
        <v>237148</v>
      </c>
      <c r="E157" s="42">
        <v>205782</v>
      </c>
      <c r="F157" s="42">
        <v>854854</v>
      </c>
      <c r="G157" s="42">
        <v>299712</v>
      </c>
      <c r="H157" s="42">
        <v>52319</v>
      </c>
      <c r="I157" s="42">
        <v>71405</v>
      </c>
      <c r="J157" s="42">
        <v>222938</v>
      </c>
      <c r="K157" s="42">
        <v>517578</v>
      </c>
      <c r="L157" s="42">
        <v>160889</v>
      </c>
      <c r="M157" s="42">
        <v>1935192</v>
      </c>
      <c r="N157" s="42">
        <v>1625108</v>
      </c>
      <c r="O157" s="42">
        <v>28888</v>
      </c>
      <c r="P157" s="42">
        <v>96446</v>
      </c>
      <c r="Q157" s="42">
        <v>343827</v>
      </c>
      <c r="R157" s="42">
        <v>2427173</v>
      </c>
      <c r="S157" s="43">
        <v>63021</v>
      </c>
      <c r="T157" s="42">
        <v>477388</v>
      </c>
      <c r="U157" s="4"/>
    </row>
    <row r="158" spans="1:21" x14ac:dyDescent="0.3">
      <c r="A158" s="49">
        <v>45916</v>
      </c>
      <c r="B158" s="42">
        <v>38526</v>
      </c>
      <c r="C158" s="42">
        <v>189862</v>
      </c>
      <c r="D158" s="42">
        <v>341606</v>
      </c>
      <c r="E158" s="42">
        <v>266847</v>
      </c>
      <c r="F158" s="42">
        <v>1007322</v>
      </c>
      <c r="G158" s="42">
        <v>381583</v>
      </c>
      <c r="H158" s="42">
        <v>66809</v>
      </c>
      <c r="I158" s="42">
        <v>103367</v>
      </c>
      <c r="J158" s="42">
        <v>221011</v>
      </c>
      <c r="K158" s="42">
        <v>516221</v>
      </c>
      <c r="L158" s="42">
        <v>162954</v>
      </c>
      <c r="M158" s="42">
        <v>1962620</v>
      </c>
      <c r="N158" s="42">
        <v>1638680</v>
      </c>
      <c r="O158" s="42">
        <v>28844</v>
      </c>
      <c r="P158" s="42">
        <v>98350</v>
      </c>
      <c r="Q158" s="42">
        <v>351421</v>
      </c>
      <c r="R158" s="42">
        <v>2435899</v>
      </c>
      <c r="S158" s="43">
        <v>75962</v>
      </c>
      <c r="T158" s="42">
        <v>477326</v>
      </c>
      <c r="U158" s="4"/>
    </row>
    <row r="159" spans="1:21" x14ac:dyDescent="0.3">
      <c r="A159" s="49">
        <v>45915</v>
      </c>
      <c r="B159" s="42">
        <v>37035</v>
      </c>
      <c r="C159" s="42">
        <v>188689</v>
      </c>
      <c r="D159" s="42">
        <v>339059</v>
      </c>
      <c r="E159" s="42">
        <v>266525</v>
      </c>
      <c r="F159" s="42">
        <v>994633</v>
      </c>
      <c r="G159" s="42">
        <v>374651</v>
      </c>
      <c r="H159" s="42">
        <v>66936</v>
      </c>
      <c r="I159" s="42">
        <v>101719</v>
      </c>
      <c r="J159" s="42">
        <v>219015</v>
      </c>
      <c r="K159" s="42">
        <v>519611</v>
      </c>
      <c r="L159" s="42">
        <v>162391</v>
      </c>
      <c r="M159" s="42">
        <v>1950092</v>
      </c>
      <c r="N159" s="42">
        <v>1640370</v>
      </c>
      <c r="O159" s="42">
        <v>28195</v>
      </c>
      <c r="P159" s="42">
        <v>94848</v>
      </c>
      <c r="Q159" s="42">
        <v>343734</v>
      </c>
      <c r="R159" s="42">
        <v>2340981</v>
      </c>
      <c r="S159" s="43">
        <v>66638</v>
      </c>
      <c r="T159" s="42">
        <v>477986</v>
      </c>
      <c r="U159" s="4"/>
    </row>
    <row r="160" spans="1:21" x14ac:dyDescent="0.3">
      <c r="A160" s="49">
        <v>45912</v>
      </c>
      <c r="B160" s="42">
        <v>46416</v>
      </c>
      <c r="C160" s="42">
        <v>185747</v>
      </c>
      <c r="D160" s="42">
        <v>333953</v>
      </c>
      <c r="E160" s="42">
        <v>269037</v>
      </c>
      <c r="F160" s="42">
        <v>977744</v>
      </c>
      <c r="G160" s="42">
        <v>376459</v>
      </c>
      <c r="H160" s="42">
        <v>66282</v>
      </c>
      <c r="I160" s="42">
        <v>99699</v>
      </c>
      <c r="J160" s="42">
        <v>215756</v>
      </c>
      <c r="K160" s="42">
        <v>512181</v>
      </c>
      <c r="L160" s="42">
        <v>161263</v>
      </c>
      <c r="M160" s="42">
        <v>1966611</v>
      </c>
      <c r="N160" s="42">
        <v>1645968</v>
      </c>
      <c r="O160" s="42">
        <v>28400</v>
      </c>
      <c r="P160" s="42">
        <v>93033</v>
      </c>
      <c r="Q160" s="42">
        <v>315208</v>
      </c>
      <c r="R160" s="42">
        <v>2109543</v>
      </c>
      <c r="S160" s="43">
        <v>56511</v>
      </c>
      <c r="T160" s="42">
        <v>448829</v>
      </c>
      <c r="U160" s="4"/>
    </row>
    <row r="161" spans="1:21" x14ac:dyDescent="0.3">
      <c r="A161" s="49">
        <v>45911</v>
      </c>
      <c r="B161" s="42">
        <v>45599</v>
      </c>
      <c r="C161" s="42">
        <v>184539</v>
      </c>
      <c r="D161" s="42">
        <v>354987</v>
      </c>
      <c r="E161" s="42">
        <v>266316</v>
      </c>
      <c r="F161" s="42">
        <v>985204</v>
      </c>
      <c r="G161" s="42">
        <v>391176</v>
      </c>
      <c r="H161" s="42">
        <v>64134</v>
      </c>
      <c r="I161" s="42">
        <v>111936</v>
      </c>
      <c r="J161" s="42">
        <v>215195</v>
      </c>
      <c r="K161" s="42">
        <v>510383</v>
      </c>
      <c r="L161" s="42">
        <v>159829</v>
      </c>
      <c r="M161" s="42">
        <v>1952515</v>
      </c>
      <c r="N161" s="42">
        <v>1639492</v>
      </c>
      <c r="O161" s="42">
        <v>27874</v>
      </c>
      <c r="P161" s="42">
        <v>88953</v>
      </c>
      <c r="Q161" s="42">
        <v>301191</v>
      </c>
      <c r="R161" s="42">
        <v>2074388</v>
      </c>
      <c r="S161" s="43">
        <v>49363</v>
      </c>
      <c r="T161" s="42">
        <v>429895</v>
      </c>
      <c r="U161" s="4"/>
    </row>
    <row r="162" spans="1:21" x14ac:dyDescent="0.3">
      <c r="A162" s="49">
        <v>45910</v>
      </c>
      <c r="B162" s="42">
        <v>42092</v>
      </c>
      <c r="C162" s="42">
        <v>196675</v>
      </c>
      <c r="D162" s="42">
        <v>350139</v>
      </c>
      <c r="E162" s="42">
        <v>292637</v>
      </c>
      <c r="F162" s="42">
        <v>925285</v>
      </c>
      <c r="G162" s="42">
        <v>398729</v>
      </c>
      <c r="H162" s="42">
        <v>63306</v>
      </c>
      <c r="I162" s="42">
        <v>109264</v>
      </c>
      <c r="J162" s="42">
        <v>211559</v>
      </c>
      <c r="K162" s="42">
        <v>510076</v>
      </c>
      <c r="L162" s="42">
        <v>157073</v>
      </c>
      <c r="M162" s="42">
        <v>1950133</v>
      </c>
      <c r="N162" s="42">
        <v>1635630</v>
      </c>
      <c r="O162" s="42">
        <v>27422</v>
      </c>
      <c r="P162" s="42">
        <v>86276</v>
      </c>
      <c r="Q162" s="42">
        <v>294045</v>
      </c>
      <c r="R162" s="42">
        <v>2041579</v>
      </c>
      <c r="S162" s="43">
        <v>48302</v>
      </c>
      <c r="T162" s="42">
        <v>425761</v>
      </c>
      <c r="U162" s="4"/>
    </row>
    <row r="163" spans="1:21" x14ac:dyDescent="0.3">
      <c r="A163" s="49">
        <v>45909</v>
      </c>
      <c r="B163" s="42">
        <v>38029</v>
      </c>
      <c r="C163" s="42">
        <v>208092</v>
      </c>
      <c r="D163" s="42">
        <v>322879</v>
      </c>
      <c r="E163" s="42">
        <v>249304</v>
      </c>
      <c r="F163" s="42">
        <v>878104</v>
      </c>
      <c r="G163" s="42">
        <v>410799</v>
      </c>
      <c r="H163" s="42">
        <v>71602</v>
      </c>
      <c r="I163" s="42">
        <v>105100</v>
      </c>
      <c r="J163" s="42">
        <v>208356</v>
      </c>
      <c r="K163" s="42">
        <v>509625</v>
      </c>
      <c r="L163" s="42">
        <v>156703</v>
      </c>
      <c r="M163" s="42">
        <v>1957115</v>
      </c>
      <c r="N163" s="42">
        <v>1631092</v>
      </c>
      <c r="O163" s="42">
        <v>26930</v>
      </c>
      <c r="P163" s="42">
        <v>87037</v>
      </c>
      <c r="Q163" s="42">
        <v>296970</v>
      </c>
      <c r="R163" s="42">
        <v>2035158</v>
      </c>
      <c r="S163" s="43">
        <v>46493</v>
      </c>
      <c r="T163" s="42">
        <v>423895</v>
      </c>
      <c r="U163" s="4"/>
    </row>
    <row r="164" spans="1:21" x14ac:dyDescent="0.3">
      <c r="A164" s="49">
        <v>45908</v>
      </c>
      <c r="B164" s="42">
        <v>36516</v>
      </c>
      <c r="C164" s="42">
        <v>188486</v>
      </c>
      <c r="D164" s="42">
        <v>293232</v>
      </c>
      <c r="E164" s="42">
        <v>261155</v>
      </c>
      <c r="F164" s="42">
        <v>860685</v>
      </c>
      <c r="G164" s="42">
        <v>428897</v>
      </c>
      <c r="H164" s="42">
        <v>68295</v>
      </c>
      <c r="I164" s="42">
        <v>105744</v>
      </c>
      <c r="J164" s="42">
        <v>204991</v>
      </c>
      <c r="K164" s="42">
        <v>503285</v>
      </c>
      <c r="L164" s="42">
        <v>157925</v>
      </c>
      <c r="M164" s="42">
        <v>1974962</v>
      </c>
      <c r="N164" s="42">
        <v>1634935</v>
      </c>
      <c r="O164" s="42">
        <v>26653</v>
      </c>
      <c r="P164" s="42">
        <v>86932</v>
      </c>
      <c r="Q164" s="42">
        <v>292409</v>
      </c>
      <c r="R164" s="42">
        <v>2018471</v>
      </c>
      <c r="S164" s="43">
        <v>47367</v>
      </c>
      <c r="T164" s="42">
        <v>422849</v>
      </c>
      <c r="U164" s="4"/>
    </row>
    <row r="165" spans="1:21" x14ac:dyDescent="0.3">
      <c r="A165" s="49">
        <v>45905</v>
      </c>
      <c r="B165" s="42">
        <v>34945</v>
      </c>
      <c r="C165" s="42">
        <v>188727</v>
      </c>
      <c r="D165" s="42">
        <v>289468</v>
      </c>
      <c r="E165" s="42">
        <v>248517</v>
      </c>
      <c r="F165" s="42">
        <v>870324</v>
      </c>
      <c r="G165" s="42">
        <v>423543</v>
      </c>
      <c r="H165" s="42">
        <v>65046</v>
      </c>
      <c r="I165" s="42">
        <v>87826</v>
      </c>
      <c r="J165" s="42">
        <v>202520</v>
      </c>
      <c r="K165" s="42">
        <v>501157</v>
      </c>
      <c r="L165" s="42">
        <v>156652</v>
      </c>
      <c r="M165" s="42">
        <v>1975101</v>
      </c>
      <c r="N165" s="42">
        <v>1628198</v>
      </c>
      <c r="O165" s="42">
        <v>26815</v>
      </c>
      <c r="P165" s="42">
        <v>86774</v>
      </c>
      <c r="Q165" s="42">
        <v>291712</v>
      </c>
      <c r="R165" s="42">
        <v>2010175</v>
      </c>
      <c r="S165" s="43">
        <v>46579</v>
      </c>
      <c r="T165" s="42">
        <v>413661</v>
      </c>
      <c r="U165" s="4"/>
    </row>
    <row r="166" spans="1:21" x14ac:dyDescent="0.3">
      <c r="A166" s="49">
        <v>45904</v>
      </c>
      <c r="B166" s="42">
        <v>32526</v>
      </c>
      <c r="C166" s="42">
        <v>182661</v>
      </c>
      <c r="D166" s="42">
        <v>244690</v>
      </c>
      <c r="E166" s="42">
        <v>233408</v>
      </c>
      <c r="F166" s="42">
        <v>850688</v>
      </c>
      <c r="G166" s="42">
        <v>423833</v>
      </c>
      <c r="H166" s="42">
        <v>59246</v>
      </c>
      <c r="I166" s="42">
        <v>86787</v>
      </c>
      <c r="J166" s="42">
        <v>201476</v>
      </c>
      <c r="K166" s="42">
        <v>495368</v>
      </c>
      <c r="L166" s="42">
        <v>157092</v>
      </c>
      <c r="M166" s="42">
        <v>1980265</v>
      </c>
      <c r="N166" s="42">
        <v>1621062</v>
      </c>
      <c r="O166" s="42">
        <v>26757</v>
      </c>
      <c r="P166" s="42">
        <v>85193</v>
      </c>
      <c r="Q166" s="42">
        <v>289104</v>
      </c>
      <c r="R166" s="42">
        <v>2022077</v>
      </c>
      <c r="S166" s="43">
        <v>46099</v>
      </c>
      <c r="T166" s="42">
        <v>414671</v>
      </c>
      <c r="U166" s="4"/>
    </row>
    <row r="167" spans="1:21" x14ac:dyDescent="0.3">
      <c r="A167" s="49">
        <v>45903</v>
      </c>
      <c r="B167" s="42">
        <v>32762</v>
      </c>
      <c r="C167" s="42">
        <v>186497</v>
      </c>
      <c r="D167" s="42">
        <v>241999</v>
      </c>
      <c r="E167" s="42">
        <v>228202</v>
      </c>
      <c r="F167" s="42">
        <v>860866</v>
      </c>
      <c r="G167" s="42">
        <v>426568</v>
      </c>
      <c r="H167" s="42">
        <v>58520</v>
      </c>
      <c r="I167" s="42">
        <v>82947</v>
      </c>
      <c r="J167" s="42">
        <v>200267</v>
      </c>
      <c r="K167" s="42">
        <v>494776</v>
      </c>
      <c r="L167" s="42">
        <v>158277</v>
      </c>
      <c r="M167" s="42">
        <v>1980320</v>
      </c>
      <c r="N167" s="42">
        <v>1615180</v>
      </c>
      <c r="O167" s="42">
        <v>26875</v>
      </c>
      <c r="P167" s="42">
        <v>83028</v>
      </c>
      <c r="Q167" s="42">
        <v>283253</v>
      </c>
      <c r="R167" s="42">
        <v>2001250</v>
      </c>
      <c r="S167" s="43">
        <v>47124</v>
      </c>
      <c r="T167" s="42">
        <v>413262</v>
      </c>
      <c r="U167" s="4"/>
    </row>
    <row r="168" spans="1:21" x14ac:dyDescent="0.3">
      <c r="A168" s="49">
        <v>45902</v>
      </c>
      <c r="B168" s="42">
        <v>31502</v>
      </c>
      <c r="C168" s="42">
        <v>185048</v>
      </c>
      <c r="D168" s="42">
        <v>226437</v>
      </c>
      <c r="E168" s="42">
        <v>225322</v>
      </c>
      <c r="F168" s="42">
        <v>845820</v>
      </c>
      <c r="G168" s="42">
        <v>414249</v>
      </c>
      <c r="H168" s="42">
        <v>55035</v>
      </c>
      <c r="I168" s="42">
        <v>80906</v>
      </c>
      <c r="J168" s="42">
        <v>195673</v>
      </c>
      <c r="K168" s="42">
        <v>492908</v>
      </c>
      <c r="L168" s="42">
        <v>158368</v>
      </c>
      <c r="M168" s="42">
        <v>1987861</v>
      </c>
      <c r="N168" s="42">
        <v>1635669</v>
      </c>
      <c r="O168" s="42">
        <v>26684</v>
      </c>
      <c r="P168" s="42">
        <v>82004</v>
      </c>
      <c r="Q168" s="42">
        <v>282221</v>
      </c>
      <c r="R168" s="42">
        <v>1997661</v>
      </c>
      <c r="S168" s="43">
        <v>49936</v>
      </c>
      <c r="T168" s="42">
        <v>411921</v>
      </c>
      <c r="U168" s="4"/>
    </row>
    <row r="169" spans="1:21" x14ac:dyDescent="0.3">
      <c r="A169" s="49">
        <v>45901</v>
      </c>
      <c r="B169" s="42">
        <v>31670</v>
      </c>
      <c r="C169" s="42">
        <v>191514</v>
      </c>
      <c r="D169" s="42">
        <v>221249</v>
      </c>
      <c r="E169" s="42">
        <v>222736</v>
      </c>
      <c r="F169" s="42">
        <v>835072</v>
      </c>
      <c r="G169" s="42">
        <v>367021</v>
      </c>
      <c r="H169" s="42">
        <v>53685</v>
      </c>
      <c r="I169" s="42">
        <v>80052</v>
      </c>
      <c r="J169" s="42">
        <v>190378</v>
      </c>
      <c r="K169" s="42">
        <v>471240</v>
      </c>
      <c r="L169" s="42">
        <v>153979</v>
      </c>
      <c r="M169" s="42">
        <v>1952716</v>
      </c>
      <c r="N169" s="42">
        <v>1632174</v>
      </c>
      <c r="O169" s="42">
        <v>27404</v>
      </c>
      <c r="P169" s="42">
        <v>83970</v>
      </c>
      <c r="Q169" s="42">
        <v>283648</v>
      </c>
      <c r="R169" s="42">
        <v>2005550</v>
      </c>
      <c r="S169" s="43">
        <v>43071</v>
      </c>
      <c r="T169" s="42">
        <v>412097</v>
      </c>
      <c r="U169" s="4"/>
    </row>
    <row r="170" spans="1:21" x14ac:dyDescent="0.3">
      <c r="A170" s="49">
        <v>45898</v>
      </c>
      <c r="B170" s="42">
        <v>31635</v>
      </c>
      <c r="C170" s="42">
        <v>191514</v>
      </c>
      <c r="D170" s="42">
        <v>221249</v>
      </c>
      <c r="E170" s="42">
        <v>222736</v>
      </c>
      <c r="F170" s="42">
        <v>835072</v>
      </c>
      <c r="G170" s="42">
        <v>367021</v>
      </c>
      <c r="H170" s="42">
        <v>53685</v>
      </c>
      <c r="I170" s="42">
        <v>80052</v>
      </c>
      <c r="J170" s="42">
        <v>190378</v>
      </c>
      <c r="K170" s="42">
        <v>471240</v>
      </c>
      <c r="L170" s="42">
        <v>153979</v>
      </c>
      <c r="M170" s="42">
        <v>1952716</v>
      </c>
      <c r="N170" s="42">
        <v>1632174</v>
      </c>
      <c r="O170" s="42">
        <v>27404</v>
      </c>
      <c r="P170" s="42">
        <v>83970</v>
      </c>
      <c r="Q170" s="42">
        <v>283648</v>
      </c>
      <c r="R170" s="42">
        <v>2005550</v>
      </c>
      <c r="S170" s="43">
        <v>46744</v>
      </c>
      <c r="T170" s="42">
        <v>412097</v>
      </c>
      <c r="U170" s="4"/>
    </row>
    <row r="171" spans="1:21" x14ac:dyDescent="0.3">
      <c r="A171" s="49">
        <v>45897</v>
      </c>
      <c r="B171" s="42">
        <v>31055</v>
      </c>
      <c r="C171" s="42">
        <v>196253</v>
      </c>
      <c r="D171" s="42">
        <v>220172</v>
      </c>
      <c r="E171" s="42">
        <v>227129</v>
      </c>
      <c r="F171" s="42">
        <v>835817</v>
      </c>
      <c r="G171" s="42">
        <v>365677</v>
      </c>
      <c r="H171" s="42">
        <v>54223</v>
      </c>
      <c r="I171" s="42">
        <v>79666</v>
      </c>
      <c r="J171" s="42">
        <v>191711</v>
      </c>
      <c r="K171" s="42">
        <v>456226</v>
      </c>
      <c r="L171" s="42">
        <v>156057</v>
      </c>
      <c r="M171" s="42">
        <v>1947065</v>
      </c>
      <c r="N171" s="42">
        <v>1619965</v>
      </c>
      <c r="O171" s="42">
        <v>27142</v>
      </c>
      <c r="P171" s="42">
        <v>84681</v>
      </c>
      <c r="Q171" s="42">
        <v>291229</v>
      </c>
      <c r="R171" s="42">
        <v>2014217</v>
      </c>
      <c r="S171" s="43">
        <v>45420</v>
      </c>
      <c r="T171" s="42">
        <v>412706</v>
      </c>
      <c r="U171" s="4"/>
    </row>
    <row r="172" spans="1:21" x14ac:dyDescent="0.3">
      <c r="A172" s="49">
        <v>45896</v>
      </c>
      <c r="B172" s="42">
        <v>30372</v>
      </c>
      <c r="C172" s="42">
        <v>191485</v>
      </c>
      <c r="D172" s="42">
        <v>218884</v>
      </c>
      <c r="E172" s="42">
        <v>230339</v>
      </c>
      <c r="F172" s="42">
        <v>836519</v>
      </c>
      <c r="G172" s="42">
        <v>365922</v>
      </c>
      <c r="H172" s="42">
        <v>54571</v>
      </c>
      <c r="I172" s="42">
        <v>79377</v>
      </c>
      <c r="J172" s="42">
        <v>188951</v>
      </c>
      <c r="K172" s="42">
        <v>448916</v>
      </c>
      <c r="L172" s="42">
        <v>154213</v>
      </c>
      <c r="M172" s="42">
        <v>1934282</v>
      </c>
      <c r="N172" s="42">
        <v>1622403</v>
      </c>
      <c r="O172" s="42">
        <v>27735</v>
      </c>
      <c r="P172" s="42">
        <v>85214</v>
      </c>
      <c r="Q172" s="42">
        <v>282869</v>
      </c>
      <c r="R172" s="42">
        <v>2005642</v>
      </c>
      <c r="S172" s="43">
        <v>46084</v>
      </c>
      <c r="T172" s="42">
        <v>413823</v>
      </c>
      <c r="U172" s="4"/>
    </row>
    <row r="173" spans="1:21" x14ac:dyDescent="0.3">
      <c r="A173" s="49">
        <v>45895</v>
      </c>
      <c r="B173" s="42">
        <v>31488</v>
      </c>
      <c r="C173" s="42">
        <v>191207</v>
      </c>
      <c r="D173" s="42">
        <v>219906</v>
      </c>
      <c r="E173" s="42">
        <v>227180</v>
      </c>
      <c r="F173" s="42">
        <v>842215</v>
      </c>
      <c r="G173" s="42">
        <v>357366</v>
      </c>
      <c r="H173" s="42">
        <v>53094</v>
      </c>
      <c r="I173" s="42">
        <v>78933</v>
      </c>
      <c r="J173" s="42">
        <v>190049</v>
      </c>
      <c r="K173" s="42">
        <v>443760</v>
      </c>
      <c r="L173" s="42">
        <v>158630</v>
      </c>
      <c r="M173" s="42">
        <v>1912554</v>
      </c>
      <c r="N173" s="42">
        <v>1619404</v>
      </c>
      <c r="O173" s="42">
        <v>27481</v>
      </c>
      <c r="P173" s="42">
        <v>84505</v>
      </c>
      <c r="Q173" s="42">
        <v>284355</v>
      </c>
      <c r="R173" s="42">
        <v>2018365</v>
      </c>
      <c r="S173" s="43">
        <v>47044</v>
      </c>
      <c r="T173" s="42">
        <v>411590</v>
      </c>
      <c r="U173" s="4"/>
    </row>
    <row r="174" spans="1:21" x14ac:dyDescent="0.3">
      <c r="A174" s="49">
        <v>45894</v>
      </c>
      <c r="B174" s="42">
        <v>29417</v>
      </c>
      <c r="C174" s="42">
        <v>188914</v>
      </c>
      <c r="D174" s="42">
        <v>220295</v>
      </c>
      <c r="E174" s="42">
        <v>224694</v>
      </c>
      <c r="F174" s="42">
        <v>844501</v>
      </c>
      <c r="G174" s="42">
        <v>350733</v>
      </c>
      <c r="H174" s="42">
        <v>52344</v>
      </c>
      <c r="I174" s="42">
        <v>78726</v>
      </c>
      <c r="J174" s="42">
        <v>192441</v>
      </c>
      <c r="K174" s="42">
        <v>442378</v>
      </c>
      <c r="L174" s="42">
        <v>160952</v>
      </c>
      <c r="M174" s="42">
        <v>1911498</v>
      </c>
      <c r="N174" s="42">
        <v>1632671</v>
      </c>
      <c r="O174" s="42">
        <v>27476</v>
      </c>
      <c r="P174" s="42">
        <v>85613</v>
      </c>
      <c r="Q174" s="42">
        <v>284630</v>
      </c>
      <c r="R174" s="42">
        <v>1978257</v>
      </c>
      <c r="S174" s="43">
        <v>45446</v>
      </c>
      <c r="T174" s="42">
        <v>412051</v>
      </c>
      <c r="U174" s="4"/>
    </row>
    <row r="175" spans="1:21" x14ac:dyDescent="0.3">
      <c r="A175" s="49">
        <v>45891</v>
      </c>
      <c r="B175" s="42">
        <v>30627</v>
      </c>
      <c r="C175" s="42">
        <v>192170</v>
      </c>
      <c r="D175" s="42">
        <v>219757</v>
      </c>
      <c r="E175" s="42">
        <v>227891</v>
      </c>
      <c r="F175" s="42">
        <v>838837</v>
      </c>
      <c r="G175" s="42">
        <v>351915</v>
      </c>
      <c r="H175" s="42">
        <v>54446</v>
      </c>
      <c r="I175" s="42">
        <v>80777</v>
      </c>
      <c r="J175" s="42">
        <v>193487</v>
      </c>
      <c r="K175" s="42">
        <v>438806</v>
      </c>
      <c r="L175" s="42">
        <v>160430</v>
      </c>
      <c r="M175" s="42">
        <v>1928745</v>
      </c>
      <c r="N175" s="42">
        <v>1629466</v>
      </c>
      <c r="O175" s="42">
        <v>27900</v>
      </c>
      <c r="P175" s="42">
        <v>86584</v>
      </c>
      <c r="Q175" s="42">
        <v>282920</v>
      </c>
      <c r="R175" s="42">
        <v>1994098</v>
      </c>
      <c r="S175" s="43">
        <v>45111</v>
      </c>
      <c r="T175" s="42">
        <v>410607</v>
      </c>
      <c r="U175" s="4"/>
    </row>
    <row r="176" spans="1:21" x14ac:dyDescent="0.3">
      <c r="A176" s="49">
        <v>45890</v>
      </c>
      <c r="B176" s="42">
        <v>28403</v>
      </c>
      <c r="C176" s="42">
        <v>198821</v>
      </c>
      <c r="D176" s="42">
        <v>217436</v>
      </c>
      <c r="E176" s="42">
        <v>226715</v>
      </c>
      <c r="F176" s="42">
        <v>827905</v>
      </c>
      <c r="G176" s="42">
        <v>356236</v>
      </c>
      <c r="H176" s="42">
        <v>53430</v>
      </c>
      <c r="I176" s="42">
        <v>79885</v>
      </c>
      <c r="J176" s="42">
        <v>193190</v>
      </c>
      <c r="K176" s="42">
        <v>434098</v>
      </c>
      <c r="L176" s="42">
        <v>160049</v>
      </c>
      <c r="M176" s="42">
        <v>1925312</v>
      </c>
      <c r="N176" s="42">
        <v>1614018</v>
      </c>
      <c r="O176" s="42">
        <v>29050</v>
      </c>
      <c r="P176" s="42">
        <v>82336</v>
      </c>
      <c r="Q176" s="42">
        <v>283607</v>
      </c>
      <c r="R176" s="42">
        <v>1979283</v>
      </c>
      <c r="S176" s="43">
        <v>44614</v>
      </c>
      <c r="T176" s="42">
        <v>416711</v>
      </c>
      <c r="U176" s="4"/>
    </row>
    <row r="177" spans="1:21" x14ac:dyDescent="0.3">
      <c r="A177" s="49">
        <v>45889</v>
      </c>
      <c r="B177" s="42">
        <v>28751</v>
      </c>
      <c r="C177" s="42">
        <v>197783</v>
      </c>
      <c r="D177" s="42">
        <v>216943</v>
      </c>
      <c r="E177" s="42">
        <v>220893</v>
      </c>
      <c r="F177" s="42">
        <v>823956</v>
      </c>
      <c r="G177" s="42">
        <v>347992</v>
      </c>
      <c r="H177" s="42">
        <v>50862</v>
      </c>
      <c r="I177" s="42">
        <v>79677</v>
      </c>
      <c r="J177" s="42">
        <v>194658</v>
      </c>
      <c r="K177" s="42">
        <v>437695</v>
      </c>
      <c r="L177" s="42">
        <v>158930</v>
      </c>
      <c r="M177" s="42">
        <v>1919832</v>
      </c>
      <c r="N177" s="42">
        <v>1621332</v>
      </c>
      <c r="O177" s="42">
        <v>28598</v>
      </c>
      <c r="P177" s="42">
        <v>82565</v>
      </c>
      <c r="Q177" s="42">
        <v>283497</v>
      </c>
      <c r="R177" s="42">
        <v>1971830</v>
      </c>
      <c r="S177" s="43">
        <v>45575</v>
      </c>
      <c r="T177" s="42">
        <v>415935</v>
      </c>
      <c r="U177" s="4"/>
    </row>
    <row r="178" spans="1:21" x14ac:dyDescent="0.3">
      <c r="A178" s="49">
        <v>45888</v>
      </c>
      <c r="B178" s="42">
        <v>28891</v>
      </c>
      <c r="C178" s="42">
        <v>186214</v>
      </c>
      <c r="D178" s="42">
        <v>220249</v>
      </c>
      <c r="E178" s="42">
        <v>220859</v>
      </c>
      <c r="F178" s="42">
        <v>825766</v>
      </c>
      <c r="G178" s="42">
        <v>349338</v>
      </c>
      <c r="H178" s="42">
        <v>47495</v>
      </c>
      <c r="I178" s="42">
        <v>80039</v>
      </c>
      <c r="J178" s="42">
        <v>195080</v>
      </c>
      <c r="K178" s="42">
        <v>438541</v>
      </c>
      <c r="L178" s="42">
        <v>158477</v>
      </c>
      <c r="M178" s="42">
        <v>1922821</v>
      </c>
      <c r="N178" s="42">
        <v>1603770</v>
      </c>
      <c r="O178" s="42">
        <v>28971</v>
      </c>
      <c r="P178" s="42">
        <v>85223</v>
      </c>
      <c r="Q178" s="42">
        <v>289577</v>
      </c>
      <c r="R178" s="42">
        <v>1974585</v>
      </c>
      <c r="S178" s="43">
        <v>44809</v>
      </c>
      <c r="T178" s="42">
        <v>418180</v>
      </c>
      <c r="U178" s="4"/>
    </row>
    <row r="179" spans="1:21" x14ac:dyDescent="0.3">
      <c r="A179" s="49">
        <v>45887</v>
      </c>
      <c r="B179" s="42">
        <v>28839</v>
      </c>
      <c r="C179" s="42">
        <v>179331</v>
      </c>
      <c r="D179" s="42">
        <v>221751</v>
      </c>
      <c r="E179" s="42">
        <v>214441</v>
      </c>
      <c r="F179" s="42">
        <v>826625</v>
      </c>
      <c r="G179" s="42">
        <v>350639</v>
      </c>
      <c r="H179" s="42">
        <v>46043</v>
      </c>
      <c r="I179" s="42">
        <v>79826</v>
      </c>
      <c r="J179" s="42">
        <v>195425</v>
      </c>
      <c r="K179" s="42">
        <v>439893</v>
      </c>
      <c r="L179" s="42">
        <v>158722</v>
      </c>
      <c r="M179" s="42">
        <v>1971330</v>
      </c>
      <c r="N179" s="42">
        <v>1590728</v>
      </c>
      <c r="O179" s="42">
        <v>28592</v>
      </c>
      <c r="P179" s="42">
        <v>85527</v>
      </c>
      <c r="Q179" s="42">
        <v>295888</v>
      </c>
      <c r="R179" s="42">
        <v>1964338</v>
      </c>
      <c r="S179" s="43">
        <v>45305</v>
      </c>
      <c r="T179" s="42">
        <v>419340</v>
      </c>
      <c r="U179" s="4"/>
    </row>
    <row r="180" spans="1:21" x14ac:dyDescent="0.3">
      <c r="A180" s="49">
        <v>45884</v>
      </c>
      <c r="B180" s="42">
        <v>30337</v>
      </c>
      <c r="C180" s="42">
        <v>179219</v>
      </c>
      <c r="D180" s="42">
        <v>219832</v>
      </c>
      <c r="E180" s="42">
        <v>216290</v>
      </c>
      <c r="F180" s="42">
        <v>826122</v>
      </c>
      <c r="G180" s="42">
        <v>345522</v>
      </c>
      <c r="H180" s="42">
        <v>45865</v>
      </c>
      <c r="I180" s="42">
        <v>79712</v>
      </c>
      <c r="J180" s="42">
        <v>196002</v>
      </c>
      <c r="K180" s="42">
        <v>440051</v>
      </c>
      <c r="L180" s="42">
        <v>157555</v>
      </c>
      <c r="M180" s="42">
        <v>1965036</v>
      </c>
      <c r="N180" s="42">
        <v>1602833</v>
      </c>
      <c r="O180" s="42">
        <v>28351</v>
      </c>
      <c r="P180" s="42">
        <v>84860</v>
      </c>
      <c r="Q180" s="42">
        <v>294187</v>
      </c>
      <c r="R180" s="42">
        <v>1956456</v>
      </c>
      <c r="S180" s="43">
        <v>45725</v>
      </c>
      <c r="T180" s="42">
        <v>414579</v>
      </c>
      <c r="U180" s="4"/>
    </row>
    <row r="181" spans="1:21" x14ac:dyDescent="0.3">
      <c r="A181" s="49">
        <v>45883</v>
      </c>
      <c r="B181" s="42">
        <v>30334</v>
      </c>
      <c r="C181" s="42">
        <v>178520</v>
      </c>
      <c r="D181" s="42">
        <v>218016</v>
      </c>
      <c r="E181" s="42">
        <v>218062</v>
      </c>
      <c r="F181" s="42">
        <v>824288</v>
      </c>
      <c r="G181" s="42">
        <v>344904</v>
      </c>
      <c r="H181" s="42">
        <v>46767</v>
      </c>
      <c r="I181" s="42">
        <v>79894</v>
      </c>
      <c r="J181" s="42">
        <v>195720</v>
      </c>
      <c r="K181" s="42">
        <v>439709</v>
      </c>
      <c r="L181" s="42">
        <v>157214</v>
      </c>
      <c r="M181" s="42">
        <v>1977002</v>
      </c>
      <c r="N181" s="42">
        <v>1620604</v>
      </c>
      <c r="O181" s="42">
        <v>28174</v>
      </c>
      <c r="P181" s="42">
        <v>83645</v>
      </c>
      <c r="Q181" s="42">
        <v>301957</v>
      </c>
      <c r="R181" s="42">
        <v>1950527</v>
      </c>
      <c r="S181" s="43">
        <v>44909</v>
      </c>
      <c r="T181" s="42">
        <v>418815</v>
      </c>
      <c r="U181" s="4"/>
    </row>
    <row r="182" spans="1:21" x14ac:dyDescent="0.3">
      <c r="A182" s="49">
        <v>45882</v>
      </c>
      <c r="B182" s="42">
        <v>30397</v>
      </c>
      <c r="C182" s="42">
        <v>172477</v>
      </c>
      <c r="D182" s="42">
        <v>217060</v>
      </c>
      <c r="E182" s="42">
        <v>216965</v>
      </c>
      <c r="F182" s="42">
        <v>819728</v>
      </c>
      <c r="G182" s="42">
        <v>347648</v>
      </c>
      <c r="H182" s="42">
        <v>46337</v>
      </c>
      <c r="I182" s="42">
        <v>79732</v>
      </c>
      <c r="J182" s="42">
        <v>193055</v>
      </c>
      <c r="K182" s="42">
        <v>444675</v>
      </c>
      <c r="L182" s="42">
        <v>157244</v>
      </c>
      <c r="M182" s="42">
        <v>1981600</v>
      </c>
      <c r="N182" s="42">
        <v>1621032</v>
      </c>
      <c r="O182" s="42">
        <v>28551</v>
      </c>
      <c r="P182" s="42">
        <v>87334</v>
      </c>
      <c r="Q182" s="42">
        <v>299408</v>
      </c>
      <c r="R182" s="42">
        <v>1954137</v>
      </c>
      <c r="S182" s="43">
        <v>42906</v>
      </c>
      <c r="T182" s="42">
        <v>426922</v>
      </c>
      <c r="U182" s="4"/>
    </row>
    <row r="183" spans="1:21" x14ac:dyDescent="0.3">
      <c r="A183" s="49">
        <v>45881</v>
      </c>
      <c r="B183" s="42">
        <v>30410</v>
      </c>
      <c r="C183" s="42">
        <v>171294</v>
      </c>
      <c r="D183" s="42">
        <v>216082</v>
      </c>
      <c r="E183" s="42">
        <v>221109</v>
      </c>
      <c r="F183" s="42">
        <v>824972</v>
      </c>
      <c r="G183" s="42">
        <v>351163</v>
      </c>
      <c r="H183" s="42">
        <v>48240</v>
      </c>
      <c r="I183" s="42">
        <v>80415</v>
      </c>
      <c r="J183" s="42">
        <v>193751</v>
      </c>
      <c r="K183" s="42">
        <v>446152</v>
      </c>
      <c r="L183" s="42">
        <v>156432</v>
      </c>
      <c r="M183" s="42">
        <v>2010959</v>
      </c>
      <c r="N183" s="42">
        <v>1618091</v>
      </c>
      <c r="O183" s="42">
        <v>27851</v>
      </c>
      <c r="P183" s="42">
        <v>87098</v>
      </c>
      <c r="Q183" s="42">
        <v>303576</v>
      </c>
      <c r="R183" s="42">
        <v>1967857</v>
      </c>
      <c r="S183" s="43">
        <v>43546</v>
      </c>
      <c r="T183" s="42">
        <v>424985</v>
      </c>
      <c r="U183" s="4"/>
    </row>
    <row r="184" spans="1:21" x14ac:dyDescent="0.3">
      <c r="A184" s="49">
        <v>45880</v>
      </c>
      <c r="B184" s="42">
        <v>29802</v>
      </c>
      <c r="C184" s="42">
        <v>170443</v>
      </c>
      <c r="D184" s="42">
        <v>213766</v>
      </c>
      <c r="E184" s="42">
        <v>224454</v>
      </c>
      <c r="F184" s="42">
        <v>822137</v>
      </c>
      <c r="G184" s="42">
        <v>346167</v>
      </c>
      <c r="H184" s="42">
        <v>48309</v>
      </c>
      <c r="I184" s="42">
        <v>79867</v>
      </c>
      <c r="J184" s="42">
        <v>194461</v>
      </c>
      <c r="K184" s="42">
        <v>452687</v>
      </c>
      <c r="L184" s="42">
        <v>154473</v>
      </c>
      <c r="M184" s="42">
        <v>2038199</v>
      </c>
      <c r="N184" s="42">
        <v>1592950</v>
      </c>
      <c r="O184" s="42">
        <v>27633</v>
      </c>
      <c r="P184" s="42">
        <v>85392</v>
      </c>
      <c r="Q184" s="42">
        <v>291919</v>
      </c>
      <c r="R184" s="42">
        <v>1941625</v>
      </c>
      <c r="S184" s="43">
        <v>43644</v>
      </c>
      <c r="T184" s="42">
        <v>425294</v>
      </c>
      <c r="U184" s="4"/>
    </row>
    <row r="185" spans="1:21" x14ac:dyDescent="0.3">
      <c r="A185" s="49">
        <v>45877</v>
      </c>
      <c r="B185" s="42">
        <v>30108</v>
      </c>
      <c r="C185" s="42">
        <v>166615</v>
      </c>
      <c r="D185" s="42">
        <v>212384</v>
      </c>
      <c r="E185" s="42">
        <v>221848</v>
      </c>
      <c r="F185" s="42">
        <v>825634</v>
      </c>
      <c r="G185" s="42">
        <v>340369</v>
      </c>
      <c r="H185" s="42">
        <v>47059</v>
      </c>
      <c r="I185" s="42">
        <v>79374</v>
      </c>
      <c r="J185" s="42">
        <v>197464</v>
      </c>
      <c r="K185" s="42">
        <v>467800</v>
      </c>
      <c r="L185" s="42">
        <v>156555</v>
      </c>
      <c r="M185" s="42">
        <v>2065261</v>
      </c>
      <c r="N185" s="42">
        <v>1598866</v>
      </c>
      <c r="O185" s="42">
        <v>27389</v>
      </c>
      <c r="P185" s="42">
        <v>85871</v>
      </c>
      <c r="Q185" s="42">
        <v>292500</v>
      </c>
      <c r="R185" s="42">
        <v>1949144</v>
      </c>
      <c r="S185" s="43">
        <v>44234</v>
      </c>
      <c r="T185" s="42">
        <v>424862</v>
      </c>
      <c r="U185" s="4"/>
    </row>
    <row r="186" spans="1:21" x14ac:dyDescent="0.3">
      <c r="A186" s="49">
        <v>45876</v>
      </c>
      <c r="B186" s="42">
        <v>30547</v>
      </c>
      <c r="C186" s="42">
        <v>166323</v>
      </c>
      <c r="D186" s="42">
        <v>211006</v>
      </c>
      <c r="E186" s="42">
        <v>220637</v>
      </c>
      <c r="F186" s="42">
        <v>819743</v>
      </c>
      <c r="G186" s="42">
        <v>336339</v>
      </c>
      <c r="H186" s="42">
        <v>47544</v>
      </c>
      <c r="I186" s="42">
        <v>79483</v>
      </c>
      <c r="J186" s="42">
        <v>198602</v>
      </c>
      <c r="K186" s="42">
        <v>463334</v>
      </c>
      <c r="L186" s="42">
        <v>157869</v>
      </c>
      <c r="M186" s="42">
        <v>2045381</v>
      </c>
      <c r="N186" s="42">
        <v>1589825</v>
      </c>
      <c r="O186" s="42">
        <v>27542</v>
      </c>
      <c r="P186" s="42">
        <v>87316</v>
      </c>
      <c r="Q186" s="42">
        <v>283788</v>
      </c>
      <c r="R186" s="42">
        <v>1927103</v>
      </c>
      <c r="S186" s="43">
        <v>48387</v>
      </c>
      <c r="T186" s="42">
        <v>429646</v>
      </c>
      <c r="U186" s="4"/>
    </row>
    <row r="187" spans="1:21" x14ac:dyDescent="0.3">
      <c r="A187" s="49">
        <v>45875</v>
      </c>
      <c r="B187" s="42">
        <v>30048</v>
      </c>
      <c r="C187" s="42">
        <v>163731</v>
      </c>
      <c r="D187" s="42">
        <v>207378</v>
      </c>
      <c r="E187" s="42">
        <v>216209</v>
      </c>
      <c r="F187" s="42">
        <v>818272</v>
      </c>
      <c r="G187" s="42">
        <v>336564</v>
      </c>
      <c r="H187" s="42">
        <v>48272</v>
      </c>
      <c r="I187" s="42">
        <v>79720</v>
      </c>
      <c r="J187" s="42">
        <v>198732</v>
      </c>
      <c r="K187" s="42">
        <v>450807</v>
      </c>
      <c r="L187" s="42">
        <v>160473</v>
      </c>
      <c r="M187" s="42">
        <v>2042683</v>
      </c>
      <c r="N187" s="42">
        <v>1606056</v>
      </c>
      <c r="O187" s="42">
        <v>27634</v>
      </c>
      <c r="P187" s="42">
        <v>87741</v>
      </c>
      <c r="Q187" s="42">
        <v>286409</v>
      </c>
      <c r="R187" s="42">
        <v>1920416</v>
      </c>
      <c r="S187" s="43">
        <v>44864</v>
      </c>
      <c r="T187" s="42">
        <v>429991</v>
      </c>
      <c r="U187" s="4"/>
    </row>
    <row r="188" spans="1:21" x14ac:dyDescent="0.3">
      <c r="A188" s="49">
        <v>45874</v>
      </c>
      <c r="B188" s="42">
        <v>30064</v>
      </c>
      <c r="C188" s="42">
        <v>163900</v>
      </c>
      <c r="D188" s="42">
        <v>206254</v>
      </c>
      <c r="E188" s="42">
        <v>214849</v>
      </c>
      <c r="F188" s="42">
        <v>818360</v>
      </c>
      <c r="G188" s="42">
        <v>337378</v>
      </c>
      <c r="H188" s="42">
        <v>48090</v>
      </c>
      <c r="I188" s="42">
        <v>79837</v>
      </c>
      <c r="J188" s="42">
        <v>197933</v>
      </c>
      <c r="K188" s="42">
        <v>449647</v>
      </c>
      <c r="L188" s="42">
        <v>161262</v>
      </c>
      <c r="M188" s="42">
        <v>2036424</v>
      </c>
      <c r="N188" s="42">
        <v>1607527</v>
      </c>
      <c r="O188" s="42">
        <v>27561</v>
      </c>
      <c r="P188" s="42">
        <v>87993</v>
      </c>
      <c r="Q188" s="42">
        <v>277507</v>
      </c>
      <c r="R188" s="42">
        <v>1909338</v>
      </c>
      <c r="S188" s="43">
        <v>44558</v>
      </c>
      <c r="T188" s="42">
        <v>427309</v>
      </c>
      <c r="U188" s="4"/>
    </row>
    <row r="189" spans="1:21" x14ac:dyDescent="0.3">
      <c r="A189" s="49">
        <v>45873</v>
      </c>
      <c r="B189" s="42">
        <v>31154</v>
      </c>
      <c r="C189" s="42">
        <v>167113</v>
      </c>
      <c r="D189" s="42">
        <v>207381</v>
      </c>
      <c r="E189" s="42">
        <v>210361</v>
      </c>
      <c r="F189" s="42">
        <v>820949</v>
      </c>
      <c r="G189" s="42">
        <v>337845</v>
      </c>
      <c r="H189" s="42">
        <v>49207</v>
      </c>
      <c r="I189" s="42">
        <v>79944</v>
      </c>
      <c r="J189" s="42">
        <v>200539</v>
      </c>
      <c r="K189" s="42">
        <v>444682</v>
      </c>
      <c r="L189" s="42">
        <v>160958</v>
      </c>
      <c r="M189" s="42">
        <v>2042197</v>
      </c>
      <c r="N189" s="42">
        <v>1613027</v>
      </c>
      <c r="O189" s="42">
        <v>27205</v>
      </c>
      <c r="P189" s="42">
        <v>87286</v>
      </c>
      <c r="Q189" s="42">
        <v>278978</v>
      </c>
      <c r="R189" s="42">
        <v>1899821</v>
      </c>
      <c r="S189" s="43">
        <v>47298</v>
      </c>
      <c r="T189" s="42">
        <v>427454</v>
      </c>
      <c r="U189" s="4"/>
    </row>
    <row r="190" spans="1:21" x14ac:dyDescent="0.3">
      <c r="A190" s="49">
        <v>45870</v>
      </c>
      <c r="B190" s="42">
        <v>31603</v>
      </c>
      <c r="C190" s="42">
        <v>170337</v>
      </c>
      <c r="D190" s="42">
        <v>209641</v>
      </c>
      <c r="E190" s="42">
        <v>210619</v>
      </c>
      <c r="F190" s="42">
        <v>827588</v>
      </c>
      <c r="G190" s="42">
        <v>344742</v>
      </c>
      <c r="H190" s="42">
        <v>49132</v>
      </c>
      <c r="I190" s="42">
        <v>79990</v>
      </c>
      <c r="J190" s="42">
        <v>203368</v>
      </c>
      <c r="K190" s="42">
        <v>437777</v>
      </c>
      <c r="L190" s="42">
        <v>160117</v>
      </c>
      <c r="M190" s="42">
        <v>2047630</v>
      </c>
      <c r="N190" s="42">
        <v>1585695</v>
      </c>
      <c r="O190" s="42">
        <v>27688</v>
      </c>
      <c r="P190" s="42">
        <v>85361</v>
      </c>
      <c r="Q190" s="42">
        <v>274125</v>
      </c>
      <c r="R190" s="42">
        <v>1905395</v>
      </c>
      <c r="S190" s="43">
        <v>50402</v>
      </c>
      <c r="T190" s="42">
        <v>428630</v>
      </c>
      <c r="U190" s="4"/>
    </row>
    <row r="191" spans="1:21" x14ac:dyDescent="0.3">
      <c r="A191" s="49">
        <v>45869</v>
      </c>
      <c r="B191" s="42">
        <v>31866</v>
      </c>
      <c r="C191" s="42">
        <v>170889</v>
      </c>
      <c r="D191" s="42">
        <v>210631</v>
      </c>
      <c r="E191" s="42">
        <v>212547</v>
      </c>
      <c r="F191" s="42">
        <v>832112</v>
      </c>
      <c r="G191" s="42">
        <v>348870</v>
      </c>
      <c r="H191" s="42">
        <v>48098</v>
      </c>
      <c r="I191" s="42">
        <v>77496</v>
      </c>
      <c r="J191" s="42">
        <v>205128</v>
      </c>
      <c r="K191" s="42">
        <v>427980</v>
      </c>
      <c r="L191" s="42">
        <v>161954</v>
      </c>
      <c r="M191" s="42">
        <v>2057599</v>
      </c>
      <c r="N191" s="42">
        <v>1584422</v>
      </c>
      <c r="O191" s="42">
        <v>27699</v>
      </c>
      <c r="P191" s="42">
        <v>85296</v>
      </c>
      <c r="Q191" s="42">
        <v>281277</v>
      </c>
      <c r="R191" s="42">
        <v>1936165</v>
      </c>
      <c r="S191" s="43">
        <v>47285</v>
      </c>
      <c r="T191" s="42">
        <v>421930</v>
      </c>
      <c r="U191" s="4"/>
    </row>
    <row r="192" spans="1:21" x14ac:dyDescent="0.3">
      <c r="A192" s="49">
        <v>45868</v>
      </c>
      <c r="B192" s="42">
        <v>32774</v>
      </c>
      <c r="C192" s="42">
        <v>166192</v>
      </c>
      <c r="D192" s="42">
        <v>210944</v>
      </c>
      <c r="E192" s="42">
        <v>205958</v>
      </c>
      <c r="F192" s="42">
        <v>831621</v>
      </c>
      <c r="G192" s="42">
        <v>336338</v>
      </c>
      <c r="H192" s="42">
        <v>48860</v>
      </c>
      <c r="I192" s="42">
        <v>77474</v>
      </c>
      <c r="J192" s="42">
        <v>225759</v>
      </c>
      <c r="K192" s="42">
        <v>442248</v>
      </c>
      <c r="L192" s="42">
        <v>165774</v>
      </c>
      <c r="M192" s="42">
        <v>2057647</v>
      </c>
      <c r="N192" s="42">
        <v>1569552</v>
      </c>
      <c r="O192" s="42">
        <v>27948</v>
      </c>
      <c r="P192" s="42">
        <v>85472</v>
      </c>
      <c r="Q192" s="42">
        <v>284469</v>
      </c>
      <c r="R192" s="42">
        <v>1945186</v>
      </c>
      <c r="S192" s="43">
        <v>45223</v>
      </c>
      <c r="T192" s="42">
        <v>418588</v>
      </c>
      <c r="U192" s="4"/>
    </row>
    <row r="193" spans="1:21" x14ac:dyDescent="0.3">
      <c r="A193" s="49">
        <v>45867</v>
      </c>
      <c r="B193" s="42">
        <v>32919</v>
      </c>
      <c r="C193" s="42">
        <v>159680</v>
      </c>
      <c r="D193" s="42">
        <v>207879</v>
      </c>
      <c r="E193" s="42">
        <v>201852</v>
      </c>
      <c r="F193" s="42">
        <v>828577</v>
      </c>
      <c r="G193" s="42">
        <v>329115</v>
      </c>
      <c r="H193" s="42">
        <v>46587</v>
      </c>
      <c r="I193" s="42">
        <v>76905</v>
      </c>
      <c r="J193" s="42">
        <v>228444</v>
      </c>
      <c r="K193" s="42">
        <v>445259</v>
      </c>
      <c r="L193" s="42">
        <v>170329</v>
      </c>
      <c r="M193" s="42">
        <v>2028873</v>
      </c>
      <c r="N193" s="42">
        <v>1550942</v>
      </c>
      <c r="O193" s="42">
        <v>28068</v>
      </c>
      <c r="P193" s="42">
        <v>86736</v>
      </c>
      <c r="Q193" s="42">
        <v>281762</v>
      </c>
      <c r="R193" s="42">
        <v>1941931</v>
      </c>
      <c r="S193" s="43">
        <v>47570</v>
      </c>
      <c r="T193" s="42">
        <v>406989</v>
      </c>
      <c r="U193" s="4"/>
    </row>
    <row r="194" spans="1:21" x14ac:dyDescent="0.3">
      <c r="A194" s="49">
        <v>45866</v>
      </c>
      <c r="B194" s="42">
        <v>34220</v>
      </c>
      <c r="C194" s="42">
        <v>159506</v>
      </c>
      <c r="D194" s="42">
        <v>208439</v>
      </c>
      <c r="E194" s="42">
        <v>200014</v>
      </c>
      <c r="F194" s="42">
        <v>841768</v>
      </c>
      <c r="G194" s="42">
        <v>327439</v>
      </c>
      <c r="H194" s="42">
        <v>46211</v>
      </c>
      <c r="I194" s="42">
        <v>76982</v>
      </c>
      <c r="J194" s="42">
        <v>230208</v>
      </c>
      <c r="K194" s="42">
        <v>450941</v>
      </c>
      <c r="L194" s="42">
        <v>170254</v>
      </c>
      <c r="M194" s="42">
        <v>2029116</v>
      </c>
      <c r="N194" s="42">
        <v>1547026</v>
      </c>
      <c r="O194" s="42">
        <v>28332</v>
      </c>
      <c r="P194" s="42">
        <v>85741</v>
      </c>
      <c r="Q194" s="42">
        <v>281396</v>
      </c>
      <c r="R194" s="42">
        <v>1946761</v>
      </c>
      <c r="S194" s="43">
        <v>48176</v>
      </c>
      <c r="T194" s="42">
        <v>411732</v>
      </c>
      <c r="U194" s="4"/>
    </row>
    <row r="195" spans="1:21" x14ac:dyDescent="0.3">
      <c r="A195" s="49">
        <v>45863</v>
      </c>
      <c r="B195" s="42">
        <v>34624</v>
      </c>
      <c r="C195" s="42">
        <v>159541</v>
      </c>
      <c r="D195" s="42">
        <v>207744</v>
      </c>
      <c r="E195" s="42">
        <v>204628</v>
      </c>
      <c r="F195" s="42">
        <v>835192</v>
      </c>
      <c r="G195" s="42">
        <v>323934</v>
      </c>
      <c r="H195" s="42">
        <v>46489</v>
      </c>
      <c r="I195" s="42">
        <v>76424</v>
      </c>
      <c r="J195" s="42">
        <v>230603</v>
      </c>
      <c r="K195" s="42">
        <v>461504</v>
      </c>
      <c r="L195" s="42">
        <v>171385</v>
      </c>
      <c r="M195" s="42">
        <v>2020849</v>
      </c>
      <c r="N195" s="42">
        <v>1548126</v>
      </c>
      <c r="O195" s="42">
        <v>29504</v>
      </c>
      <c r="P195" s="42">
        <v>86453</v>
      </c>
      <c r="Q195" s="42">
        <v>276172</v>
      </c>
      <c r="R195" s="42">
        <v>1954911</v>
      </c>
      <c r="S195" s="43">
        <v>45519</v>
      </c>
      <c r="T195" s="42">
        <v>401316</v>
      </c>
      <c r="U195" s="4"/>
    </row>
    <row r="196" spans="1:21" x14ac:dyDescent="0.3">
      <c r="A196" s="49">
        <v>45862</v>
      </c>
      <c r="B196" s="42">
        <v>36177</v>
      </c>
      <c r="C196" s="42">
        <v>160923</v>
      </c>
      <c r="D196" s="42">
        <v>205405</v>
      </c>
      <c r="E196" s="42">
        <v>203515</v>
      </c>
      <c r="F196" s="42">
        <v>833582</v>
      </c>
      <c r="G196" s="42">
        <v>318414</v>
      </c>
      <c r="H196" s="42">
        <v>46132</v>
      </c>
      <c r="I196" s="42">
        <v>76451</v>
      </c>
      <c r="J196" s="42">
        <v>229981</v>
      </c>
      <c r="K196" s="42">
        <v>472144</v>
      </c>
      <c r="L196" s="42">
        <v>173754</v>
      </c>
      <c r="M196" s="42">
        <v>2012858</v>
      </c>
      <c r="N196" s="42">
        <v>1544822</v>
      </c>
      <c r="O196" s="42">
        <v>29444</v>
      </c>
      <c r="P196" s="42">
        <v>86646</v>
      </c>
      <c r="Q196" s="42">
        <v>274686</v>
      </c>
      <c r="R196" s="42">
        <v>1958320</v>
      </c>
      <c r="S196" s="43">
        <v>46997</v>
      </c>
      <c r="T196" s="42">
        <v>401739</v>
      </c>
      <c r="U196" s="4"/>
    </row>
    <row r="197" spans="1:21" x14ac:dyDescent="0.3">
      <c r="A197" s="49">
        <v>45861</v>
      </c>
      <c r="B197" s="42">
        <v>36460</v>
      </c>
      <c r="C197" s="42">
        <v>161476</v>
      </c>
      <c r="D197" s="42">
        <v>200897</v>
      </c>
      <c r="E197" s="42">
        <v>202201</v>
      </c>
      <c r="F197" s="42">
        <v>832820</v>
      </c>
      <c r="G197" s="42">
        <v>314672</v>
      </c>
      <c r="H197" s="42">
        <v>44257</v>
      </c>
      <c r="I197" s="42">
        <v>76086</v>
      </c>
      <c r="J197" s="42">
        <v>228312</v>
      </c>
      <c r="K197" s="42">
        <v>484112</v>
      </c>
      <c r="L197" s="42">
        <v>174259</v>
      </c>
      <c r="M197" s="42">
        <v>2012967</v>
      </c>
      <c r="N197" s="42">
        <v>1543338</v>
      </c>
      <c r="O197" s="42">
        <v>29851</v>
      </c>
      <c r="P197" s="42">
        <v>87734</v>
      </c>
      <c r="Q197" s="42">
        <v>271853</v>
      </c>
      <c r="R197" s="42">
        <v>1927222</v>
      </c>
      <c r="S197" s="43">
        <v>47764</v>
      </c>
      <c r="T197" s="42">
        <v>400851</v>
      </c>
      <c r="U197" s="4"/>
    </row>
    <row r="198" spans="1:21" x14ac:dyDescent="0.3">
      <c r="A198" s="49">
        <v>45860</v>
      </c>
      <c r="B198" s="5">
        <v>35725</v>
      </c>
      <c r="C198" s="42">
        <v>161394</v>
      </c>
      <c r="D198" s="42">
        <v>195467</v>
      </c>
      <c r="E198" s="42">
        <v>200895</v>
      </c>
      <c r="F198" s="42">
        <v>843447</v>
      </c>
      <c r="G198" s="42">
        <v>313040</v>
      </c>
      <c r="H198" s="42">
        <v>44100</v>
      </c>
      <c r="I198" s="42">
        <v>75681</v>
      </c>
      <c r="J198" s="42">
        <v>228192</v>
      </c>
      <c r="K198" s="42">
        <v>489423</v>
      </c>
      <c r="L198" s="42">
        <v>173679</v>
      </c>
      <c r="M198" s="42">
        <v>2013304</v>
      </c>
      <c r="N198" s="42">
        <v>1525865</v>
      </c>
      <c r="O198" s="42">
        <v>30797</v>
      </c>
      <c r="P198" s="42">
        <v>84378</v>
      </c>
      <c r="Q198" s="42">
        <v>270972</v>
      </c>
      <c r="R198" s="42">
        <v>1917043</v>
      </c>
      <c r="S198" s="43">
        <v>45678</v>
      </c>
      <c r="T198" s="42">
        <v>398690</v>
      </c>
      <c r="U198" s="4"/>
    </row>
    <row r="199" spans="1:21" x14ac:dyDescent="0.3">
      <c r="A199" s="49">
        <v>45859</v>
      </c>
      <c r="B199" s="5">
        <v>35154</v>
      </c>
      <c r="C199" s="42">
        <v>159982</v>
      </c>
      <c r="D199" s="42">
        <v>191111</v>
      </c>
      <c r="E199" s="42">
        <v>201912</v>
      </c>
      <c r="F199" s="42">
        <v>832475</v>
      </c>
      <c r="G199" s="42">
        <v>315209</v>
      </c>
      <c r="H199" s="42">
        <v>44856</v>
      </c>
      <c r="I199" s="42">
        <v>74829</v>
      </c>
      <c r="J199" s="42">
        <v>225510</v>
      </c>
      <c r="K199" s="42">
        <v>471321</v>
      </c>
      <c r="L199" s="42">
        <v>173412</v>
      </c>
      <c r="M199" s="42">
        <v>2018549</v>
      </c>
      <c r="N199" s="42">
        <v>1522482</v>
      </c>
      <c r="O199" s="42">
        <v>30992</v>
      </c>
      <c r="P199" s="42">
        <v>83058</v>
      </c>
      <c r="Q199" s="42">
        <v>278054</v>
      </c>
      <c r="R199" s="42">
        <v>1934489</v>
      </c>
      <c r="S199" s="43">
        <v>43878</v>
      </c>
      <c r="T199" s="42">
        <v>396338</v>
      </c>
      <c r="U199" s="4"/>
    </row>
    <row r="200" spans="1:21" x14ac:dyDescent="0.3">
      <c r="A200" s="49">
        <v>45856</v>
      </c>
      <c r="B200" s="5">
        <v>35293</v>
      </c>
      <c r="C200" s="42">
        <v>156154</v>
      </c>
      <c r="D200" s="42">
        <v>188008</v>
      </c>
      <c r="E200" s="42">
        <v>204220</v>
      </c>
      <c r="F200" s="42">
        <v>829028</v>
      </c>
      <c r="G200" s="42">
        <v>315150</v>
      </c>
      <c r="H200" s="42">
        <v>43602</v>
      </c>
      <c r="I200" s="42">
        <v>74604</v>
      </c>
      <c r="J200" s="42">
        <v>225613</v>
      </c>
      <c r="K200" s="42">
        <v>446753</v>
      </c>
      <c r="L200" s="42">
        <v>171722</v>
      </c>
      <c r="M200" s="42">
        <v>2053184</v>
      </c>
      <c r="N200" s="42">
        <v>1546010</v>
      </c>
      <c r="O200" s="42">
        <v>31681</v>
      </c>
      <c r="P200" s="42">
        <v>83265</v>
      </c>
      <c r="Q200" s="42">
        <v>274931</v>
      </c>
      <c r="R200" s="42">
        <v>1936019</v>
      </c>
      <c r="S200" s="43">
        <v>44545</v>
      </c>
      <c r="T200" s="42">
        <v>392411</v>
      </c>
      <c r="U200" s="4"/>
    </row>
    <row r="201" spans="1:21" x14ac:dyDescent="0.3">
      <c r="A201" s="49">
        <v>45855</v>
      </c>
      <c r="B201" s="5">
        <v>34952</v>
      </c>
      <c r="C201" s="42">
        <v>156336</v>
      </c>
      <c r="D201" s="42">
        <v>184019</v>
      </c>
      <c r="E201" s="42">
        <v>204842</v>
      </c>
      <c r="F201" s="42">
        <v>823522</v>
      </c>
      <c r="G201" s="42">
        <v>313872</v>
      </c>
      <c r="H201" s="42">
        <v>43726</v>
      </c>
      <c r="I201" s="42">
        <v>75030</v>
      </c>
      <c r="J201" s="42">
        <v>224558</v>
      </c>
      <c r="K201" s="42">
        <v>444521</v>
      </c>
      <c r="L201" s="42">
        <v>172865</v>
      </c>
      <c r="M201" s="42">
        <v>2053905</v>
      </c>
      <c r="N201" s="42">
        <v>1546409</v>
      </c>
      <c r="O201" s="42">
        <v>31960</v>
      </c>
      <c r="P201" s="42">
        <v>83359</v>
      </c>
      <c r="Q201" s="42">
        <v>286688</v>
      </c>
      <c r="R201" s="42">
        <v>1954074</v>
      </c>
      <c r="S201" s="43">
        <v>43881</v>
      </c>
      <c r="T201" s="42">
        <v>394319</v>
      </c>
      <c r="U201" s="4"/>
    </row>
    <row r="202" spans="1:21" x14ac:dyDescent="0.3">
      <c r="A202" s="49">
        <v>45854</v>
      </c>
      <c r="B202" s="5">
        <v>36139</v>
      </c>
      <c r="C202" s="42">
        <v>151491</v>
      </c>
      <c r="D202" s="42">
        <v>188288</v>
      </c>
      <c r="E202" s="42">
        <v>202218</v>
      </c>
      <c r="F202" s="42">
        <v>823731</v>
      </c>
      <c r="G202" s="42">
        <v>313655</v>
      </c>
      <c r="H202" s="42">
        <v>42250</v>
      </c>
      <c r="I202" s="42">
        <v>74423</v>
      </c>
      <c r="J202" s="42">
        <v>224639</v>
      </c>
      <c r="K202" s="42">
        <v>450862</v>
      </c>
      <c r="L202" s="42">
        <v>171810</v>
      </c>
      <c r="M202" s="42">
        <v>2082863</v>
      </c>
      <c r="N202" s="42">
        <v>1551154</v>
      </c>
      <c r="O202" s="42">
        <v>31706</v>
      </c>
      <c r="P202" s="42">
        <v>83793</v>
      </c>
      <c r="Q202" s="42">
        <v>268534</v>
      </c>
      <c r="R202" s="42">
        <v>1947793</v>
      </c>
      <c r="S202" s="43">
        <v>44640</v>
      </c>
      <c r="T202" s="42">
        <v>393254</v>
      </c>
      <c r="U202" s="4"/>
    </row>
    <row r="203" spans="1:21" x14ac:dyDescent="0.3">
      <c r="A203" s="49">
        <v>45853</v>
      </c>
      <c r="B203" s="5">
        <v>35177</v>
      </c>
      <c r="C203" s="42">
        <v>150950</v>
      </c>
      <c r="D203" s="42">
        <v>187796</v>
      </c>
      <c r="E203" s="42">
        <v>202720</v>
      </c>
      <c r="F203" s="42">
        <v>821362</v>
      </c>
      <c r="G203" s="42">
        <v>322327</v>
      </c>
      <c r="H203" s="42">
        <v>41959</v>
      </c>
      <c r="I203" s="42">
        <v>74255</v>
      </c>
      <c r="J203" s="42">
        <v>224583</v>
      </c>
      <c r="K203" s="42">
        <v>448531</v>
      </c>
      <c r="L203" s="42">
        <v>171474</v>
      </c>
      <c r="M203" s="42">
        <v>2069099</v>
      </c>
      <c r="N203" s="42">
        <v>1550988</v>
      </c>
      <c r="O203" s="42">
        <v>31309</v>
      </c>
      <c r="P203" s="42">
        <v>83480</v>
      </c>
      <c r="Q203" s="42">
        <v>271661</v>
      </c>
      <c r="R203" s="42">
        <v>1935859</v>
      </c>
      <c r="S203" s="43">
        <v>44206</v>
      </c>
      <c r="T203" s="42">
        <v>391568</v>
      </c>
      <c r="U203" s="4"/>
    </row>
    <row r="204" spans="1:21" x14ac:dyDescent="0.3">
      <c r="A204" s="49">
        <v>45852</v>
      </c>
      <c r="B204" s="5">
        <v>35864</v>
      </c>
      <c r="C204" s="42">
        <v>150758</v>
      </c>
      <c r="D204" s="42">
        <v>189066</v>
      </c>
      <c r="E204" s="42">
        <v>203377</v>
      </c>
      <c r="F204" s="42">
        <v>823980</v>
      </c>
      <c r="G204" s="42">
        <v>311656</v>
      </c>
      <c r="H204" s="42">
        <v>42058</v>
      </c>
      <c r="I204" s="42">
        <v>73520</v>
      </c>
      <c r="J204" s="42">
        <v>224529</v>
      </c>
      <c r="K204" s="42">
        <v>453590</v>
      </c>
      <c r="L204" s="42">
        <v>173668</v>
      </c>
      <c r="M204" s="42">
        <v>2081665</v>
      </c>
      <c r="N204" s="42">
        <v>1545047</v>
      </c>
      <c r="O204" s="42">
        <v>30626</v>
      </c>
      <c r="P204" s="42">
        <v>83921</v>
      </c>
      <c r="Q204" s="42">
        <v>276603</v>
      </c>
      <c r="R204" s="42">
        <v>1927274</v>
      </c>
      <c r="S204" s="43">
        <v>44018</v>
      </c>
      <c r="T204" s="42">
        <v>390549</v>
      </c>
      <c r="U204" s="4"/>
    </row>
    <row r="205" spans="1:21" x14ac:dyDescent="0.3">
      <c r="A205" s="49">
        <v>45849</v>
      </c>
      <c r="B205" s="5">
        <v>36310</v>
      </c>
      <c r="C205" s="42">
        <v>152487</v>
      </c>
      <c r="D205" s="42">
        <v>188820</v>
      </c>
      <c r="E205" s="42">
        <v>204125</v>
      </c>
      <c r="F205" s="42">
        <v>820430</v>
      </c>
      <c r="G205" s="42">
        <v>306928</v>
      </c>
      <c r="H205" s="42">
        <v>42755</v>
      </c>
      <c r="I205" s="42">
        <v>73109</v>
      </c>
      <c r="J205" s="42">
        <v>223710</v>
      </c>
      <c r="K205" s="42">
        <v>445777</v>
      </c>
      <c r="L205" s="42">
        <v>176062</v>
      </c>
      <c r="M205" s="42">
        <v>2070603</v>
      </c>
      <c r="N205" s="42">
        <v>1542462</v>
      </c>
      <c r="O205" s="42">
        <v>30766</v>
      </c>
      <c r="P205" s="42">
        <v>84787</v>
      </c>
      <c r="Q205" s="42">
        <v>270612</v>
      </c>
      <c r="R205" s="42">
        <v>1923791</v>
      </c>
      <c r="S205" s="43">
        <v>44257</v>
      </c>
      <c r="T205" s="42">
        <v>394212</v>
      </c>
      <c r="U205" s="4"/>
    </row>
    <row r="206" spans="1:21" x14ac:dyDescent="0.3">
      <c r="A206" s="49">
        <v>45848</v>
      </c>
      <c r="B206" s="5">
        <v>36158</v>
      </c>
      <c r="C206" s="42">
        <v>152475</v>
      </c>
      <c r="D206" s="42">
        <v>189428</v>
      </c>
      <c r="E206" s="42">
        <v>201343</v>
      </c>
      <c r="F206" s="42">
        <v>813258</v>
      </c>
      <c r="G206" s="42">
        <v>303927</v>
      </c>
      <c r="H206" s="42">
        <v>42988</v>
      </c>
      <c r="I206" s="42">
        <v>73151</v>
      </c>
      <c r="J206" s="42">
        <v>221682</v>
      </c>
      <c r="K206" s="42">
        <v>431906</v>
      </c>
      <c r="L206" s="42">
        <v>167582</v>
      </c>
      <c r="M206" s="42">
        <v>2038669</v>
      </c>
      <c r="N206" s="42">
        <v>1534396</v>
      </c>
      <c r="O206" s="42">
        <v>30489</v>
      </c>
      <c r="P206" s="42">
        <v>87386</v>
      </c>
      <c r="Q206" s="42">
        <v>267862</v>
      </c>
      <c r="R206" s="42">
        <v>1912891</v>
      </c>
      <c r="S206" s="43">
        <v>44824</v>
      </c>
      <c r="T206" s="42">
        <v>394387</v>
      </c>
      <c r="U206" s="4"/>
    </row>
    <row r="207" spans="1:21" x14ac:dyDescent="0.3">
      <c r="A207" s="49">
        <v>45847</v>
      </c>
      <c r="B207" s="5">
        <v>36331</v>
      </c>
      <c r="C207" s="42">
        <v>150648</v>
      </c>
      <c r="D207" s="42">
        <v>189297</v>
      </c>
      <c r="E207" s="42">
        <v>200014</v>
      </c>
      <c r="F207" s="42">
        <v>804757</v>
      </c>
      <c r="G207" s="42">
        <v>306172</v>
      </c>
      <c r="H207" s="42">
        <v>42762</v>
      </c>
      <c r="I207" s="42">
        <v>73178</v>
      </c>
      <c r="J207" s="42">
        <v>224605</v>
      </c>
      <c r="K207" s="42">
        <v>440086</v>
      </c>
      <c r="L207" s="42">
        <v>162176</v>
      </c>
      <c r="M207" s="42">
        <v>2028153</v>
      </c>
      <c r="N207" s="42">
        <v>1538510</v>
      </c>
      <c r="O207" s="42">
        <v>30285</v>
      </c>
      <c r="P207" s="42">
        <v>86079</v>
      </c>
      <c r="Q207" s="42">
        <v>269764</v>
      </c>
      <c r="R207" s="42">
        <v>1905077</v>
      </c>
      <c r="S207" s="43">
        <v>45475</v>
      </c>
      <c r="T207" s="42">
        <v>394074</v>
      </c>
      <c r="U207" s="4"/>
    </row>
    <row r="208" spans="1:21" x14ac:dyDescent="0.3">
      <c r="A208" s="49">
        <v>45846</v>
      </c>
      <c r="B208" s="5">
        <v>35076</v>
      </c>
      <c r="C208" s="42">
        <v>153390</v>
      </c>
      <c r="D208" s="42">
        <v>191557</v>
      </c>
      <c r="E208" s="42">
        <v>201326</v>
      </c>
      <c r="F208" s="42">
        <v>805847</v>
      </c>
      <c r="G208" s="42">
        <v>308621</v>
      </c>
      <c r="H208" s="42">
        <v>43037</v>
      </c>
      <c r="I208" s="42">
        <v>72761</v>
      </c>
      <c r="J208" s="42">
        <v>230251</v>
      </c>
      <c r="K208" s="42">
        <v>443144</v>
      </c>
      <c r="L208" s="42">
        <v>162803</v>
      </c>
      <c r="M208" s="42">
        <v>1991225</v>
      </c>
      <c r="N208" s="42">
        <v>1519629</v>
      </c>
      <c r="O208" s="42">
        <v>29591</v>
      </c>
      <c r="P208" s="42">
        <v>85138</v>
      </c>
      <c r="Q208" s="42">
        <v>270422</v>
      </c>
      <c r="R208" s="42">
        <v>1899046</v>
      </c>
      <c r="S208" s="43">
        <v>43967</v>
      </c>
      <c r="T208" s="42">
        <v>397829</v>
      </c>
      <c r="U208" s="4"/>
    </row>
    <row r="209" spans="1:21" x14ac:dyDescent="0.3">
      <c r="A209" s="49">
        <v>45845</v>
      </c>
      <c r="B209" s="5">
        <v>35574</v>
      </c>
      <c r="C209" s="42">
        <v>157566</v>
      </c>
      <c r="D209" s="42">
        <v>191348</v>
      </c>
      <c r="E209" s="42">
        <v>203014</v>
      </c>
      <c r="F209" s="42">
        <v>804795</v>
      </c>
      <c r="G209" s="42">
        <v>312055</v>
      </c>
      <c r="H209" s="42">
        <v>43034</v>
      </c>
      <c r="I209" s="42">
        <v>73099</v>
      </c>
      <c r="J209" s="42">
        <v>222250</v>
      </c>
      <c r="K209" s="42">
        <v>445944</v>
      </c>
      <c r="L209" s="42">
        <v>164281</v>
      </c>
      <c r="M209" s="42">
        <v>1987833</v>
      </c>
      <c r="N209" s="42">
        <v>1505923</v>
      </c>
      <c r="O209" s="42">
        <v>29687</v>
      </c>
      <c r="P209" s="42">
        <v>85443</v>
      </c>
      <c r="Q209" s="42">
        <v>269672</v>
      </c>
      <c r="R209" s="42">
        <v>1911280</v>
      </c>
      <c r="S209" s="43">
        <v>44081</v>
      </c>
      <c r="T209" s="42">
        <v>400076</v>
      </c>
      <c r="U209" s="4"/>
    </row>
    <row r="210" spans="1:21" x14ac:dyDescent="0.3">
      <c r="A210" s="49">
        <v>45842</v>
      </c>
      <c r="B210" s="5">
        <v>35313</v>
      </c>
      <c r="C210" s="42">
        <v>155385</v>
      </c>
      <c r="D210" s="42">
        <v>188955</v>
      </c>
      <c r="E210" s="42">
        <v>206059</v>
      </c>
      <c r="F210" s="42">
        <v>802144</v>
      </c>
      <c r="G210" s="42">
        <v>316129</v>
      </c>
      <c r="H210" s="42">
        <v>43741</v>
      </c>
      <c r="I210" s="42">
        <v>73035</v>
      </c>
      <c r="J210" s="42">
        <v>221516</v>
      </c>
      <c r="K210" s="42">
        <v>440793</v>
      </c>
      <c r="L210" s="42">
        <v>166161</v>
      </c>
      <c r="M210" s="42">
        <v>1993973</v>
      </c>
      <c r="N210" s="42">
        <v>1500816</v>
      </c>
      <c r="O210" s="42">
        <v>30201</v>
      </c>
      <c r="P210" s="42">
        <v>87133</v>
      </c>
      <c r="Q210" s="42">
        <v>271474</v>
      </c>
      <c r="R210" s="42">
        <v>1919215</v>
      </c>
      <c r="S210" s="43">
        <v>41226</v>
      </c>
      <c r="T210" s="42">
        <v>400281</v>
      </c>
      <c r="U210" s="4"/>
    </row>
    <row r="211" spans="1:21" x14ac:dyDescent="0.3">
      <c r="A211" s="49">
        <v>45841</v>
      </c>
      <c r="B211" s="5">
        <v>36652</v>
      </c>
      <c r="C211" s="42">
        <v>155385</v>
      </c>
      <c r="D211" s="42">
        <v>188955</v>
      </c>
      <c r="E211" s="42">
        <v>206059</v>
      </c>
      <c r="F211" s="42">
        <v>802144</v>
      </c>
      <c r="G211" s="42">
        <v>316129</v>
      </c>
      <c r="H211" s="42">
        <v>43741</v>
      </c>
      <c r="I211" s="42">
        <v>73035</v>
      </c>
      <c r="J211" s="42">
        <v>221516</v>
      </c>
      <c r="K211" s="42">
        <v>440793</v>
      </c>
      <c r="L211" s="42">
        <v>166161</v>
      </c>
      <c r="M211" s="42">
        <v>1993973</v>
      </c>
      <c r="N211" s="42">
        <v>1500816</v>
      </c>
      <c r="O211" s="42">
        <v>30201</v>
      </c>
      <c r="P211" s="42">
        <v>87133</v>
      </c>
      <c r="Q211" s="42">
        <v>271474</v>
      </c>
      <c r="R211" s="42">
        <v>1919215</v>
      </c>
      <c r="S211" s="43">
        <v>42050</v>
      </c>
      <c r="T211" s="42">
        <v>400281</v>
      </c>
      <c r="U211" s="4"/>
    </row>
    <row r="212" spans="1:21" x14ac:dyDescent="0.3">
      <c r="A212" s="49">
        <v>45840</v>
      </c>
      <c r="B212" s="5">
        <v>37323</v>
      </c>
      <c r="C212" s="42">
        <v>153749</v>
      </c>
      <c r="D212" s="42">
        <v>192664</v>
      </c>
      <c r="E212" s="42">
        <v>205363</v>
      </c>
      <c r="F212" s="42">
        <v>784635</v>
      </c>
      <c r="G212" s="42">
        <v>311411</v>
      </c>
      <c r="H212" s="42">
        <v>43024</v>
      </c>
      <c r="I212" s="42">
        <v>73468</v>
      </c>
      <c r="J212" s="42">
        <v>217121</v>
      </c>
      <c r="K212" s="42">
        <v>438709</v>
      </c>
      <c r="L212" s="42">
        <v>164204</v>
      </c>
      <c r="M212" s="42">
        <v>2003475</v>
      </c>
      <c r="N212" s="42">
        <v>1496738</v>
      </c>
      <c r="O212" s="42">
        <v>30308</v>
      </c>
      <c r="P212" s="42">
        <v>85686</v>
      </c>
      <c r="Q212" s="42">
        <v>265259</v>
      </c>
      <c r="R212" s="42">
        <v>1905645</v>
      </c>
      <c r="S212" s="43">
        <v>42995</v>
      </c>
      <c r="T212" s="42">
        <v>397400</v>
      </c>
      <c r="U212" s="4"/>
    </row>
    <row r="213" spans="1:21" x14ac:dyDescent="0.3">
      <c r="A213" s="49">
        <v>45839</v>
      </c>
      <c r="B213" s="5">
        <v>36286</v>
      </c>
      <c r="C213" s="42">
        <v>151338</v>
      </c>
      <c r="D213" s="42">
        <v>188689</v>
      </c>
      <c r="E213" s="42">
        <v>203485</v>
      </c>
      <c r="F213" s="42">
        <v>779031</v>
      </c>
      <c r="G213" s="42">
        <v>314251</v>
      </c>
      <c r="H213" s="42">
        <v>42303</v>
      </c>
      <c r="I213" s="42">
        <v>72546</v>
      </c>
      <c r="J213" s="42">
        <v>212300</v>
      </c>
      <c r="K213" s="42">
        <v>437662</v>
      </c>
      <c r="L213" s="42">
        <v>163567</v>
      </c>
      <c r="M213" s="42">
        <v>1989440</v>
      </c>
      <c r="N213" s="42">
        <v>1499596</v>
      </c>
      <c r="O213" s="42">
        <v>29388</v>
      </c>
      <c r="P213" s="42">
        <v>86845</v>
      </c>
      <c r="Q213" s="42">
        <v>265393</v>
      </c>
      <c r="R213" s="42">
        <v>1887354</v>
      </c>
      <c r="S213" s="43">
        <v>44445</v>
      </c>
      <c r="T213" s="42">
        <v>388073</v>
      </c>
      <c r="U213" s="4"/>
    </row>
    <row r="214" spans="1:21" x14ac:dyDescent="0.3">
      <c r="A214" s="49">
        <v>45838</v>
      </c>
      <c r="B214" s="5">
        <v>36162</v>
      </c>
      <c r="C214" s="42">
        <v>150750</v>
      </c>
      <c r="D214" s="42">
        <v>191151</v>
      </c>
      <c r="E214" s="42">
        <v>202310</v>
      </c>
      <c r="F214" s="42">
        <v>776106</v>
      </c>
      <c r="G214" s="42">
        <v>311602</v>
      </c>
      <c r="H214" s="42">
        <v>43195</v>
      </c>
      <c r="I214" s="42">
        <v>70394</v>
      </c>
      <c r="J214" s="42">
        <v>206318</v>
      </c>
      <c r="K214" s="42">
        <v>434714</v>
      </c>
      <c r="L214" s="42">
        <v>162359</v>
      </c>
      <c r="M214" s="42">
        <v>1965322</v>
      </c>
      <c r="N214" s="42">
        <v>1490968</v>
      </c>
      <c r="O214" s="42">
        <v>29494</v>
      </c>
      <c r="P214" s="42">
        <v>82366</v>
      </c>
      <c r="Q214" s="42">
        <v>269290</v>
      </c>
      <c r="R214" s="42">
        <v>1875295</v>
      </c>
      <c r="S214" s="43">
        <v>44236</v>
      </c>
      <c r="T214" s="42">
        <v>387101</v>
      </c>
      <c r="U214" s="4"/>
    </row>
    <row r="215" spans="1:21" x14ac:dyDescent="0.3">
      <c r="A215" s="49">
        <v>45835</v>
      </c>
      <c r="B215" s="5">
        <v>34846</v>
      </c>
      <c r="C215" s="42">
        <v>147573</v>
      </c>
      <c r="D215" s="42">
        <v>187964</v>
      </c>
      <c r="E215" s="42">
        <v>202925</v>
      </c>
      <c r="F215" s="42">
        <v>776476</v>
      </c>
      <c r="G215" s="42">
        <v>313166</v>
      </c>
      <c r="H215" s="42">
        <v>42785</v>
      </c>
      <c r="I215" s="42">
        <v>69365</v>
      </c>
      <c r="J215" s="42">
        <v>207071</v>
      </c>
      <c r="K215" s="42">
        <v>436022</v>
      </c>
      <c r="L215" s="42">
        <v>166485</v>
      </c>
      <c r="M215" s="42">
        <v>1993679</v>
      </c>
      <c r="N215" s="42">
        <v>1484060</v>
      </c>
      <c r="O215" s="42">
        <v>31268</v>
      </c>
      <c r="P215" s="42">
        <v>83327</v>
      </c>
      <c r="Q215" s="42">
        <v>261274</v>
      </c>
      <c r="R215" s="42">
        <v>1879058</v>
      </c>
      <c r="S215" s="43">
        <v>44178</v>
      </c>
      <c r="T215" s="42">
        <v>390520</v>
      </c>
      <c r="U215" s="4"/>
    </row>
    <row r="216" spans="1:21" x14ac:dyDescent="0.3">
      <c r="A216" s="49">
        <v>45834</v>
      </c>
      <c r="B216" s="5">
        <v>34771</v>
      </c>
      <c r="C216" s="42">
        <v>148698</v>
      </c>
      <c r="D216" s="42">
        <v>184704</v>
      </c>
      <c r="E216" s="42">
        <v>203310</v>
      </c>
      <c r="F216" s="42">
        <v>773506</v>
      </c>
      <c r="G216" s="42">
        <v>314221</v>
      </c>
      <c r="H216" s="42">
        <v>43716</v>
      </c>
      <c r="I216" s="42">
        <v>69860</v>
      </c>
      <c r="J216" s="42">
        <v>205989</v>
      </c>
      <c r="K216" s="42">
        <v>434448</v>
      </c>
      <c r="L216" s="42">
        <v>168815</v>
      </c>
      <c r="M216" s="42">
        <v>1990706</v>
      </c>
      <c r="N216" s="42">
        <v>1498331</v>
      </c>
      <c r="O216" s="42">
        <v>31262</v>
      </c>
      <c r="P216" s="42">
        <v>82301</v>
      </c>
      <c r="Q216" s="42">
        <v>260095</v>
      </c>
      <c r="R216" s="42">
        <v>1911858</v>
      </c>
      <c r="S216" s="43">
        <v>43298</v>
      </c>
      <c r="T216" s="42">
        <v>387955</v>
      </c>
      <c r="U216" s="4"/>
    </row>
    <row r="217" spans="1:21" x14ac:dyDescent="0.3">
      <c r="A217" s="49">
        <v>45833</v>
      </c>
      <c r="B217" s="5">
        <v>32704</v>
      </c>
      <c r="C217" s="42">
        <v>151289</v>
      </c>
      <c r="D217" s="42">
        <v>181137</v>
      </c>
      <c r="E217" s="42">
        <v>202887</v>
      </c>
      <c r="F217" s="42">
        <v>769824</v>
      </c>
      <c r="G217" s="42">
        <v>312535</v>
      </c>
      <c r="H217" s="42">
        <v>43703</v>
      </c>
      <c r="I217" s="42">
        <v>69207</v>
      </c>
      <c r="J217" s="42">
        <v>202073</v>
      </c>
      <c r="K217" s="42">
        <v>434138</v>
      </c>
      <c r="L217" s="42">
        <v>168508</v>
      </c>
      <c r="M217" s="42">
        <v>1982634</v>
      </c>
      <c r="N217" s="42">
        <v>1497020</v>
      </c>
      <c r="O217" s="42">
        <v>31951</v>
      </c>
      <c r="P217" s="42">
        <v>80388</v>
      </c>
      <c r="Q217" s="42">
        <v>253031</v>
      </c>
      <c r="R217" s="42">
        <v>1899590</v>
      </c>
      <c r="S217" s="43">
        <v>43787</v>
      </c>
      <c r="T217" s="42">
        <v>391652</v>
      </c>
      <c r="U217" s="4"/>
    </row>
    <row r="218" spans="1:21" x14ac:dyDescent="0.3">
      <c r="A218" s="49">
        <v>45832</v>
      </c>
      <c r="B218" s="5">
        <v>31225</v>
      </c>
      <c r="C218" s="42">
        <v>151032</v>
      </c>
      <c r="D218" s="42">
        <v>179898</v>
      </c>
      <c r="E218" s="42">
        <v>201194</v>
      </c>
      <c r="F218" s="42">
        <v>762607</v>
      </c>
      <c r="G218" s="42">
        <v>314767</v>
      </c>
      <c r="H218" s="42">
        <v>44217</v>
      </c>
      <c r="I218" s="42">
        <v>69488</v>
      </c>
      <c r="J218" s="42">
        <v>203404</v>
      </c>
      <c r="K218" s="42">
        <v>434958</v>
      </c>
      <c r="L218" s="42">
        <v>174613</v>
      </c>
      <c r="M218" s="42">
        <v>1961998</v>
      </c>
      <c r="N218" s="42">
        <v>1491798</v>
      </c>
      <c r="O218" s="42">
        <v>31352</v>
      </c>
      <c r="P218" s="42">
        <v>82269</v>
      </c>
      <c r="Q218" s="42">
        <v>253330</v>
      </c>
      <c r="R218" s="42">
        <v>1886453</v>
      </c>
      <c r="S218" s="43">
        <v>46547</v>
      </c>
      <c r="T218" s="42">
        <v>389854</v>
      </c>
      <c r="U218" s="4"/>
    </row>
    <row r="219" spans="1:21" x14ac:dyDescent="0.3">
      <c r="A219" s="49">
        <v>45831</v>
      </c>
      <c r="B219" s="5">
        <v>31198</v>
      </c>
      <c r="C219" s="42">
        <v>152311</v>
      </c>
      <c r="D219" s="42">
        <v>175947</v>
      </c>
      <c r="E219" s="42">
        <v>204113</v>
      </c>
      <c r="F219" s="42">
        <v>756477</v>
      </c>
      <c r="G219" s="42">
        <v>321460</v>
      </c>
      <c r="H219" s="42">
        <v>44127</v>
      </c>
      <c r="I219" s="42">
        <v>68688</v>
      </c>
      <c r="J219" s="42">
        <v>204588</v>
      </c>
      <c r="K219" s="42">
        <v>440905</v>
      </c>
      <c r="L219" s="42">
        <v>180604</v>
      </c>
      <c r="M219" s="42">
        <v>1982677</v>
      </c>
      <c r="N219" s="42">
        <v>1491773</v>
      </c>
      <c r="O219" s="42">
        <v>29910</v>
      </c>
      <c r="P219" s="42">
        <v>80843</v>
      </c>
      <c r="Q219" s="42">
        <v>240822</v>
      </c>
      <c r="R219" s="42">
        <v>1855704</v>
      </c>
      <c r="S219" s="43">
        <v>45933</v>
      </c>
      <c r="T219" s="42">
        <v>394591</v>
      </c>
      <c r="U219" s="4"/>
    </row>
    <row r="220" spans="1:21" x14ac:dyDescent="0.3">
      <c r="A220" s="49">
        <v>45828</v>
      </c>
      <c r="B220" s="5">
        <v>31022</v>
      </c>
      <c r="C220" s="42">
        <v>150132</v>
      </c>
      <c r="D220" s="42">
        <v>176854</v>
      </c>
      <c r="E220" s="42">
        <v>203668</v>
      </c>
      <c r="F220" s="42">
        <v>752361</v>
      </c>
      <c r="G220" s="42">
        <v>317395</v>
      </c>
      <c r="H220" s="42">
        <v>47421</v>
      </c>
      <c r="I220" s="42">
        <v>68035</v>
      </c>
      <c r="J220" s="42">
        <v>199459</v>
      </c>
      <c r="K220" s="42">
        <v>440107</v>
      </c>
      <c r="L220" s="42">
        <v>183316</v>
      </c>
      <c r="M220" s="42">
        <v>1958208</v>
      </c>
      <c r="N220" s="42">
        <v>1498898</v>
      </c>
      <c r="O220" s="42">
        <v>29939</v>
      </c>
      <c r="P220" s="42">
        <v>101544</v>
      </c>
      <c r="Q220" s="42">
        <v>310513</v>
      </c>
      <c r="R220" s="42">
        <v>2404089</v>
      </c>
      <c r="S220" s="43">
        <v>46996</v>
      </c>
      <c r="T220" s="42">
        <v>510733</v>
      </c>
      <c r="U220" s="4"/>
    </row>
    <row r="221" spans="1:21" x14ac:dyDescent="0.3">
      <c r="A221" s="49">
        <v>45827</v>
      </c>
      <c r="B221" s="5">
        <v>31060</v>
      </c>
      <c r="C221" s="42">
        <v>148193</v>
      </c>
      <c r="D221" s="42">
        <v>177426</v>
      </c>
      <c r="E221" s="42">
        <v>205342</v>
      </c>
      <c r="F221" s="42">
        <v>753426</v>
      </c>
      <c r="G221" s="42">
        <v>315874</v>
      </c>
      <c r="H221" s="42">
        <v>46946</v>
      </c>
      <c r="I221" s="42">
        <v>68034</v>
      </c>
      <c r="J221" s="42">
        <v>201867</v>
      </c>
      <c r="K221" s="42">
        <v>442374</v>
      </c>
      <c r="L221" s="42">
        <v>184482</v>
      </c>
      <c r="M221" s="42">
        <v>1929757</v>
      </c>
      <c r="N221" s="42">
        <v>1510312</v>
      </c>
      <c r="O221" s="42">
        <v>30900</v>
      </c>
      <c r="P221" s="42">
        <v>101197</v>
      </c>
      <c r="Q221" s="42">
        <v>310725</v>
      </c>
      <c r="R221" s="42">
        <v>2438787</v>
      </c>
      <c r="S221" s="43">
        <v>64089</v>
      </c>
      <c r="T221" s="42">
        <v>507870</v>
      </c>
      <c r="U221" s="4"/>
    </row>
    <row r="222" spans="1:21" x14ac:dyDescent="0.3">
      <c r="A222" s="49">
        <v>45826</v>
      </c>
      <c r="B222" s="5">
        <v>30425</v>
      </c>
      <c r="C222" s="42">
        <v>148193</v>
      </c>
      <c r="D222" s="42">
        <v>177426</v>
      </c>
      <c r="E222" s="42">
        <v>205342</v>
      </c>
      <c r="F222" s="42">
        <v>753426</v>
      </c>
      <c r="G222" s="42">
        <v>315874</v>
      </c>
      <c r="H222" s="42">
        <v>46946</v>
      </c>
      <c r="I222" s="42">
        <v>68034</v>
      </c>
      <c r="J222" s="42">
        <v>201867</v>
      </c>
      <c r="K222" s="42">
        <v>442374</v>
      </c>
      <c r="L222" s="42">
        <v>184482</v>
      </c>
      <c r="M222" s="42">
        <v>1929757</v>
      </c>
      <c r="N222" s="42">
        <v>1510312</v>
      </c>
      <c r="O222" s="42">
        <v>30900</v>
      </c>
      <c r="P222" s="42">
        <v>101197</v>
      </c>
      <c r="Q222" s="42">
        <v>310725</v>
      </c>
      <c r="R222" s="42">
        <v>2438787</v>
      </c>
      <c r="S222" s="43">
        <v>67859</v>
      </c>
      <c r="T222" s="42">
        <v>507870</v>
      </c>
      <c r="U222" s="4"/>
    </row>
    <row r="223" spans="1:21" x14ac:dyDescent="0.3">
      <c r="A223" s="49">
        <v>45825</v>
      </c>
      <c r="B223" s="5">
        <v>30721</v>
      </c>
      <c r="C223" s="42">
        <v>209477</v>
      </c>
      <c r="D223" s="42">
        <v>229054</v>
      </c>
      <c r="E223" s="42">
        <v>294801</v>
      </c>
      <c r="F223" s="42">
        <v>988283</v>
      </c>
      <c r="G223" s="42">
        <v>419248</v>
      </c>
      <c r="H223" s="42">
        <v>75644</v>
      </c>
      <c r="I223" s="42">
        <v>91057</v>
      </c>
      <c r="J223" s="42">
        <v>202728</v>
      </c>
      <c r="K223" s="42">
        <v>441214</v>
      </c>
      <c r="L223" s="42">
        <v>184831</v>
      </c>
      <c r="M223" s="42">
        <v>1938664</v>
      </c>
      <c r="N223" s="42">
        <v>1529833</v>
      </c>
      <c r="O223" s="42">
        <v>30860</v>
      </c>
      <c r="P223" s="42">
        <v>100802</v>
      </c>
      <c r="Q223" s="42">
        <v>311779</v>
      </c>
      <c r="R223" s="42">
        <v>2450146</v>
      </c>
      <c r="S223" s="43">
        <v>83741</v>
      </c>
      <c r="T223" s="42">
        <v>501995</v>
      </c>
      <c r="U223" s="4"/>
    </row>
    <row r="224" spans="1:21" x14ac:dyDescent="0.3">
      <c r="A224" s="49">
        <v>45824</v>
      </c>
      <c r="B224" s="5">
        <v>31364</v>
      </c>
      <c r="C224" s="42">
        <v>205406</v>
      </c>
      <c r="D224" s="42">
        <v>229353</v>
      </c>
      <c r="E224" s="42">
        <v>289484</v>
      </c>
      <c r="F224" s="42">
        <v>986432</v>
      </c>
      <c r="G224" s="42">
        <v>412962</v>
      </c>
      <c r="H224" s="42">
        <v>74340</v>
      </c>
      <c r="I224" s="42">
        <v>88780</v>
      </c>
      <c r="J224" s="42">
        <v>203824</v>
      </c>
      <c r="K224" s="42">
        <v>439321</v>
      </c>
      <c r="L224" s="42">
        <v>180582</v>
      </c>
      <c r="M224" s="42">
        <v>1924443</v>
      </c>
      <c r="N224" s="42">
        <v>1545171</v>
      </c>
      <c r="O224" s="42">
        <v>30882</v>
      </c>
      <c r="P224" s="42">
        <v>98875</v>
      </c>
      <c r="Q224" s="42">
        <v>309655</v>
      </c>
      <c r="R224" s="42">
        <v>2441805</v>
      </c>
      <c r="S224" s="43">
        <v>73503</v>
      </c>
      <c r="T224" s="42">
        <v>503305</v>
      </c>
      <c r="U224" s="4"/>
    </row>
    <row r="225" spans="1:21" x14ac:dyDescent="0.3">
      <c r="A225" s="49">
        <v>45821</v>
      </c>
      <c r="B225" s="5">
        <v>37190</v>
      </c>
      <c r="C225" s="42">
        <v>206819</v>
      </c>
      <c r="D225" s="42">
        <v>229405</v>
      </c>
      <c r="E225" s="42">
        <v>288682</v>
      </c>
      <c r="F225" s="42">
        <v>987701</v>
      </c>
      <c r="G225" s="42">
        <v>404859</v>
      </c>
      <c r="H225" s="42">
        <v>71903</v>
      </c>
      <c r="I225" s="42">
        <v>88996</v>
      </c>
      <c r="J225" s="42">
        <v>201374</v>
      </c>
      <c r="K225" s="42">
        <v>439674</v>
      </c>
      <c r="L225" s="42">
        <v>179955</v>
      </c>
      <c r="M225" s="42">
        <v>1958032</v>
      </c>
      <c r="N225" s="42">
        <v>1546961</v>
      </c>
      <c r="O225" s="42">
        <v>30191</v>
      </c>
      <c r="P225" s="42">
        <v>91228</v>
      </c>
      <c r="Q225" s="42">
        <v>288121</v>
      </c>
      <c r="R225" s="42">
        <v>2309756</v>
      </c>
      <c r="S225" s="43">
        <v>60918</v>
      </c>
      <c r="T225" s="42">
        <v>490623</v>
      </c>
      <c r="U225" s="4"/>
    </row>
    <row r="226" spans="1:21" x14ac:dyDescent="0.3">
      <c r="A226" s="49">
        <v>45820</v>
      </c>
      <c r="B226" s="43">
        <v>40951</v>
      </c>
      <c r="C226" s="42">
        <v>209550</v>
      </c>
      <c r="D226" s="42">
        <v>233828</v>
      </c>
      <c r="E226" s="42">
        <v>292404</v>
      </c>
      <c r="F226" s="42">
        <v>947789</v>
      </c>
      <c r="G226" s="42">
        <v>417056</v>
      </c>
      <c r="H226" s="42">
        <v>74186</v>
      </c>
      <c r="I226" s="42">
        <v>88333</v>
      </c>
      <c r="J226" s="42">
        <v>204211</v>
      </c>
      <c r="K226" s="42">
        <v>432310</v>
      </c>
      <c r="L226" s="42">
        <v>180533</v>
      </c>
      <c r="M226" s="42">
        <v>1993465</v>
      </c>
      <c r="N226" s="42">
        <v>1545901</v>
      </c>
      <c r="O226" s="42">
        <v>30141</v>
      </c>
      <c r="P226" s="42">
        <v>90529</v>
      </c>
      <c r="Q226" s="42">
        <v>289470</v>
      </c>
      <c r="R226" s="42">
        <v>2287702</v>
      </c>
      <c r="S226" s="43">
        <v>55379</v>
      </c>
      <c r="T226" s="42">
        <v>460474</v>
      </c>
      <c r="U226" s="4"/>
    </row>
    <row r="227" spans="1:21" x14ac:dyDescent="0.3">
      <c r="A227" s="49">
        <v>45819</v>
      </c>
      <c r="B227" s="43">
        <v>34475</v>
      </c>
      <c r="C227" s="42">
        <v>214106</v>
      </c>
      <c r="D227" s="42">
        <v>220562</v>
      </c>
      <c r="E227" s="42">
        <v>284345</v>
      </c>
      <c r="F227" s="42">
        <v>857691</v>
      </c>
      <c r="G227" s="42">
        <v>396662</v>
      </c>
      <c r="H227" s="42">
        <v>73030</v>
      </c>
      <c r="I227" s="42">
        <v>89408</v>
      </c>
      <c r="J227" s="42">
        <v>201581</v>
      </c>
      <c r="K227" s="42">
        <v>423276</v>
      </c>
      <c r="L227" s="42">
        <v>176141</v>
      </c>
      <c r="M227" s="42">
        <v>1995016</v>
      </c>
      <c r="N227" s="42">
        <v>1538975</v>
      </c>
      <c r="O227" s="42">
        <v>30015</v>
      </c>
      <c r="P227" s="42">
        <v>86069</v>
      </c>
      <c r="Q227" s="42">
        <v>277748</v>
      </c>
      <c r="R227" s="42">
        <v>2253950</v>
      </c>
      <c r="S227" s="43">
        <v>53551</v>
      </c>
      <c r="T227" s="42">
        <v>456303</v>
      </c>
      <c r="U227" s="4"/>
    </row>
    <row r="228" spans="1:21" x14ac:dyDescent="0.3">
      <c r="A228" s="49">
        <v>45818</v>
      </c>
      <c r="B228" s="43">
        <v>30659</v>
      </c>
      <c r="C228" s="42">
        <v>224272</v>
      </c>
      <c r="D228" s="42">
        <v>213940</v>
      </c>
      <c r="E228" s="42">
        <v>288477</v>
      </c>
      <c r="F228" s="42">
        <v>810517</v>
      </c>
      <c r="G228" s="42">
        <v>388263</v>
      </c>
      <c r="H228" s="42">
        <v>78867</v>
      </c>
      <c r="I228" s="42">
        <v>86928</v>
      </c>
      <c r="J228" s="42">
        <v>207359</v>
      </c>
      <c r="K228" s="42">
        <v>417143</v>
      </c>
      <c r="L228" s="42">
        <v>174281</v>
      </c>
      <c r="M228" s="42">
        <v>2017212</v>
      </c>
      <c r="N228" s="42">
        <v>1540367</v>
      </c>
      <c r="O228" s="42">
        <v>30261</v>
      </c>
      <c r="P228" s="42">
        <v>85743</v>
      </c>
      <c r="Q228" s="42">
        <v>276888</v>
      </c>
      <c r="R228" s="42">
        <v>2223909</v>
      </c>
      <c r="S228" s="43">
        <v>50602</v>
      </c>
      <c r="T228" s="42">
        <v>447044</v>
      </c>
      <c r="U228" s="4"/>
    </row>
    <row r="229" spans="1:21" x14ac:dyDescent="0.3">
      <c r="A229" s="49">
        <v>45817</v>
      </c>
      <c r="B229" s="43">
        <v>31242</v>
      </c>
      <c r="C229" s="42">
        <v>210100</v>
      </c>
      <c r="D229" s="42">
        <v>228037</v>
      </c>
      <c r="E229" s="42">
        <v>288945</v>
      </c>
      <c r="F229" s="42">
        <v>790153</v>
      </c>
      <c r="G229" s="42">
        <v>371486</v>
      </c>
      <c r="H229" s="42">
        <v>75245</v>
      </c>
      <c r="I229" s="42">
        <v>84613</v>
      </c>
      <c r="J229" s="42">
        <v>212290</v>
      </c>
      <c r="K229" s="42">
        <v>414493</v>
      </c>
      <c r="L229" s="42">
        <v>174425</v>
      </c>
      <c r="M229" s="42">
        <v>2023988</v>
      </c>
      <c r="N229" s="42">
        <v>1544656</v>
      </c>
      <c r="O229" s="42">
        <v>30384</v>
      </c>
      <c r="P229" s="42">
        <v>85234</v>
      </c>
      <c r="Q229" s="42">
        <v>273358</v>
      </c>
      <c r="R229" s="42">
        <v>2161157</v>
      </c>
      <c r="S229" s="43">
        <v>48579</v>
      </c>
      <c r="T229" s="42">
        <v>444058</v>
      </c>
      <c r="U229" s="4"/>
    </row>
    <row r="230" spans="1:21" x14ac:dyDescent="0.3">
      <c r="A230" s="49">
        <v>45814</v>
      </c>
      <c r="B230" s="43">
        <v>31206</v>
      </c>
      <c r="C230" s="42">
        <v>201992</v>
      </c>
      <c r="D230" s="42">
        <v>238019</v>
      </c>
      <c r="E230" s="42">
        <v>273251</v>
      </c>
      <c r="F230" s="42">
        <v>786612</v>
      </c>
      <c r="G230" s="42">
        <v>367889</v>
      </c>
      <c r="H230" s="42">
        <v>67652</v>
      </c>
      <c r="I230" s="42">
        <v>84516</v>
      </c>
      <c r="J230" s="42">
        <v>213720</v>
      </c>
      <c r="K230" s="42">
        <v>415962</v>
      </c>
      <c r="L230" s="42">
        <v>173387</v>
      </c>
      <c r="M230" s="42">
        <v>2034979</v>
      </c>
      <c r="N230" s="42">
        <v>1544763</v>
      </c>
      <c r="O230" s="42">
        <v>29616</v>
      </c>
      <c r="P230" s="42">
        <v>85576</v>
      </c>
      <c r="Q230" s="42">
        <v>275499</v>
      </c>
      <c r="R230" s="42">
        <v>2131742</v>
      </c>
      <c r="S230" s="43">
        <v>48966</v>
      </c>
      <c r="T230" s="42">
        <v>447356</v>
      </c>
      <c r="U230" s="4"/>
    </row>
    <row r="231" spans="1:21" x14ac:dyDescent="0.3">
      <c r="A231" s="49">
        <v>45813</v>
      </c>
      <c r="B231" s="43">
        <v>30853</v>
      </c>
      <c r="C231" s="42">
        <v>204077</v>
      </c>
      <c r="D231" s="42">
        <v>243026</v>
      </c>
      <c r="E231" s="42">
        <v>270597</v>
      </c>
      <c r="F231" s="42">
        <v>779810</v>
      </c>
      <c r="G231" s="42">
        <v>360700</v>
      </c>
      <c r="H231" s="42">
        <v>68888</v>
      </c>
      <c r="I231" s="42">
        <v>83043</v>
      </c>
      <c r="J231" s="42">
        <v>217820</v>
      </c>
      <c r="K231" s="42">
        <v>418066</v>
      </c>
      <c r="L231" s="42">
        <v>171131</v>
      </c>
      <c r="M231" s="42">
        <v>2027322</v>
      </c>
      <c r="N231" s="42">
        <v>1540185</v>
      </c>
      <c r="O231" s="42">
        <v>29092</v>
      </c>
      <c r="P231" s="42">
        <v>84557</v>
      </c>
      <c r="Q231" s="42">
        <v>273583</v>
      </c>
      <c r="R231" s="42">
        <v>2120915</v>
      </c>
      <c r="S231" s="43">
        <v>50395</v>
      </c>
      <c r="T231" s="42">
        <v>443875</v>
      </c>
      <c r="U231" s="4"/>
    </row>
    <row r="232" spans="1:21" x14ac:dyDescent="0.3">
      <c r="A232" s="49">
        <v>45812</v>
      </c>
      <c r="B232" s="43">
        <v>30168</v>
      </c>
      <c r="C232" s="42">
        <v>200499</v>
      </c>
      <c r="D232" s="42">
        <v>238409</v>
      </c>
      <c r="E232" s="42">
        <v>271086</v>
      </c>
      <c r="F232" s="42">
        <v>781330</v>
      </c>
      <c r="G232" s="42">
        <v>361349</v>
      </c>
      <c r="H232" s="42">
        <v>67541</v>
      </c>
      <c r="I232" s="42">
        <v>82365</v>
      </c>
      <c r="J232" s="42">
        <v>215912</v>
      </c>
      <c r="K232" s="42">
        <v>417254</v>
      </c>
      <c r="L232" s="42">
        <v>166052</v>
      </c>
      <c r="M232" s="42">
        <v>2027609</v>
      </c>
      <c r="N232" s="42">
        <v>1525047</v>
      </c>
      <c r="O232" s="42">
        <v>29125</v>
      </c>
      <c r="P232" s="42">
        <v>84616</v>
      </c>
      <c r="Q232" s="42">
        <v>275689</v>
      </c>
      <c r="R232" s="42">
        <v>2123875</v>
      </c>
      <c r="S232" s="43">
        <v>50273</v>
      </c>
      <c r="T232" s="42">
        <v>444251</v>
      </c>
      <c r="U232" s="4"/>
    </row>
    <row r="233" spans="1:21" x14ac:dyDescent="0.3">
      <c r="A233" s="49">
        <v>45811</v>
      </c>
      <c r="B233" s="43">
        <v>28007</v>
      </c>
      <c r="C233" s="42">
        <v>202595</v>
      </c>
      <c r="D233" s="42">
        <v>233601</v>
      </c>
      <c r="E233" s="42">
        <v>270041</v>
      </c>
      <c r="F233" s="42">
        <v>781284</v>
      </c>
      <c r="G233" s="42">
        <v>366008</v>
      </c>
      <c r="H233" s="42">
        <v>67925</v>
      </c>
      <c r="I233" s="42">
        <v>81322</v>
      </c>
      <c r="J233" s="42">
        <v>211857</v>
      </c>
      <c r="K233" s="42">
        <v>415941</v>
      </c>
      <c r="L233" s="42">
        <v>163347</v>
      </c>
      <c r="M233" s="42">
        <v>2010313</v>
      </c>
      <c r="N233" s="42">
        <v>1504141</v>
      </c>
      <c r="O233" s="42">
        <v>29758</v>
      </c>
      <c r="P233" s="42">
        <v>82788</v>
      </c>
      <c r="Q233" s="42">
        <v>277034</v>
      </c>
      <c r="R233" s="42">
        <v>2123862</v>
      </c>
      <c r="S233" s="43">
        <v>49386</v>
      </c>
      <c r="T233" s="42">
        <v>445327</v>
      </c>
      <c r="U233" s="4"/>
    </row>
    <row r="234" spans="1:21" x14ac:dyDescent="0.3">
      <c r="A234" s="49">
        <v>45810</v>
      </c>
      <c r="B234" s="43">
        <v>29034</v>
      </c>
      <c r="C234" s="42">
        <v>201768</v>
      </c>
      <c r="D234" s="42">
        <v>229377</v>
      </c>
      <c r="E234" s="42">
        <v>265549</v>
      </c>
      <c r="F234" s="42">
        <v>776254</v>
      </c>
      <c r="G234" s="42">
        <v>370655</v>
      </c>
      <c r="H234" s="42">
        <v>67694</v>
      </c>
      <c r="I234" s="42">
        <v>81936</v>
      </c>
      <c r="J234" s="42">
        <v>210357</v>
      </c>
      <c r="K234" s="42">
        <v>416217</v>
      </c>
      <c r="L234" s="42">
        <v>159313</v>
      </c>
      <c r="M234" s="42">
        <v>1993655</v>
      </c>
      <c r="N234" s="42">
        <v>1503736</v>
      </c>
      <c r="O234" s="42">
        <v>29130</v>
      </c>
      <c r="P234" s="42">
        <v>81454</v>
      </c>
      <c r="Q234" s="42">
        <v>274595</v>
      </c>
      <c r="R234" s="42">
        <v>2102585</v>
      </c>
      <c r="S234" s="43">
        <v>51128</v>
      </c>
      <c r="T234" s="42">
        <v>441838</v>
      </c>
      <c r="U234" s="4"/>
    </row>
    <row r="235" spans="1:21" x14ac:dyDescent="0.3">
      <c r="A235" s="49">
        <v>45807</v>
      </c>
      <c r="B235" s="43">
        <v>27498</v>
      </c>
      <c r="C235" s="42">
        <v>189668</v>
      </c>
      <c r="D235" s="42">
        <v>201847</v>
      </c>
      <c r="E235" s="42">
        <v>263545</v>
      </c>
      <c r="F235" s="42">
        <v>763798</v>
      </c>
      <c r="G235" s="42">
        <v>370778</v>
      </c>
      <c r="H235" s="42">
        <v>63596</v>
      </c>
      <c r="I235" s="42">
        <v>74148</v>
      </c>
      <c r="J235" s="42">
        <v>207427</v>
      </c>
      <c r="K235" s="42">
        <v>408787</v>
      </c>
      <c r="L235" s="42">
        <v>147836</v>
      </c>
      <c r="M235" s="42">
        <v>1999276</v>
      </c>
      <c r="N235" s="42">
        <v>1511083</v>
      </c>
      <c r="O235" s="42">
        <v>30711</v>
      </c>
      <c r="P235" s="42">
        <v>80801</v>
      </c>
      <c r="Q235" s="42">
        <v>268914</v>
      </c>
      <c r="R235" s="42">
        <v>2090754</v>
      </c>
      <c r="S235" s="43">
        <v>50590</v>
      </c>
      <c r="T235" s="42">
        <v>433590</v>
      </c>
      <c r="U235" s="4"/>
    </row>
    <row r="236" spans="1:21" x14ac:dyDescent="0.3">
      <c r="A236" s="49">
        <v>45806</v>
      </c>
      <c r="B236" s="42">
        <v>27320</v>
      </c>
      <c r="C236" s="42">
        <v>188052</v>
      </c>
      <c r="D236" s="42">
        <v>199905</v>
      </c>
      <c r="E236" s="42">
        <v>263156</v>
      </c>
      <c r="F236" s="42">
        <v>765719</v>
      </c>
      <c r="G236" s="42">
        <v>370106</v>
      </c>
      <c r="H236" s="42">
        <v>62896</v>
      </c>
      <c r="I236" s="42">
        <v>74243</v>
      </c>
      <c r="J236" s="42">
        <v>210019</v>
      </c>
      <c r="K236" s="42">
        <v>422605</v>
      </c>
      <c r="L236" s="42">
        <v>149317</v>
      </c>
      <c r="M236" s="42">
        <v>1969423</v>
      </c>
      <c r="N236" s="42">
        <v>1499817</v>
      </c>
      <c r="O236" s="42">
        <v>30783</v>
      </c>
      <c r="P236" s="42">
        <v>80113</v>
      </c>
      <c r="Q236" s="42">
        <v>269756</v>
      </c>
      <c r="R236" s="42">
        <v>2094924</v>
      </c>
      <c r="S236" s="43">
        <v>49779</v>
      </c>
      <c r="T236" s="42">
        <v>435284</v>
      </c>
      <c r="U236" s="4"/>
    </row>
    <row r="237" spans="1:21" x14ac:dyDescent="0.3">
      <c r="A237" s="49">
        <v>45805</v>
      </c>
      <c r="B237" s="42">
        <v>28903</v>
      </c>
      <c r="C237" s="42">
        <v>187778</v>
      </c>
      <c r="D237" s="42">
        <v>199993</v>
      </c>
      <c r="E237" s="42">
        <v>262193</v>
      </c>
      <c r="F237" s="42">
        <v>767764</v>
      </c>
      <c r="G237" s="42">
        <v>378648</v>
      </c>
      <c r="H237" s="42">
        <v>62566</v>
      </c>
      <c r="I237" s="42">
        <v>74673</v>
      </c>
      <c r="J237" s="42">
        <v>209451</v>
      </c>
      <c r="K237" s="42">
        <v>429542</v>
      </c>
      <c r="L237" s="42">
        <v>148020</v>
      </c>
      <c r="M237" s="42">
        <v>1952226</v>
      </c>
      <c r="N237" s="42">
        <v>1492763</v>
      </c>
      <c r="O237" s="42">
        <v>30621</v>
      </c>
      <c r="P237" s="42">
        <v>79806</v>
      </c>
      <c r="Q237" s="42">
        <v>270386</v>
      </c>
      <c r="R237" s="42">
        <v>2100271</v>
      </c>
      <c r="S237" s="43">
        <v>51371</v>
      </c>
      <c r="T237" s="42">
        <v>434466</v>
      </c>
      <c r="U237" s="4"/>
    </row>
    <row r="238" spans="1:21" x14ac:dyDescent="0.3">
      <c r="A238" s="49">
        <v>45804</v>
      </c>
      <c r="B238" s="42">
        <v>30979</v>
      </c>
      <c r="C238" s="42">
        <v>179292</v>
      </c>
      <c r="D238" s="42">
        <v>202990</v>
      </c>
      <c r="E238" s="42">
        <v>263232</v>
      </c>
      <c r="F238" s="42">
        <v>760471</v>
      </c>
      <c r="G238" s="42">
        <v>377011</v>
      </c>
      <c r="H238" s="42">
        <v>59262</v>
      </c>
      <c r="I238" s="42">
        <v>73781</v>
      </c>
      <c r="J238" s="42">
        <v>208601</v>
      </c>
      <c r="K238" s="42">
        <v>437538</v>
      </c>
      <c r="L238" s="42">
        <v>147555</v>
      </c>
      <c r="M238" s="42">
        <v>1943708</v>
      </c>
      <c r="N238" s="42">
        <v>1470148</v>
      </c>
      <c r="O238" s="42">
        <v>31964</v>
      </c>
      <c r="P238" s="42">
        <v>80388</v>
      </c>
      <c r="Q238" s="42">
        <v>275143</v>
      </c>
      <c r="R238" s="42">
        <v>2112166</v>
      </c>
      <c r="S238" s="43">
        <v>51161</v>
      </c>
      <c r="T238" s="42">
        <v>434066</v>
      </c>
      <c r="U238" s="4"/>
    </row>
    <row r="239" spans="1:21" x14ac:dyDescent="0.3">
      <c r="A239" s="49">
        <v>45803</v>
      </c>
      <c r="B239" s="42">
        <v>32342</v>
      </c>
      <c r="C239" s="42">
        <v>179042</v>
      </c>
      <c r="D239" s="42">
        <v>201406</v>
      </c>
      <c r="E239" s="42">
        <v>266418</v>
      </c>
      <c r="F239" s="42">
        <v>760684</v>
      </c>
      <c r="G239" s="42">
        <v>360941</v>
      </c>
      <c r="H239" s="42">
        <v>59761</v>
      </c>
      <c r="I239" s="42">
        <v>73117</v>
      </c>
      <c r="J239" s="42">
        <v>208161</v>
      </c>
      <c r="K239" s="42">
        <v>451013</v>
      </c>
      <c r="L239" s="42">
        <v>148015</v>
      </c>
      <c r="M239" s="42">
        <v>1920482</v>
      </c>
      <c r="N239" s="42">
        <v>1472878</v>
      </c>
      <c r="O239" s="42">
        <v>31354</v>
      </c>
      <c r="P239" s="42">
        <v>80421</v>
      </c>
      <c r="Q239" s="42">
        <v>271735</v>
      </c>
      <c r="R239" s="42">
        <v>2103797</v>
      </c>
      <c r="S239" s="43">
        <v>49007</v>
      </c>
      <c r="T239" s="42">
        <v>434688</v>
      </c>
      <c r="U239" s="4"/>
    </row>
    <row r="240" spans="1:21" x14ac:dyDescent="0.3">
      <c r="A240" s="49">
        <v>45800</v>
      </c>
      <c r="B240" s="42">
        <v>32044</v>
      </c>
      <c r="C240" s="42">
        <v>179042</v>
      </c>
      <c r="D240" s="42">
        <v>201406</v>
      </c>
      <c r="E240" s="42">
        <v>266418</v>
      </c>
      <c r="F240" s="42">
        <v>760684</v>
      </c>
      <c r="G240" s="42">
        <v>360941</v>
      </c>
      <c r="H240" s="42">
        <v>59761</v>
      </c>
      <c r="I240" s="42">
        <v>73117</v>
      </c>
      <c r="J240" s="42">
        <v>208161</v>
      </c>
      <c r="K240" s="42">
        <v>451013</v>
      </c>
      <c r="L240" s="42">
        <v>148015</v>
      </c>
      <c r="M240" s="42">
        <v>1920482</v>
      </c>
      <c r="N240" s="42">
        <v>1472878</v>
      </c>
      <c r="O240" s="42">
        <v>31354</v>
      </c>
      <c r="P240" s="42">
        <v>80421</v>
      </c>
      <c r="Q240" s="42">
        <v>271735</v>
      </c>
      <c r="R240" s="42">
        <v>2103797</v>
      </c>
      <c r="S240" s="43">
        <v>54875</v>
      </c>
      <c r="T240" s="42">
        <v>434688</v>
      </c>
      <c r="U240" s="4"/>
    </row>
    <row r="241" spans="1:21" x14ac:dyDescent="0.3">
      <c r="A241" s="49">
        <v>45799</v>
      </c>
      <c r="B241" s="42">
        <v>30939</v>
      </c>
      <c r="C241" s="42">
        <v>174229</v>
      </c>
      <c r="D241" s="42">
        <v>199358</v>
      </c>
      <c r="E241" s="42">
        <v>265464</v>
      </c>
      <c r="F241" s="42">
        <v>763314</v>
      </c>
      <c r="G241" s="42">
        <v>364206</v>
      </c>
      <c r="H241" s="42">
        <v>60031</v>
      </c>
      <c r="I241" s="42">
        <v>72744</v>
      </c>
      <c r="J241" s="42">
        <v>207597</v>
      </c>
      <c r="K241" s="42">
        <v>452564</v>
      </c>
      <c r="L241" s="42">
        <v>144831</v>
      </c>
      <c r="M241" s="42">
        <v>1908614</v>
      </c>
      <c r="N241" s="42">
        <v>1476389</v>
      </c>
      <c r="O241" s="42">
        <v>32796</v>
      </c>
      <c r="P241" s="42">
        <v>79205</v>
      </c>
      <c r="Q241" s="42">
        <v>279741</v>
      </c>
      <c r="R241" s="42">
        <v>2113190</v>
      </c>
      <c r="S241" s="43">
        <v>50302</v>
      </c>
      <c r="T241" s="42">
        <v>436765</v>
      </c>
      <c r="U241" s="4"/>
    </row>
    <row r="242" spans="1:21" x14ac:dyDescent="0.3">
      <c r="A242" s="49">
        <v>45798</v>
      </c>
      <c r="B242" s="42">
        <v>31096</v>
      </c>
      <c r="C242" s="42">
        <v>176418</v>
      </c>
      <c r="D242" s="42">
        <v>200817</v>
      </c>
      <c r="E242" s="42">
        <v>265630</v>
      </c>
      <c r="F242" s="42">
        <v>766780</v>
      </c>
      <c r="G242" s="42">
        <v>367648</v>
      </c>
      <c r="H242" s="42">
        <v>60430</v>
      </c>
      <c r="I242" s="42">
        <v>73251</v>
      </c>
      <c r="J242" s="42">
        <v>207665</v>
      </c>
      <c r="K242" s="42">
        <v>453340</v>
      </c>
      <c r="L242" s="42">
        <v>145754</v>
      </c>
      <c r="M242" s="42">
        <v>1901970</v>
      </c>
      <c r="N242" s="42">
        <v>1482591</v>
      </c>
      <c r="O242" s="42">
        <v>32148</v>
      </c>
      <c r="P242" s="42">
        <v>80013</v>
      </c>
      <c r="Q242" s="42">
        <v>281349</v>
      </c>
      <c r="R242" s="42">
        <v>2122904</v>
      </c>
      <c r="S242" s="43">
        <v>49614</v>
      </c>
      <c r="T242" s="42">
        <v>436123</v>
      </c>
      <c r="U242" s="4"/>
    </row>
    <row r="243" spans="1:21" x14ac:dyDescent="0.3">
      <c r="A243" s="49">
        <v>45797</v>
      </c>
      <c r="B243" s="42">
        <v>30189</v>
      </c>
      <c r="C243" s="42">
        <v>178339</v>
      </c>
      <c r="D243" s="42">
        <v>195662</v>
      </c>
      <c r="E243" s="42">
        <v>266748</v>
      </c>
      <c r="F243" s="42">
        <v>761292</v>
      </c>
      <c r="G243" s="42">
        <v>367248</v>
      </c>
      <c r="H243" s="42">
        <v>61056</v>
      </c>
      <c r="I243" s="42">
        <v>73133</v>
      </c>
      <c r="J243" s="42">
        <v>205105</v>
      </c>
      <c r="K243" s="42">
        <v>448000</v>
      </c>
      <c r="L243" s="42">
        <v>141451</v>
      </c>
      <c r="M243" s="42">
        <v>1873273</v>
      </c>
      <c r="N243" s="42">
        <v>1497884</v>
      </c>
      <c r="O243" s="42">
        <v>32033</v>
      </c>
      <c r="P243" s="42">
        <v>78995</v>
      </c>
      <c r="Q243" s="42">
        <v>279368</v>
      </c>
      <c r="R243" s="42">
        <v>2113668</v>
      </c>
      <c r="S243" s="43">
        <v>48247</v>
      </c>
      <c r="T243" s="42">
        <v>435666</v>
      </c>
      <c r="U243" s="4"/>
    </row>
    <row r="244" spans="1:21" x14ac:dyDescent="0.3">
      <c r="A244" s="49">
        <v>45796</v>
      </c>
      <c r="B244" s="42">
        <v>28350</v>
      </c>
      <c r="C244" s="42">
        <v>179640</v>
      </c>
      <c r="D244" s="42">
        <v>195698</v>
      </c>
      <c r="E244" s="42">
        <v>266971</v>
      </c>
      <c r="F244" s="42">
        <v>766913</v>
      </c>
      <c r="G244" s="42">
        <v>363207</v>
      </c>
      <c r="H244" s="42">
        <v>60978</v>
      </c>
      <c r="I244" s="42">
        <v>73623</v>
      </c>
      <c r="J244" s="42">
        <v>205176</v>
      </c>
      <c r="K244" s="42">
        <v>442943</v>
      </c>
      <c r="L244" s="42">
        <v>137540</v>
      </c>
      <c r="M244" s="42">
        <v>1891990</v>
      </c>
      <c r="N244" s="42">
        <v>1515786</v>
      </c>
      <c r="O244" s="42">
        <v>31577</v>
      </c>
      <c r="P244" s="42">
        <v>78148</v>
      </c>
      <c r="Q244" s="42">
        <v>283723</v>
      </c>
      <c r="R244" s="42">
        <v>2109543</v>
      </c>
      <c r="S244" s="43">
        <v>47430</v>
      </c>
      <c r="T244" s="42">
        <v>434720</v>
      </c>
      <c r="U244" s="4"/>
    </row>
    <row r="245" spans="1:21" x14ac:dyDescent="0.3">
      <c r="A245" s="49">
        <v>45793</v>
      </c>
      <c r="B245" s="42">
        <v>27868</v>
      </c>
      <c r="C245" s="42">
        <v>178587</v>
      </c>
      <c r="D245" s="42">
        <v>194071</v>
      </c>
      <c r="E245" s="42">
        <v>268481</v>
      </c>
      <c r="F245" s="42">
        <v>748369</v>
      </c>
      <c r="G245" s="42">
        <v>362991</v>
      </c>
      <c r="H245" s="42">
        <v>61134</v>
      </c>
      <c r="I245" s="42">
        <v>72776</v>
      </c>
      <c r="J245" s="42">
        <v>200758</v>
      </c>
      <c r="K245" s="42">
        <v>441666</v>
      </c>
      <c r="L245" s="42">
        <v>137201</v>
      </c>
      <c r="M245" s="42">
        <v>1888614</v>
      </c>
      <c r="N245" s="42">
        <v>1519182</v>
      </c>
      <c r="O245" s="42">
        <v>30781</v>
      </c>
      <c r="P245" s="42">
        <v>76700</v>
      </c>
      <c r="Q245" s="42">
        <v>285896</v>
      </c>
      <c r="R245" s="42">
        <v>2121731</v>
      </c>
      <c r="S245" s="43">
        <v>48310</v>
      </c>
      <c r="T245" s="42">
        <v>436416</v>
      </c>
      <c r="U245" s="4"/>
    </row>
    <row r="246" spans="1:21" x14ac:dyDescent="0.3">
      <c r="A246" s="49">
        <v>45792</v>
      </c>
      <c r="B246" s="42">
        <v>27695</v>
      </c>
      <c r="C246" s="42">
        <v>176619</v>
      </c>
      <c r="D246" s="42">
        <v>193528</v>
      </c>
      <c r="E246" s="42">
        <v>264384</v>
      </c>
      <c r="F246" s="42">
        <v>750320</v>
      </c>
      <c r="G246" s="42">
        <v>360248</v>
      </c>
      <c r="H246" s="42">
        <v>61370</v>
      </c>
      <c r="I246" s="42">
        <v>72609</v>
      </c>
      <c r="J246" s="42">
        <v>198581</v>
      </c>
      <c r="K246" s="42">
        <v>440192</v>
      </c>
      <c r="L246" s="42">
        <v>137293</v>
      </c>
      <c r="M246" s="42">
        <v>1883765</v>
      </c>
      <c r="N246" s="42">
        <v>1524858</v>
      </c>
      <c r="O246" s="42">
        <v>29903</v>
      </c>
      <c r="P246" s="42">
        <v>76687</v>
      </c>
      <c r="Q246" s="42">
        <v>288341</v>
      </c>
      <c r="R246" s="42">
        <v>2125372</v>
      </c>
      <c r="S246" s="43">
        <v>48841</v>
      </c>
      <c r="T246" s="42">
        <v>440201</v>
      </c>
      <c r="U246" s="4"/>
    </row>
    <row r="247" spans="1:21" x14ac:dyDescent="0.3">
      <c r="A247" s="49">
        <v>45791</v>
      </c>
      <c r="B247" s="42">
        <v>27467</v>
      </c>
      <c r="C247" s="42">
        <v>177031</v>
      </c>
      <c r="D247" s="42">
        <v>193582</v>
      </c>
      <c r="E247" s="42">
        <v>264072</v>
      </c>
      <c r="F247" s="42">
        <v>750371</v>
      </c>
      <c r="G247" s="42">
        <v>360429</v>
      </c>
      <c r="H247" s="42">
        <v>61248</v>
      </c>
      <c r="I247" s="42">
        <v>72969</v>
      </c>
      <c r="J247" s="42">
        <v>196532</v>
      </c>
      <c r="K247" s="42">
        <v>441565</v>
      </c>
      <c r="L247" s="42">
        <v>137704</v>
      </c>
      <c r="M247" s="42">
        <v>1922481</v>
      </c>
      <c r="N247" s="42">
        <v>1523608</v>
      </c>
      <c r="O247" s="42">
        <v>29390</v>
      </c>
      <c r="P247" s="42">
        <v>77235</v>
      </c>
      <c r="Q247" s="42">
        <v>292809</v>
      </c>
      <c r="R247" s="42">
        <v>2110612</v>
      </c>
      <c r="S247" s="43">
        <v>49047</v>
      </c>
      <c r="T247" s="42">
        <v>439427</v>
      </c>
      <c r="U247" s="4"/>
    </row>
    <row r="248" spans="1:21" x14ac:dyDescent="0.3">
      <c r="A248" s="49">
        <v>45790</v>
      </c>
      <c r="B248" s="42">
        <v>27982</v>
      </c>
      <c r="C248" s="42">
        <v>180460</v>
      </c>
      <c r="D248" s="42">
        <v>194861</v>
      </c>
      <c r="E248" s="42">
        <v>262803</v>
      </c>
      <c r="F248" s="42">
        <v>750906</v>
      </c>
      <c r="G248" s="42">
        <v>359521</v>
      </c>
      <c r="H248" s="42">
        <v>60757</v>
      </c>
      <c r="I248" s="42">
        <v>73088</v>
      </c>
      <c r="J248" s="42">
        <v>195840</v>
      </c>
      <c r="K248" s="42">
        <v>440842</v>
      </c>
      <c r="L248" s="42">
        <v>138262</v>
      </c>
      <c r="M248" s="42">
        <v>1948099</v>
      </c>
      <c r="N248" s="42">
        <v>1530591</v>
      </c>
      <c r="O248" s="42">
        <v>29070</v>
      </c>
      <c r="P248" s="42">
        <v>77515</v>
      </c>
      <c r="Q248" s="42">
        <v>283667</v>
      </c>
      <c r="R248" s="42">
        <v>2125890</v>
      </c>
      <c r="S248" s="43">
        <v>48269</v>
      </c>
      <c r="T248" s="42">
        <v>443279</v>
      </c>
      <c r="U248" s="4"/>
    </row>
    <row r="249" spans="1:21" x14ac:dyDescent="0.3">
      <c r="A249" s="49">
        <v>45789</v>
      </c>
      <c r="B249" s="42">
        <v>28018</v>
      </c>
      <c r="C249" s="42">
        <v>178294</v>
      </c>
      <c r="D249" s="42">
        <v>194477</v>
      </c>
      <c r="E249" s="42">
        <v>262814</v>
      </c>
      <c r="F249" s="42">
        <v>749667</v>
      </c>
      <c r="G249" s="42">
        <v>359831</v>
      </c>
      <c r="H249" s="42">
        <v>61515</v>
      </c>
      <c r="I249" s="42">
        <v>71625</v>
      </c>
      <c r="J249" s="42">
        <v>194762</v>
      </c>
      <c r="K249" s="42">
        <v>440560</v>
      </c>
      <c r="L249" s="42">
        <v>137944</v>
      </c>
      <c r="M249" s="42">
        <v>1969692</v>
      </c>
      <c r="N249" s="42">
        <v>1523585</v>
      </c>
      <c r="O249" s="42">
        <v>28665</v>
      </c>
      <c r="P249" s="42">
        <v>76456</v>
      </c>
      <c r="Q249" s="42">
        <v>276586</v>
      </c>
      <c r="R249" s="42">
        <v>2148922</v>
      </c>
      <c r="S249" s="43">
        <v>51927</v>
      </c>
      <c r="T249" s="42">
        <v>444055</v>
      </c>
      <c r="U249" s="4"/>
    </row>
    <row r="250" spans="1:21" x14ac:dyDescent="0.3">
      <c r="A250" s="49">
        <v>45786</v>
      </c>
      <c r="B250" s="42">
        <v>29761</v>
      </c>
      <c r="C250" s="42">
        <v>179070</v>
      </c>
      <c r="D250" s="42">
        <v>192064</v>
      </c>
      <c r="E250" s="42">
        <v>260936</v>
      </c>
      <c r="F250" s="42">
        <v>746557</v>
      </c>
      <c r="G250" s="42">
        <v>362102</v>
      </c>
      <c r="H250" s="42">
        <v>60720</v>
      </c>
      <c r="I250" s="42">
        <v>71122</v>
      </c>
      <c r="J250" s="42">
        <v>194826</v>
      </c>
      <c r="K250" s="42">
        <v>438271</v>
      </c>
      <c r="L250" s="42">
        <v>137388</v>
      </c>
      <c r="M250" s="42">
        <v>1976012</v>
      </c>
      <c r="N250" s="42">
        <v>1520237</v>
      </c>
      <c r="O250" s="42">
        <v>29287</v>
      </c>
      <c r="P250" s="42">
        <v>75460</v>
      </c>
      <c r="Q250" s="42">
        <v>261558</v>
      </c>
      <c r="R250" s="42">
        <v>2115035</v>
      </c>
      <c r="S250" s="43">
        <v>48386</v>
      </c>
      <c r="T250" s="42">
        <v>449015</v>
      </c>
      <c r="U250" s="4"/>
    </row>
    <row r="251" spans="1:21" x14ac:dyDescent="0.3">
      <c r="A251" s="49">
        <v>45785</v>
      </c>
      <c r="B251" s="42">
        <v>29926</v>
      </c>
      <c r="C251" s="42">
        <v>180508</v>
      </c>
      <c r="D251" s="42">
        <v>196955</v>
      </c>
      <c r="E251" s="42">
        <v>261547</v>
      </c>
      <c r="F251" s="42">
        <v>738858</v>
      </c>
      <c r="G251" s="42">
        <v>367396</v>
      </c>
      <c r="H251" s="42">
        <v>61218</v>
      </c>
      <c r="I251" s="42">
        <v>70744</v>
      </c>
      <c r="J251" s="42">
        <v>194512</v>
      </c>
      <c r="K251" s="42">
        <v>438431</v>
      </c>
      <c r="L251" s="42">
        <v>136887</v>
      </c>
      <c r="M251" s="42">
        <v>1974991</v>
      </c>
      <c r="N251" s="42">
        <v>1516017</v>
      </c>
      <c r="O251" s="42">
        <v>29884</v>
      </c>
      <c r="P251" s="42">
        <v>77039</v>
      </c>
      <c r="Q251" s="42">
        <v>262779</v>
      </c>
      <c r="R251" s="42">
        <v>2122698</v>
      </c>
      <c r="S251" s="43">
        <v>49037</v>
      </c>
      <c r="T251" s="42">
        <v>450869</v>
      </c>
      <c r="U251" s="4"/>
    </row>
    <row r="252" spans="1:21" x14ac:dyDescent="0.3">
      <c r="A252" s="49">
        <v>45784</v>
      </c>
      <c r="B252" s="42">
        <v>34789</v>
      </c>
      <c r="C252" s="42">
        <v>183451</v>
      </c>
      <c r="D252" s="42">
        <v>195620</v>
      </c>
      <c r="E252" s="42">
        <v>255611</v>
      </c>
      <c r="F252" s="42">
        <v>736255</v>
      </c>
      <c r="G252" s="42">
        <v>369901</v>
      </c>
      <c r="H252" s="42">
        <v>60221</v>
      </c>
      <c r="I252" s="42">
        <v>71073</v>
      </c>
      <c r="J252" s="42">
        <v>192369</v>
      </c>
      <c r="K252" s="42">
        <v>443832</v>
      </c>
      <c r="L252" s="42">
        <v>138934</v>
      </c>
      <c r="M252" s="42">
        <v>1964154</v>
      </c>
      <c r="N252" s="42">
        <v>1511282</v>
      </c>
      <c r="O252" s="42">
        <v>28450</v>
      </c>
      <c r="P252" s="42">
        <v>77908</v>
      </c>
      <c r="Q252" s="42">
        <v>259114</v>
      </c>
      <c r="R252" s="42">
        <v>2117378</v>
      </c>
      <c r="S252" s="43">
        <v>48779</v>
      </c>
      <c r="T252" s="42">
        <v>448822</v>
      </c>
      <c r="U252" s="4"/>
    </row>
    <row r="253" spans="1:21" x14ac:dyDescent="0.3">
      <c r="A253" s="49">
        <v>45783</v>
      </c>
      <c r="B253" s="42">
        <v>35412</v>
      </c>
      <c r="C253" s="42">
        <v>183057</v>
      </c>
      <c r="D253" s="42">
        <v>200214</v>
      </c>
      <c r="E253" s="42">
        <v>255101</v>
      </c>
      <c r="F253" s="42">
        <v>737013</v>
      </c>
      <c r="G253" s="42">
        <v>375546</v>
      </c>
      <c r="H253" s="42">
        <v>60509</v>
      </c>
      <c r="I253" s="42">
        <v>70578</v>
      </c>
      <c r="J253" s="42">
        <v>192752</v>
      </c>
      <c r="K253" s="42">
        <v>452414</v>
      </c>
      <c r="L253" s="42">
        <v>140261</v>
      </c>
      <c r="M253" s="42">
        <v>1982266</v>
      </c>
      <c r="N253" s="42">
        <v>1510862</v>
      </c>
      <c r="O253" s="42">
        <v>27971</v>
      </c>
      <c r="P253" s="42">
        <v>76175</v>
      </c>
      <c r="Q253" s="42">
        <v>258249</v>
      </c>
      <c r="R253" s="42">
        <v>2133652</v>
      </c>
      <c r="S253" s="43">
        <v>52623</v>
      </c>
      <c r="T253" s="42">
        <v>449683</v>
      </c>
      <c r="U253" s="4"/>
    </row>
    <row r="254" spans="1:21" x14ac:dyDescent="0.3">
      <c r="A254" s="49">
        <v>45782</v>
      </c>
      <c r="B254" s="42">
        <v>34794</v>
      </c>
      <c r="C254" s="42">
        <v>184734</v>
      </c>
      <c r="D254" s="42">
        <v>198038</v>
      </c>
      <c r="E254" s="42">
        <v>252391</v>
      </c>
      <c r="F254" s="42">
        <v>735939</v>
      </c>
      <c r="G254" s="42">
        <v>372544</v>
      </c>
      <c r="H254" s="42">
        <v>62388</v>
      </c>
      <c r="I254" s="42">
        <v>71113</v>
      </c>
      <c r="J254" s="42">
        <v>192215</v>
      </c>
      <c r="K254" s="42">
        <v>442137</v>
      </c>
      <c r="L254" s="42">
        <v>137571</v>
      </c>
      <c r="M254" s="42">
        <v>1959065</v>
      </c>
      <c r="N254" s="42">
        <v>1510667</v>
      </c>
      <c r="O254" s="42">
        <v>27728</v>
      </c>
      <c r="P254" s="42">
        <v>76635</v>
      </c>
      <c r="Q254" s="42">
        <v>257701</v>
      </c>
      <c r="R254" s="42">
        <v>2142067</v>
      </c>
      <c r="S254" s="43">
        <v>49058</v>
      </c>
      <c r="T254" s="42">
        <v>450234</v>
      </c>
      <c r="U254" s="4"/>
    </row>
    <row r="255" spans="1:21" x14ac:dyDescent="0.3">
      <c r="A255" s="49">
        <v>45779</v>
      </c>
      <c r="B255" s="42">
        <v>33347</v>
      </c>
      <c r="C255" s="42">
        <v>185209</v>
      </c>
      <c r="D255" s="42">
        <v>196089</v>
      </c>
      <c r="E255" s="42">
        <v>251578</v>
      </c>
      <c r="F255" s="42">
        <v>736504</v>
      </c>
      <c r="G255" s="42">
        <v>368117</v>
      </c>
      <c r="H255" s="42">
        <v>63164</v>
      </c>
      <c r="I255" s="42">
        <v>71131</v>
      </c>
      <c r="J255" s="42">
        <v>192534</v>
      </c>
      <c r="K255" s="42">
        <v>438327</v>
      </c>
      <c r="L255" s="42">
        <v>136505</v>
      </c>
      <c r="M255" s="42">
        <v>1943007</v>
      </c>
      <c r="N255" s="42">
        <v>1500355</v>
      </c>
      <c r="O255" s="42">
        <v>28736</v>
      </c>
      <c r="P255" s="42">
        <v>77933</v>
      </c>
      <c r="Q255" s="42">
        <v>257914</v>
      </c>
      <c r="R255" s="42">
        <v>2152634</v>
      </c>
      <c r="S255" s="43">
        <v>50858</v>
      </c>
      <c r="T255" s="42">
        <v>454532</v>
      </c>
      <c r="U255" s="4"/>
    </row>
    <row r="256" spans="1:21" x14ac:dyDescent="0.3">
      <c r="A256" s="49">
        <v>45778</v>
      </c>
      <c r="B256" s="42">
        <v>32521</v>
      </c>
      <c r="C256" s="42">
        <v>184302</v>
      </c>
      <c r="D256" s="42">
        <v>188903</v>
      </c>
      <c r="E256" s="42">
        <v>250178</v>
      </c>
      <c r="F256" s="42">
        <v>736884</v>
      </c>
      <c r="G256" s="42">
        <v>372907</v>
      </c>
      <c r="H256" s="42">
        <v>62664</v>
      </c>
      <c r="I256" s="42">
        <v>70672</v>
      </c>
      <c r="J256" s="42">
        <v>189978</v>
      </c>
      <c r="K256" s="42">
        <v>439159</v>
      </c>
      <c r="L256" s="42">
        <v>137500</v>
      </c>
      <c r="M256" s="42">
        <v>1947599</v>
      </c>
      <c r="N256" s="42">
        <v>1488907</v>
      </c>
      <c r="O256" s="42">
        <v>28286</v>
      </c>
      <c r="P256" s="42">
        <v>77422</v>
      </c>
      <c r="Q256" s="42">
        <v>251705</v>
      </c>
      <c r="R256" s="42">
        <v>2146602</v>
      </c>
      <c r="S256" s="43">
        <v>50858</v>
      </c>
      <c r="T256" s="42">
        <v>457181</v>
      </c>
      <c r="U256" s="4"/>
    </row>
    <row r="257" spans="1:21" x14ac:dyDescent="0.3">
      <c r="A257" s="49">
        <v>45777</v>
      </c>
      <c r="B257" s="42">
        <v>33561</v>
      </c>
      <c r="C257" s="42">
        <v>183896</v>
      </c>
      <c r="D257" s="42">
        <v>190290</v>
      </c>
      <c r="E257" s="42">
        <v>250554</v>
      </c>
      <c r="F257" s="42">
        <v>739741</v>
      </c>
      <c r="G257" s="42">
        <v>374636</v>
      </c>
      <c r="H257" s="42">
        <v>62479</v>
      </c>
      <c r="I257" s="42">
        <v>71557</v>
      </c>
      <c r="J257" s="42">
        <v>191020</v>
      </c>
      <c r="K257" s="42">
        <v>442851</v>
      </c>
      <c r="L257" s="42">
        <v>137856</v>
      </c>
      <c r="M257" s="42">
        <v>1947779</v>
      </c>
      <c r="N257" s="42">
        <v>1488496</v>
      </c>
      <c r="O257" s="42">
        <v>26781</v>
      </c>
      <c r="P257" s="42">
        <v>77864</v>
      </c>
      <c r="Q257" s="42">
        <v>251919</v>
      </c>
      <c r="R257" s="42">
        <v>2151101</v>
      </c>
      <c r="S257" s="43">
        <v>50110</v>
      </c>
      <c r="T257" s="42">
        <v>457508</v>
      </c>
      <c r="U257" s="4"/>
    </row>
    <row r="258" spans="1:21" x14ac:dyDescent="0.3">
      <c r="A258" s="49">
        <v>45776</v>
      </c>
      <c r="B258" s="42">
        <v>32830</v>
      </c>
      <c r="C258" s="42">
        <v>184804</v>
      </c>
      <c r="D258" s="42">
        <v>192312</v>
      </c>
      <c r="E258" s="42">
        <v>249257</v>
      </c>
      <c r="F258" s="42">
        <v>730212</v>
      </c>
      <c r="G258" s="42">
        <v>366246</v>
      </c>
      <c r="H258" s="42">
        <v>63075</v>
      </c>
      <c r="I258" s="42">
        <v>71949</v>
      </c>
      <c r="J258" s="42">
        <v>191990</v>
      </c>
      <c r="K258" s="42">
        <v>451868</v>
      </c>
      <c r="L258" s="42">
        <v>152669</v>
      </c>
      <c r="M258" s="42">
        <v>1896516</v>
      </c>
      <c r="N258" s="42">
        <v>1471360</v>
      </c>
      <c r="O258" s="42">
        <v>26966</v>
      </c>
      <c r="P258" s="42">
        <v>78341</v>
      </c>
      <c r="Q258" s="42">
        <v>246874</v>
      </c>
      <c r="R258" s="42">
        <v>2134084</v>
      </c>
      <c r="S258" s="43">
        <v>48111</v>
      </c>
      <c r="T258" s="42">
        <v>459912</v>
      </c>
      <c r="U258" s="4"/>
    </row>
    <row r="259" spans="1:21" x14ac:dyDescent="0.3">
      <c r="A259" s="49">
        <v>45775</v>
      </c>
      <c r="B259" s="42">
        <v>32784</v>
      </c>
      <c r="C259" s="42">
        <v>186053</v>
      </c>
      <c r="D259" s="42">
        <v>182549</v>
      </c>
      <c r="E259" s="42">
        <v>250642</v>
      </c>
      <c r="F259" s="42">
        <v>733621</v>
      </c>
      <c r="G259" s="42">
        <v>364139</v>
      </c>
      <c r="H259" s="42">
        <v>62624</v>
      </c>
      <c r="I259" s="42">
        <v>72893</v>
      </c>
      <c r="J259" s="42">
        <v>191534</v>
      </c>
      <c r="K259" s="42">
        <v>448075</v>
      </c>
      <c r="L259" s="42">
        <v>154590</v>
      </c>
      <c r="M259" s="42">
        <v>1891853</v>
      </c>
      <c r="N259" s="42">
        <v>1459384</v>
      </c>
      <c r="O259" s="42">
        <v>26551</v>
      </c>
      <c r="P259" s="42">
        <v>78259</v>
      </c>
      <c r="Q259" s="42">
        <v>246243</v>
      </c>
      <c r="R259" s="42">
        <v>2158612</v>
      </c>
      <c r="S259" s="43">
        <v>46880</v>
      </c>
      <c r="T259" s="42">
        <v>460932</v>
      </c>
      <c r="U259" s="4"/>
    </row>
    <row r="260" spans="1:21" x14ac:dyDescent="0.3">
      <c r="A260" s="49">
        <v>45772</v>
      </c>
      <c r="B260" s="42">
        <v>30252</v>
      </c>
      <c r="C260" s="42">
        <v>185445</v>
      </c>
      <c r="D260" s="42">
        <v>176667</v>
      </c>
      <c r="E260" s="42">
        <v>247880</v>
      </c>
      <c r="F260" s="42">
        <v>729051</v>
      </c>
      <c r="G260" s="42">
        <v>353405</v>
      </c>
      <c r="H260" s="42">
        <v>62225</v>
      </c>
      <c r="I260" s="42">
        <v>72931</v>
      </c>
      <c r="J260" s="42">
        <v>193957</v>
      </c>
      <c r="K260" s="42">
        <v>445548</v>
      </c>
      <c r="L260" s="42">
        <v>154217</v>
      </c>
      <c r="M260" s="42">
        <v>1898036</v>
      </c>
      <c r="N260" s="42">
        <v>1465145</v>
      </c>
      <c r="O260" s="42">
        <v>28544</v>
      </c>
      <c r="P260" s="42">
        <v>77990</v>
      </c>
      <c r="Q260" s="42">
        <v>244473</v>
      </c>
      <c r="R260" s="42">
        <v>2179054</v>
      </c>
      <c r="S260" s="43">
        <v>46810</v>
      </c>
      <c r="T260" s="42">
        <v>454624</v>
      </c>
      <c r="U260" s="4"/>
    </row>
    <row r="261" spans="1:21" x14ac:dyDescent="0.3">
      <c r="A261" s="49">
        <v>45771</v>
      </c>
      <c r="B261" s="42">
        <v>29964</v>
      </c>
      <c r="C261" s="42">
        <v>186978</v>
      </c>
      <c r="D261" s="42">
        <v>176565</v>
      </c>
      <c r="E261" s="42">
        <v>249014</v>
      </c>
      <c r="F261" s="42">
        <v>730120</v>
      </c>
      <c r="G261" s="42">
        <v>351886</v>
      </c>
      <c r="H261" s="42">
        <v>61503</v>
      </c>
      <c r="I261" s="42">
        <v>73605</v>
      </c>
      <c r="J261" s="42">
        <v>196390</v>
      </c>
      <c r="K261" s="42">
        <v>446637</v>
      </c>
      <c r="L261" s="42">
        <v>152992</v>
      </c>
      <c r="M261" s="42">
        <v>1901291</v>
      </c>
      <c r="N261" s="42">
        <v>1476984</v>
      </c>
      <c r="O261" s="42">
        <v>27893</v>
      </c>
      <c r="P261" s="42">
        <v>78705</v>
      </c>
      <c r="Q261" s="42">
        <v>240870</v>
      </c>
      <c r="R261" s="42">
        <v>2193011</v>
      </c>
      <c r="S261" s="43">
        <v>46959</v>
      </c>
      <c r="T261" s="42">
        <v>470476</v>
      </c>
      <c r="U261" s="4"/>
    </row>
    <row r="262" spans="1:21" x14ac:dyDescent="0.3">
      <c r="A262" s="49">
        <v>45770</v>
      </c>
      <c r="B262" s="42">
        <v>29547</v>
      </c>
      <c r="C262" s="42">
        <v>189349</v>
      </c>
      <c r="D262" s="42">
        <v>177568</v>
      </c>
      <c r="E262" s="42">
        <v>247963</v>
      </c>
      <c r="F262" s="42">
        <v>721061</v>
      </c>
      <c r="G262" s="42">
        <v>351977</v>
      </c>
      <c r="H262" s="42">
        <v>63510</v>
      </c>
      <c r="I262" s="42">
        <v>73860</v>
      </c>
      <c r="J262" s="42">
        <v>198330</v>
      </c>
      <c r="K262" s="42">
        <v>458673</v>
      </c>
      <c r="L262" s="42">
        <v>153729</v>
      </c>
      <c r="M262" s="42">
        <v>1885196</v>
      </c>
      <c r="N262" s="42">
        <v>1455242</v>
      </c>
      <c r="O262" s="42">
        <v>27363</v>
      </c>
      <c r="P262" s="42">
        <v>78099</v>
      </c>
      <c r="Q262" s="42">
        <v>239260</v>
      </c>
      <c r="R262" s="42">
        <v>2196595</v>
      </c>
      <c r="S262" s="43">
        <v>49046</v>
      </c>
      <c r="T262" s="42">
        <v>453726</v>
      </c>
      <c r="U262" s="4"/>
    </row>
    <row r="263" spans="1:21" x14ac:dyDescent="0.3">
      <c r="A263" s="49">
        <v>45769</v>
      </c>
      <c r="B263" s="42">
        <v>32880</v>
      </c>
      <c r="C263" s="42">
        <v>190798</v>
      </c>
      <c r="D263" s="42">
        <v>179555</v>
      </c>
      <c r="E263" s="42">
        <v>249643</v>
      </c>
      <c r="F263" s="42">
        <v>719232</v>
      </c>
      <c r="G263" s="42">
        <v>351226</v>
      </c>
      <c r="H263" s="42">
        <v>62689</v>
      </c>
      <c r="I263" s="42">
        <v>72891</v>
      </c>
      <c r="J263" s="42">
        <v>196712</v>
      </c>
      <c r="K263" s="42">
        <v>465351</v>
      </c>
      <c r="L263" s="42">
        <v>146923</v>
      </c>
      <c r="M263" s="42">
        <v>1860519</v>
      </c>
      <c r="N263" s="42">
        <v>1459629</v>
      </c>
      <c r="O263" s="42">
        <v>28202</v>
      </c>
      <c r="P263" s="42">
        <v>78992</v>
      </c>
      <c r="Q263" s="42">
        <v>242084</v>
      </c>
      <c r="R263" s="42">
        <v>2209656</v>
      </c>
      <c r="S263" s="43">
        <v>46074</v>
      </c>
      <c r="T263" s="42">
        <v>464123</v>
      </c>
      <c r="U263" s="4"/>
    </row>
    <row r="264" spans="1:21" x14ac:dyDescent="0.3">
      <c r="A264" s="49">
        <v>45768</v>
      </c>
      <c r="B264" s="42">
        <v>31931</v>
      </c>
      <c r="C264" s="42">
        <v>186139</v>
      </c>
      <c r="D264" s="42">
        <v>181832</v>
      </c>
      <c r="E264" s="42">
        <v>250862</v>
      </c>
      <c r="F264" s="42">
        <v>722509</v>
      </c>
      <c r="G264" s="42">
        <v>352097</v>
      </c>
      <c r="H264" s="42">
        <v>63496</v>
      </c>
      <c r="I264" s="42">
        <v>74127</v>
      </c>
      <c r="J264" s="42">
        <v>201856</v>
      </c>
      <c r="K264" s="42">
        <v>466325</v>
      </c>
      <c r="L264" s="42">
        <v>144437</v>
      </c>
      <c r="M264" s="42">
        <v>1878706</v>
      </c>
      <c r="N264" s="42">
        <v>1469045</v>
      </c>
      <c r="O264" s="42">
        <v>27857</v>
      </c>
      <c r="P264" s="42">
        <v>80893</v>
      </c>
      <c r="Q264" s="42">
        <v>242476</v>
      </c>
      <c r="R264" s="42">
        <v>2225040</v>
      </c>
      <c r="S264" s="43">
        <v>46074</v>
      </c>
      <c r="T264" s="42">
        <v>471302</v>
      </c>
      <c r="U264" s="4"/>
    </row>
    <row r="265" spans="1:21" x14ac:dyDescent="0.3">
      <c r="A265" s="49">
        <v>45764</v>
      </c>
      <c r="B265" s="42">
        <v>28963</v>
      </c>
      <c r="C265" s="42">
        <v>183086</v>
      </c>
      <c r="D265" s="42">
        <v>178362</v>
      </c>
      <c r="E265" s="42">
        <v>248572</v>
      </c>
      <c r="F265" s="42">
        <v>718113</v>
      </c>
      <c r="G265" s="42">
        <v>348505</v>
      </c>
      <c r="H265" s="42">
        <v>63440</v>
      </c>
      <c r="I265" s="42">
        <v>73857</v>
      </c>
      <c r="J265" s="42">
        <v>199655</v>
      </c>
      <c r="K265" s="42">
        <v>458586</v>
      </c>
      <c r="L265" s="42">
        <v>142386</v>
      </c>
      <c r="M265" s="42">
        <v>1895610</v>
      </c>
      <c r="N265" s="42">
        <v>1477451</v>
      </c>
      <c r="O265" s="42">
        <v>27401</v>
      </c>
      <c r="P265" s="42">
        <v>78109</v>
      </c>
      <c r="Q265" s="42">
        <v>237820</v>
      </c>
      <c r="R265" s="42">
        <v>2196910</v>
      </c>
      <c r="S265" s="43">
        <v>46029</v>
      </c>
      <c r="T265" s="42">
        <v>447811</v>
      </c>
      <c r="U265" s="4"/>
    </row>
    <row r="266" spans="1:21" x14ac:dyDescent="0.3">
      <c r="A266" s="49">
        <v>45763</v>
      </c>
      <c r="B266" s="42">
        <v>27940</v>
      </c>
      <c r="C266" s="42">
        <v>181123</v>
      </c>
      <c r="D266" s="42">
        <v>177432</v>
      </c>
      <c r="E266" s="42">
        <v>247775</v>
      </c>
      <c r="F266" s="42">
        <v>717334</v>
      </c>
      <c r="G266" s="42">
        <v>347556</v>
      </c>
      <c r="H266" s="42">
        <v>65117</v>
      </c>
      <c r="I266" s="42">
        <v>74325</v>
      </c>
      <c r="J266" s="42">
        <v>202795</v>
      </c>
      <c r="K266" s="42">
        <v>463490</v>
      </c>
      <c r="L266" s="42">
        <v>143634</v>
      </c>
      <c r="M266" s="42">
        <v>1901560</v>
      </c>
      <c r="N266" s="42">
        <v>1495856</v>
      </c>
      <c r="O266" s="42">
        <v>27643</v>
      </c>
      <c r="P266" s="42">
        <v>75576</v>
      </c>
      <c r="Q266" s="42">
        <v>241557</v>
      </c>
      <c r="R266" s="42">
        <v>2200688</v>
      </c>
      <c r="S266" s="43">
        <v>47964</v>
      </c>
      <c r="T266" s="42">
        <v>465505</v>
      </c>
      <c r="U266" s="4"/>
    </row>
    <row r="267" spans="1:21" x14ac:dyDescent="0.3">
      <c r="A267" s="49">
        <v>45762</v>
      </c>
      <c r="B267" s="42">
        <v>27224</v>
      </c>
      <c r="C267" s="42">
        <v>178948</v>
      </c>
      <c r="D267" s="42">
        <v>177364</v>
      </c>
      <c r="E267" s="42">
        <v>249484</v>
      </c>
      <c r="F267" s="42">
        <v>708585</v>
      </c>
      <c r="G267" s="42">
        <v>339396</v>
      </c>
      <c r="H267" s="42">
        <v>66702</v>
      </c>
      <c r="I267" s="42">
        <v>73479</v>
      </c>
      <c r="J267" s="42">
        <v>202997</v>
      </c>
      <c r="K267" s="42">
        <v>456628</v>
      </c>
      <c r="L267" s="42">
        <v>144400</v>
      </c>
      <c r="M267" s="42">
        <v>1918217</v>
      </c>
      <c r="N267" s="42">
        <v>1506409</v>
      </c>
      <c r="O267" s="42">
        <v>27126</v>
      </c>
      <c r="P267" s="42">
        <v>73931</v>
      </c>
      <c r="Q267" s="42">
        <v>235406</v>
      </c>
      <c r="R267" s="42">
        <v>2181908</v>
      </c>
      <c r="S267" s="43">
        <v>48015</v>
      </c>
      <c r="T267" s="42">
        <v>454242</v>
      </c>
      <c r="U267" s="4"/>
    </row>
    <row r="268" spans="1:21" x14ac:dyDescent="0.3">
      <c r="A268" s="49">
        <v>45761</v>
      </c>
      <c r="B268" s="42">
        <v>27264</v>
      </c>
      <c r="C268" s="42">
        <v>183335</v>
      </c>
      <c r="D268" s="42">
        <v>175059</v>
      </c>
      <c r="E268" s="42">
        <v>251865</v>
      </c>
      <c r="F268" s="42">
        <v>712530</v>
      </c>
      <c r="G268" s="42">
        <v>332878</v>
      </c>
      <c r="H268" s="42">
        <v>68380</v>
      </c>
      <c r="I268" s="42">
        <v>75215</v>
      </c>
      <c r="J268" s="42">
        <v>203477</v>
      </c>
      <c r="K268" s="42">
        <v>454327</v>
      </c>
      <c r="L268" s="42">
        <v>145245</v>
      </c>
      <c r="M268" s="42">
        <v>1919458</v>
      </c>
      <c r="N268" s="42">
        <v>1537143</v>
      </c>
      <c r="O268" s="42">
        <v>26948</v>
      </c>
      <c r="P268" s="42">
        <v>72759</v>
      </c>
      <c r="Q268" s="42">
        <v>235508</v>
      </c>
      <c r="R268" s="42">
        <v>2196550</v>
      </c>
      <c r="S268" s="43">
        <v>46939</v>
      </c>
      <c r="T268" s="42">
        <v>456254</v>
      </c>
      <c r="U268" s="4"/>
    </row>
    <row r="269" spans="1:21" x14ac:dyDescent="0.3">
      <c r="A269" s="49">
        <v>45758</v>
      </c>
      <c r="B269" s="42">
        <v>26976</v>
      </c>
      <c r="C269" s="42">
        <v>181476</v>
      </c>
      <c r="D269" s="42">
        <v>170944</v>
      </c>
      <c r="E269" s="42">
        <v>255661</v>
      </c>
      <c r="F269" s="42">
        <v>714963</v>
      </c>
      <c r="G269" s="42">
        <v>329950</v>
      </c>
      <c r="H269" s="42">
        <v>67192</v>
      </c>
      <c r="I269" s="42">
        <v>77627</v>
      </c>
      <c r="J269" s="42">
        <v>205428</v>
      </c>
      <c r="K269" s="42">
        <v>457803</v>
      </c>
      <c r="L269" s="42">
        <v>145155</v>
      </c>
      <c r="M269" s="42">
        <v>1924162</v>
      </c>
      <c r="N269" s="42">
        <v>1524162</v>
      </c>
      <c r="O269" s="42">
        <v>26795</v>
      </c>
      <c r="P269" s="42">
        <v>72171</v>
      </c>
      <c r="Q269" s="42">
        <v>234076</v>
      </c>
      <c r="R269" s="42">
        <v>2198585</v>
      </c>
      <c r="S269" s="43">
        <v>49216</v>
      </c>
      <c r="T269" s="42">
        <v>461555</v>
      </c>
      <c r="U269" s="4"/>
    </row>
    <row r="270" spans="1:21" x14ac:dyDescent="0.3">
      <c r="A270" s="49">
        <v>45757</v>
      </c>
      <c r="B270" s="42">
        <v>25079</v>
      </c>
      <c r="C270" s="42">
        <v>184091</v>
      </c>
      <c r="D270" s="42">
        <v>172499</v>
      </c>
      <c r="E270" s="42">
        <v>257686</v>
      </c>
      <c r="F270" s="42">
        <v>713892</v>
      </c>
      <c r="G270" s="42">
        <v>318824</v>
      </c>
      <c r="H270" s="42">
        <v>69426</v>
      </c>
      <c r="I270" s="42">
        <v>79461</v>
      </c>
      <c r="J270" s="42">
        <v>210144</v>
      </c>
      <c r="K270" s="42">
        <v>459504</v>
      </c>
      <c r="L270" s="42">
        <v>150668</v>
      </c>
      <c r="M270" s="42">
        <v>1933758</v>
      </c>
      <c r="N270" s="42">
        <v>1517993</v>
      </c>
      <c r="O270" s="42">
        <v>25965</v>
      </c>
      <c r="P270" s="42">
        <v>73003</v>
      </c>
      <c r="Q270" s="42">
        <v>235271</v>
      </c>
      <c r="R270" s="42">
        <v>2221998</v>
      </c>
      <c r="S270" s="43">
        <v>52495</v>
      </c>
      <c r="T270" s="42">
        <v>464485</v>
      </c>
      <c r="U270" s="4"/>
    </row>
    <row r="271" spans="1:21" x14ac:dyDescent="0.3">
      <c r="A271" s="49">
        <v>45756</v>
      </c>
      <c r="B271" s="42">
        <v>22888</v>
      </c>
      <c r="C271" s="42">
        <v>185205</v>
      </c>
      <c r="D271" s="42">
        <v>173766</v>
      </c>
      <c r="E271" s="42">
        <v>255179</v>
      </c>
      <c r="F271" s="42">
        <v>715500</v>
      </c>
      <c r="G271" s="42">
        <v>317113</v>
      </c>
      <c r="H271" s="42">
        <v>70395</v>
      </c>
      <c r="I271" s="42">
        <v>76075</v>
      </c>
      <c r="J271" s="42">
        <v>216741</v>
      </c>
      <c r="K271" s="42">
        <v>449087</v>
      </c>
      <c r="L271" s="42">
        <v>151180</v>
      </c>
      <c r="M271" s="42">
        <v>1948846</v>
      </c>
      <c r="N271" s="42">
        <v>1549356</v>
      </c>
      <c r="O271" s="42">
        <v>26500</v>
      </c>
      <c r="P271" s="42">
        <v>72369</v>
      </c>
      <c r="Q271" s="42">
        <v>244017</v>
      </c>
      <c r="R271" s="42">
        <v>2281422</v>
      </c>
      <c r="S271" s="43">
        <v>54340</v>
      </c>
      <c r="T271" s="42">
        <v>452598</v>
      </c>
      <c r="U271" s="4"/>
    </row>
    <row r="272" spans="1:21" x14ac:dyDescent="0.3">
      <c r="A272" s="49">
        <v>45755</v>
      </c>
      <c r="B272" s="42">
        <v>22770</v>
      </c>
      <c r="C272" s="42">
        <v>194476</v>
      </c>
      <c r="D272" s="42">
        <v>176910</v>
      </c>
      <c r="E272" s="42">
        <v>258263</v>
      </c>
      <c r="F272" s="42">
        <v>697776</v>
      </c>
      <c r="G272" s="42">
        <v>320758</v>
      </c>
      <c r="H272" s="42">
        <v>72109</v>
      </c>
      <c r="I272" s="42">
        <v>76433</v>
      </c>
      <c r="J272" s="42">
        <v>220390</v>
      </c>
      <c r="K272" s="42">
        <v>445468</v>
      </c>
      <c r="L272" s="42">
        <v>154289</v>
      </c>
      <c r="M272" s="42">
        <v>1991545</v>
      </c>
      <c r="N272" s="42">
        <v>1590806</v>
      </c>
      <c r="O272" s="42">
        <v>26909</v>
      </c>
      <c r="P272" s="42">
        <v>73838</v>
      </c>
      <c r="Q272" s="42">
        <v>254563</v>
      </c>
      <c r="R272" s="42">
        <v>2332802</v>
      </c>
      <c r="S272" s="43">
        <v>54105</v>
      </c>
      <c r="T272" s="42">
        <v>453401</v>
      </c>
      <c r="U272" s="4"/>
    </row>
    <row r="273" spans="1:21" x14ac:dyDescent="0.3">
      <c r="A273" s="49">
        <v>45754</v>
      </c>
      <c r="B273" s="42">
        <v>23468</v>
      </c>
      <c r="C273" s="42">
        <v>197899</v>
      </c>
      <c r="D273" s="42">
        <v>189643</v>
      </c>
      <c r="E273" s="42">
        <v>261254</v>
      </c>
      <c r="F273" s="42">
        <v>697261</v>
      </c>
      <c r="G273" s="42">
        <v>312112</v>
      </c>
      <c r="H273" s="42">
        <v>75105</v>
      </c>
      <c r="I273" s="42">
        <v>80600</v>
      </c>
      <c r="J273" s="42">
        <v>236271</v>
      </c>
      <c r="K273" s="42">
        <v>473354</v>
      </c>
      <c r="L273" s="42">
        <v>169288</v>
      </c>
      <c r="M273" s="42">
        <v>1948250</v>
      </c>
      <c r="N273" s="42">
        <v>1649016</v>
      </c>
      <c r="O273" s="42">
        <v>27279</v>
      </c>
      <c r="P273" s="42">
        <v>76658</v>
      </c>
      <c r="Q273" s="42">
        <v>261690</v>
      </c>
      <c r="R273" s="42">
        <v>2317998</v>
      </c>
      <c r="S273" s="43">
        <v>60097</v>
      </c>
      <c r="T273" s="42">
        <v>444142</v>
      </c>
      <c r="U273" s="4"/>
    </row>
    <row r="274" spans="1:21" x14ac:dyDescent="0.3">
      <c r="A274" s="49">
        <v>45751</v>
      </c>
      <c r="B274" s="42">
        <v>28636</v>
      </c>
      <c r="C274" s="42">
        <v>198124</v>
      </c>
      <c r="D274" s="42">
        <v>206093</v>
      </c>
      <c r="E274" s="42">
        <v>266964</v>
      </c>
      <c r="F274" s="42">
        <v>705680</v>
      </c>
      <c r="G274" s="42">
        <v>319609</v>
      </c>
      <c r="H274" s="42">
        <v>81510</v>
      </c>
      <c r="I274" s="42">
        <v>81511</v>
      </c>
      <c r="J274" s="42">
        <v>233012</v>
      </c>
      <c r="K274" s="42">
        <v>467059</v>
      </c>
      <c r="L274" s="42">
        <v>166618</v>
      </c>
      <c r="M274" s="42">
        <v>1903877</v>
      </c>
      <c r="N274" s="42">
        <v>1637992</v>
      </c>
      <c r="O274" s="42">
        <v>27187</v>
      </c>
      <c r="P274" s="42">
        <v>77367</v>
      </c>
      <c r="Q274" s="42">
        <v>268585</v>
      </c>
      <c r="R274" s="42">
        <v>2248950</v>
      </c>
      <c r="S274" s="43">
        <v>58796</v>
      </c>
      <c r="T274" s="42">
        <v>435112</v>
      </c>
      <c r="U274" s="4"/>
    </row>
    <row r="275" spans="1:21" x14ac:dyDescent="0.3">
      <c r="A275" s="49">
        <v>45750</v>
      </c>
      <c r="B275" s="42">
        <v>29937</v>
      </c>
      <c r="C275" s="42">
        <v>189262</v>
      </c>
      <c r="D275" s="42">
        <v>202621</v>
      </c>
      <c r="E275" s="42">
        <v>278613</v>
      </c>
      <c r="F275" s="42">
        <v>710391</v>
      </c>
      <c r="G275" s="42">
        <v>332636</v>
      </c>
      <c r="H275" s="42">
        <v>81976</v>
      </c>
      <c r="I275" s="42">
        <v>87341</v>
      </c>
      <c r="J275" s="42">
        <v>240571</v>
      </c>
      <c r="K275" s="42">
        <v>485008</v>
      </c>
      <c r="L275" s="42">
        <v>167442</v>
      </c>
      <c r="M275" s="42">
        <v>1854637</v>
      </c>
      <c r="N275" s="42">
        <v>1642580</v>
      </c>
      <c r="O275" s="42">
        <v>27005</v>
      </c>
      <c r="P275" s="42">
        <v>77405</v>
      </c>
      <c r="Q275" s="42">
        <v>263636</v>
      </c>
      <c r="R275" s="42">
        <v>2186764</v>
      </c>
      <c r="S275" s="43">
        <v>52606</v>
      </c>
      <c r="T275" s="42">
        <v>423099</v>
      </c>
      <c r="U275" s="4"/>
    </row>
    <row r="276" spans="1:21" x14ac:dyDescent="0.3">
      <c r="A276" s="49">
        <v>45749</v>
      </c>
      <c r="B276" s="42">
        <v>28867</v>
      </c>
      <c r="C276" s="42">
        <v>181532</v>
      </c>
      <c r="D276" s="42">
        <v>192962</v>
      </c>
      <c r="E276" s="42">
        <v>280710</v>
      </c>
      <c r="F276" s="42">
        <v>678184</v>
      </c>
      <c r="G276" s="42">
        <v>311046</v>
      </c>
      <c r="H276" s="42">
        <v>82325</v>
      </c>
      <c r="I276" s="42">
        <v>89628</v>
      </c>
      <c r="J276" s="42">
        <v>243866</v>
      </c>
      <c r="K276" s="42">
        <v>493720</v>
      </c>
      <c r="L276" s="42">
        <v>172290</v>
      </c>
      <c r="M276" s="42">
        <v>1844026</v>
      </c>
      <c r="N276" s="42">
        <v>1644715</v>
      </c>
      <c r="O276" s="42">
        <v>27678</v>
      </c>
      <c r="P276" s="42">
        <v>75046</v>
      </c>
      <c r="Q276" s="42">
        <v>246414</v>
      </c>
      <c r="R276" s="42">
        <v>2114234</v>
      </c>
      <c r="S276" s="43">
        <v>50171</v>
      </c>
      <c r="T276" s="42">
        <v>404139</v>
      </c>
      <c r="U276" s="4"/>
    </row>
    <row r="277" spans="1:21" x14ac:dyDescent="0.3">
      <c r="A277" s="49">
        <v>45748</v>
      </c>
      <c r="B277" s="42">
        <v>29279</v>
      </c>
      <c r="C277" s="42">
        <v>182766</v>
      </c>
      <c r="D277" s="42">
        <v>187160</v>
      </c>
      <c r="E277" s="42">
        <v>278330</v>
      </c>
      <c r="F277" s="42">
        <v>670827</v>
      </c>
      <c r="G277" s="42">
        <v>311162</v>
      </c>
      <c r="H277" s="42">
        <v>81797</v>
      </c>
      <c r="I277" s="42">
        <v>89248</v>
      </c>
      <c r="J277" s="42">
        <v>245181</v>
      </c>
      <c r="K277" s="42">
        <v>498746</v>
      </c>
      <c r="L277" s="42">
        <v>170197</v>
      </c>
      <c r="M277" s="42">
        <v>1836468</v>
      </c>
      <c r="N277" s="42">
        <v>1636159</v>
      </c>
      <c r="O277" s="42">
        <v>27069</v>
      </c>
      <c r="P277" s="42">
        <v>74497</v>
      </c>
      <c r="Q277" s="42">
        <v>247658</v>
      </c>
      <c r="R277" s="42">
        <v>2111750</v>
      </c>
      <c r="S277" s="43">
        <v>50171</v>
      </c>
      <c r="T277" s="42">
        <v>412519</v>
      </c>
      <c r="U277" s="4"/>
    </row>
    <row r="278" spans="1:21" x14ac:dyDescent="0.3">
      <c r="A278" s="49">
        <v>45747</v>
      </c>
      <c r="B278" s="42">
        <v>28739</v>
      </c>
      <c r="C278" s="42">
        <v>183775</v>
      </c>
      <c r="D278" s="42">
        <v>192339</v>
      </c>
      <c r="E278" s="42">
        <v>277438</v>
      </c>
      <c r="F278" s="42">
        <v>675537</v>
      </c>
      <c r="G278" s="42">
        <v>310797</v>
      </c>
      <c r="H278" s="42">
        <v>82081</v>
      </c>
      <c r="I278" s="42">
        <v>88606</v>
      </c>
      <c r="J278" s="42">
        <v>249190</v>
      </c>
      <c r="K278" s="42">
        <v>505772</v>
      </c>
      <c r="L278" s="42">
        <v>170975</v>
      </c>
      <c r="M278" s="42">
        <v>1839643</v>
      </c>
      <c r="N278" s="42">
        <v>1624616</v>
      </c>
      <c r="O278" s="42">
        <v>26757</v>
      </c>
      <c r="P278" s="42">
        <v>76585</v>
      </c>
      <c r="Q278" s="42">
        <v>245407</v>
      </c>
      <c r="R278" s="42">
        <v>2101805</v>
      </c>
      <c r="S278" s="43">
        <v>51290</v>
      </c>
      <c r="T278" s="42">
        <v>412361</v>
      </c>
      <c r="U278" s="4"/>
    </row>
    <row r="279" spans="1:21" x14ac:dyDescent="0.3">
      <c r="A279" s="49">
        <v>45744</v>
      </c>
      <c r="B279" s="42">
        <v>29438</v>
      </c>
      <c r="C279" s="42">
        <v>180936</v>
      </c>
      <c r="D279" s="42">
        <v>195065</v>
      </c>
      <c r="E279" s="42">
        <v>277859</v>
      </c>
      <c r="F279" s="42">
        <v>676416</v>
      </c>
      <c r="G279" s="42">
        <v>309279</v>
      </c>
      <c r="H279" s="42">
        <v>82876</v>
      </c>
      <c r="I279" s="42">
        <v>88915</v>
      </c>
      <c r="J279" s="42">
        <v>254788</v>
      </c>
      <c r="K279" s="42">
        <v>574824</v>
      </c>
      <c r="L279" s="42">
        <v>174494</v>
      </c>
      <c r="M279" s="42">
        <v>1843209</v>
      </c>
      <c r="N279" s="42">
        <v>1627040</v>
      </c>
      <c r="O279" s="42">
        <v>28124</v>
      </c>
      <c r="P279" s="42">
        <v>76593</v>
      </c>
      <c r="Q279" s="42">
        <v>240148</v>
      </c>
      <c r="R279" s="42">
        <v>2092296</v>
      </c>
      <c r="S279" s="43">
        <v>49836</v>
      </c>
      <c r="T279" s="42">
        <v>403821</v>
      </c>
      <c r="U279" s="4"/>
    </row>
    <row r="280" spans="1:21" x14ac:dyDescent="0.3">
      <c r="A280" s="49">
        <v>45743</v>
      </c>
      <c r="B280" s="42">
        <v>29864</v>
      </c>
      <c r="C280" s="42">
        <v>180483</v>
      </c>
      <c r="D280" s="42">
        <v>195571</v>
      </c>
      <c r="E280" s="42">
        <v>282599</v>
      </c>
      <c r="F280" s="42">
        <v>674441</v>
      </c>
      <c r="G280" s="42">
        <v>305386</v>
      </c>
      <c r="H280" s="42">
        <v>82867</v>
      </c>
      <c r="I280" s="42">
        <v>88535</v>
      </c>
      <c r="J280" s="42">
        <v>254010</v>
      </c>
      <c r="K280" s="42">
        <v>512637</v>
      </c>
      <c r="L280" s="42">
        <v>172497</v>
      </c>
      <c r="M280" s="42">
        <v>1818356</v>
      </c>
      <c r="N280" s="42">
        <v>1617767</v>
      </c>
      <c r="O280" s="42">
        <v>27675</v>
      </c>
      <c r="P280" s="42">
        <v>74136</v>
      </c>
      <c r="Q280" s="42">
        <v>233593</v>
      </c>
      <c r="R280" s="42">
        <v>2074865</v>
      </c>
      <c r="S280" s="43">
        <v>49210</v>
      </c>
      <c r="T280" s="42">
        <v>400187</v>
      </c>
      <c r="U280" s="4"/>
    </row>
    <row r="281" spans="1:21" x14ac:dyDescent="0.3">
      <c r="A281" s="49">
        <v>45742</v>
      </c>
      <c r="B281" s="42">
        <v>29197</v>
      </c>
      <c r="C281" s="42">
        <v>182329</v>
      </c>
      <c r="D281" s="42">
        <v>192209</v>
      </c>
      <c r="E281" s="42">
        <v>279409</v>
      </c>
      <c r="F281" s="42">
        <v>674372</v>
      </c>
      <c r="G281" s="42">
        <v>304344</v>
      </c>
      <c r="H281" s="42">
        <v>82436</v>
      </c>
      <c r="I281" s="42">
        <v>87039</v>
      </c>
      <c r="J281" s="42">
        <v>253167</v>
      </c>
      <c r="K281" s="42">
        <v>508083</v>
      </c>
      <c r="L281" s="42">
        <v>168786</v>
      </c>
      <c r="M281" s="42">
        <v>1798213</v>
      </c>
      <c r="N281" s="42">
        <v>1607301</v>
      </c>
      <c r="O281" s="42">
        <v>28449</v>
      </c>
      <c r="P281" s="42">
        <v>73925</v>
      </c>
      <c r="Q281" s="42">
        <v>227486</v>
      </c>
      <c r="R281" s="42">
        <v>2080735</v>
      </c>
      <c r="S281" s="43">
        <v>48085</v>
      </c>
      <c r="T281" s="42">
        <v>400018</v>
      </c>
      <c r="U281" s="4"/>
    </row>
    <row r="282" spans="1:21" x14ac:dyDescent="0.3">
      <c r="A282" s="49">
        <v>45741</v>
      </c>
      <c r="B282" s="42">
        <v>29219</v>
      </c>
      <c r="C282" s="42">
        <v>180087</v>
      </c>
      <c r="D282" s="42">
        <v>191212</v>
      </c>
      <c r="E282" s="42">
        <v>281126</v>
      </c>
      <c r="F282" s="42">
        <v>672875</v>
      </c>
      <c r="G282" s="42">
        <v>303778</v>
      </c>
      <c r="H282" s="42">
        <v>82270</v>
      </c>
      <c r="I282" s="42">
        <v>85731</v>
      </c>
      <c r="J282" s="42">
        <v>251957</v>
      </c>
      <c r="K282" s="42">
        <v>511482</v>
      </c>
      <c r="L282" s="42">
        <v>169628</v>
      </c>
      <c r="M282" s="42">
        <v>1783978</v>
      </c>
      <c r="N282" s="42">
        <v>1606111</v>
      </c>
      <c r="O282" s="42">
        <v>29036</v>
      </c>
      <c r="P282" s="42">
        <v>74443</v>
      </c>
      <c r="Q282" s="42">
        <v>224189</v>
      </c>
      <c r="R282" s="42">
        <v>2074351</v>
      </c>
      <c r="S282" s="43">
        <v>48085</v>
      </c>
      <c r="T282" s="42">
        <v>399445</v>
      </c>
      <c r="U282" s="4"/>
    </row>
    <row r="283" spans="1:21" x14ac:dyDescent="0.3">
      <c r="A283" s="49">
        <v>45740</v>
      </c>
      <c r="B283" s="42">
        <v>29527</v>
      </c>
      <c r="C283" s="42">
        <v>180673</v>
      </c>
      <c r="D283" s="42">
        <v>191594</v>
      </c>
      <c r="E283" s="42">
        <v>281105</v>
      </c>
      <c r="F283" s="42">
        <v>658158</v>
      </c>
      <c r="G283" s="42">
        <v>296812</v>
      </c>
      <c r="H283" s="42">
        <v>82685</v>
      </c>
      <c r="I283" s="42">
        <v>85655</v>
      </c>
      <c r="J283" s="42">
        <v>248468</v>
      </c>
      <c r="K283" s="42">
        <v>506999</v>
      </c>
      <c r="L283" s="42">
        <v>167074</v>
      </c>
      <c r="M283" s="42">
        <v>1777770</v>
      </c>
      <c r="N283" s="42">
        <v>1600032</v>
      </c>
      <c r="O283" s="42">
        <v>29310</v>
      </c>
      <c r="P283" s="42">
        <v>74474</v>
      </c>
      <c r="Q283" s="42">
        <v>226585</v>
      </c>
      <c r="R283" s="42">
        <v>2093694</v>
      </c>
      <c r="S283" s="43">
        <v>48085</v>
      </c>
      <c r="T283" s="42">
        <v>402996</v>
      </c>
      <c r="U283" s="4"/>
    </row>
    <row r="284" spans="1:21" x14ac:dyDescent="0.3">
      <c r="A284" s="49">
        <v>45737</v>
      </c>
      <c r="B284" s="42">
        <v>28483</v>
      </c>
      <c r="C284" s="42">
        <v>180161</v>
      </c>
      <c r="D284" s="42">
        <v>188783</v>
      </c>
      <c r="E284" s="42">
        <v>283825</v>
      </c>
      <c r="F284" s="42">
        <v>654114</v>
      </c>
      <c r="G284" s="42">
        <v>298982</v>
      </c>
      <c r="H284" s="42">
        <v>81435</v>
      </c>
      <c r="I284" s="42">
        <v>84853</v>
      </c>
      <c r="J284" s="42">
        <v>245461</v>
      </c>
      <c r="K284" s="42">
        <v>519140</v>
      </c>
      <c r="L284" s="42">
        <v>167309</v>
      </c>
      <c r="M284" s="42">
        <v>1758214</v>
      </c>
      <c r="N284" s="42">
        <v>1594919</v>
      </c>
      <c r="O284" s="42">
        <v>30020</v>
      </c>
      <c r="P284" s="42">
        <v>98616</v>
      </c>
      <c r="Q284" s="42">
        <v>285269</v>
      </c>
      <c r="R284" s="42">
        <v>2524306</v>
      </c>
      <c r="S284" s="43">
        <v>48085</v>
      </c>
      <c r="T284" s="42">
        <v>508415</v>
      </c>
      <c r="U284" s="4"/>
    </row>
    <row r="285" spans="1:21" x14ac:dyDescent="0.3">
      <c r="A285" s="49">
        <v>45736</v>
      </c>
      <c r="B285" s="42">
        <v>45365</v>
      </c>
      <c r="C285" s="42">
        <v>181761</v>
      </c>
      <c r="D285" s="42">
        <v>185784</v>
      </c>
      <c r="E285" s="42">
        <v>285320</v>
      </c>
      <c r="F285" s="42">
        <v>654547</v>
      </c>
      <c r="G285" s="42">
        <v>300272</v>
      </c>
      <c r="H285" s="42">
        <v>82492</v>
      </c>
      <c r="I285" s="42">
        <v>82638</v>
      </c>
      <c r="J285" s="42">
        <v>245474</v>
      </c>
      <c r="K285" s="42">
        <v>532731</v>
      </c>
      <c r="L285" s="42">
        <v>168343</v>
      </c>
      <c r="M285" s="42">
        <v>1751834</v>
      </c>
      <c r="N285" s="42">
        <v>1595473</v>
      </c>
      <c r="O285" s="42">
        <v>30129</v>
      </c>
      <c r="P285" s="42">
        <v>98452</v>
      </c>
      <c r="Q285" s="42">
        <v>287969</v>
      </c>
      <c r="R285" s="42">
        <v>2536540</v>
      </c>
      <c r="S285" s="43">
        <v>71848</v>
      </c>
      <c r="T285" s="42">
        <v>521717</v>
      </c>
      <c r="U285" s="4"/>
    </row>
    <row r="286" spans="1:21" x14ac:dyDescent="0.3">
      <c r="A286" s="49">
        <v>45735</v>
      </c>
      <c r="B286" s="42">
        <v>28922</v>
      </c>
      <c r="C286" s="42">
        <v>179161</v>
      </c>
      <c r="D286" s="42">
        <v>184606</v>
      </c>
      <c r="E286" s="42">
        <v>285306</v>
      </c>
      <c r="F286" s="42">
        <v>655421</v>
      </c>
      <c r="G286" s="42">
        <v>297183</v>
      </c>
      <c r="H286" s="42">
        <v>83690</v>
      </c>
      <c r="I286" s="42">
        <v>80383</v>
      </c>
      <c r="J286" s="42">
        <v>244035</v>
      </c>
      <c r="K286" s="42">
        <v>537836</v>
      </c>
      <c r="L286" s="42">
        <v>169407</v>
      </c>
      <c r="M286" s="42">
        <v>1759402</v>
      </c>
      <c r="N286" s="42">
        <v>1582996</v>
      </c>
      <c r="O286" s="42">
        <v>30413</v>
      </c>
      <c r="P286" s="42">
        <v>97339</v>
      </c>
      <c r="Q286" s="42">
        <v>292653</v>
      </c>
      <c r="R286" s="42">
        <v>2529430</v>
      </c>
      <c r="S286" s="43">
        <v>71848</v>
      </c>
      <c r="T286" s="42">
        <v>519919</v>
      </c>
      <c r="U286" s="4"/>
    </row>
    <row r="287" spans="1:21" x14ac:dyDescent="0.3">
      <c r="A287" s="49">
        <v>45734</v>
      </c>
      <c r="B287" s="42">
        <v>29600</v>
      </c>
      <c r="C287" s="42">
        <v>257896</v>
      </c>
      <c r="D287" s="42">
        <v>251847</v>
      </c>
      <c r="E287" s="42">
        <v>347932</v>
      </c>
      <c r="F287" s="42">
        <v>802917</v>
      </c>
      <c r="G287" s="42">
        <v>431970</v>
      </c>
      <c r="H287" s="42">
        <v>125418</v>
      </c>
      <c r="I287" s="42">
        <v>127417</v>
      </c>
      <c r="J287" s="42">
        <v>237882</v>
      </c>
      <c r="K287" s="42">
        <v>533566</v>
      </c>
      <c r="L287" s="42">
        <v>170566</v>
      </c>
      <c r="M287" s="42">
        <v>1768386</v>
      </c>
      <c r="N287" s="42">
        <v>1580223</v>
      </c>
      <c r="O287" s="42">
        <v>30213</v>
      </c>
      <c r="P287" s="42">
        <v>91941</v>
      </c>
      <c r="Q287" s="42">
        <v>301517</v>
      </c>
      <c r="R287" s="42">
        <v>2560662</v>
      </c>
      <c r="S287" s="43">
        <v>62534</v>
      </c>
      <c r="T287" s="42">
        <v>502107</v>
      </c>
      <c r="U287" s="4"/>
    </row>
    <row r="288" spans="1:21" x14ac:dyDescent="0.3">
      <c r="A288" s="49">
        <v>45733</v>
      </c>
      <c r="B288" s="42">
        <v>29337</v>
      </c>
      <c r="C288" s="42">
        <v>261901</v>
      </c>
      <c r="D288" s="42">
        <v>246666</v>
      </c>
      <c r="E288" s="42">
        <v>352089</v>
      </c>
      <c r="F288" s="42">
        <v>799579</v>
      </c>
      <c r="G288" s="42">
        <v>434374</v>
      </c>
      <c r="H288" s="42">
        <v>125952</v>
      </c>
      <c r="I288" s="42">
        <v>127760</v>
      </c>
      <c r="J288" s="42">
        <v>234756</v>
      </c>
      <c r="K288" s="42">
        <v>531211</v>
      </c>
      <c r="L288" s="42">
        <v>167249</v>
      </c>
      <c r="M288" s="42">
        <v>1778742</v>
      </c>
      <c r="N288" s="42">
        <v>1600992</v>
      </c>
      <c r="O288" s="42">
        <v>29668</v>
      </c>
      <c r="P288" s="42">
        <v>86405</v>
      </c>
      <c r="Q288" s="42">
        <v>296806</v>
      </c>
      <c r="R288" s="42">
        <v>2421131</v>
      </c>
      <c r="S288" s="43">
        <v>62534</v>
      </c>
      <c r="T288" s="42">
        <v>503059</v>
      </c>
      <c r="U288" s="4"/>
    </row>
    <row r="289" spans="1:21" x14ac:dyDescent="0.3">
      <c r="A289" s="49">
        <v>45730</v>
      </c>
      <c r="B289" s="42">
        <v>28958</v>
      </c>
      <c r="C289" s="42">
        <v>259323</v>
      </c>
      <c r="D289" s="42">
        <v>246446</v>
      </c>
      <c r="E289" s="42">
        <v>357796</v>
      </c>
      <c r="F289" s="42">
        <v>801585</v>
      </c>
      <c r="G289" s="42">
        <v>430124</v>
      </c>
      <c r="H289" s="42">
        <v>123395</v>
      </c>
      <c r="I289" s="42">
        <v>127555</v>
      </c>
      <c r="J289" s="42">
        <v>230903</v>
      </c>
      <c r="K289" s="42">
        <v>532348</v>
      </c>
      <c r="L289" s="42">
        <v>166394</v>
      </c>
      <c r="M289" s="42">
        <v>1797692</v>
      </c>
      <c r="N289" s="42">
        <v>1609084</v>
      </c>
      <c r="O289" s="42">
        <v>29409</v>
      </c>
      <c r="P289" s="42">
        <v>77196</v>
      </c>
      <c r="Q289" s="42">
        <v>292642</v>
      </c>
      <c r="R289" s="42">
        <v>2383652</v>
      </c>
      <c r="S289" s="43">
        <v>62534</v>
      </c>
      <c r="T289" s="42">
        <v>494970</v>
      </c>
      <c r="U289" s="4"/>
    </row>
    <row r="290" spans="1:21" x14ac:dyDescent="0.3">
      <c r="A290" s="49">
        <v>45729</v>
      </c>
      <c r="B290" s="5">
        <v>47239</v>
      </c>
      <c r="C290" s="42">
        <v>259419</v>
      </c>
      <c r="D290" s="42">
        <v>250734</v>
      </c>
      <c r="E290" s="42">
        <v>353234</v>
      </c>
      <c r="F290" s="42">
        <v>792102</v>
      </c>
      <c r="G290" s="42">
        <v>427978</v>
      </c>
      <c r="H290" s="42">
        <v>123194</v>
      </c>
      <c r="I290" s="42">
        <v>126908</v>
      </c>
      <c r="J290" s="42">
        <v>229115</v>
      </c>
      <c r="K290" s="42">
        <v>526145</v>
      </c>
      <c r="L290" s="42">
        <v>164930</v>
      </c>
      <c r="M290" s="42">
        <v>1787746</v>
      </c>
      <c r="N290" s="42">
        <v>1625648</v>
      </c>
      <c r="O290" s="42">
        <v>28957</v>
      </c>
      <c r="P290" s="42">
        <v>76954</v>
      </c>
      <c r="Q290" s="42">
        <v>291464</v>
      </c>
      <c r="R290" s="42">
        <v>2350618</v>
      </c>
      <c r="S290" s="43">
        <v>54135</v>
      </c>
      <c r="T290" s="42">
        <v>489446</v>
      </c>
      <c r="U290" s="4"/>
    </row>
    <row r="291" spans="1:21" x14ac:dyDescent="0.3">
      <c r="A291" s="49">
        <v>45728</v>
      </c>
      <c r="B291" s="5">
        <v>43775</v>
      </c>
      <c r="C291" s="42">
        <v>253199</v>
      </c>
      <c r="D291" s="42">
        <v>257563</v>
      </c>
      <c r="E291" s="42">
        <v>333279</v>
      </c>
      <c r="F291" s="42">
        <v>777823</v>
      </c>
      <c r="G291" s="42">
        <v>444851</v>
      </c>
      <c r="H291" s="42">
        <v>118696</v>
      </c>
      <c r="I291" s="42">
        <v>112345</v>
      </c>
      <c r="J291" s="42">
        <v>227261</v>
      </c>
      <c r="K291" s="42">
        <v>508714</v>
      </c>
      <c r="L291" s="42">
        <v>159618</v>
      </c>
      <c r="M291" s="42">
        <v>1780299</v>
      </c>
      <c r="N291" s="42">
        <v>1628963</v>
      </c>
      <c r="O291" s="42">
        <v>28758</v>
      </c>
      <c r="P291" s="42">
        <v>74144</v>
      </c>
      <c r="Q291" s="42">
        <v>298761</v>
      </c>
      <c r="R291" s="42">
        <v>2285643</v>
      </c>
      <c r="S291" s="43">
        <v>54135</v>
      </c>
      <c r="T291" s="42">
        <v>477253</v>
      </c>
      <c r="U291" s="4"/>
    </row>
    <row r="292" spans="1:21" x14ac:dyDescent="0.3">
      <c r="A292" s="49">
        <v>45727</v>
      </c>
      <c r="B292" s="5">
        <v>39865</v>
      </c>
      <c r="C292" s="42">
        <v>258738</v>
      </c>
      <c r="D292" s="42">
        <v>248457</v>
      </c>
      <c r="E292" s="42">
        <v>339922</v>
      </c>
      <c r="F292" s="42">
        <v>729760</v>
      </c>
      <c r="G292" s="42">
        <v>446178</v>
      </c>
      <c r="H292" s="42">
        <v>117627</v>
      </c>
      <c r="I292" s="42">
        <v>100493</v>
      </c>
      <c r="J292" s="42">
        <v>227359</v>
      </c>
      <c r="K292" s="42">
        <v>511276</v>
      </c>
      <c r="L292" s="42">
        <v>155263</v>
      </c>
      <c r="M292" s="42">
        <v>1793310</v>
      </c>
      <c r="N292" s="42">
        <v>1645622</v>
      </c>
      <c r="O292" s="42">
        <v>28545</v>
      </c>
      <c r="P292" s="42">
        <v>74843</v>
      </c>
      <c r="Q292" s="42">
        <v>303084</v>
      </c>
      <c r="R292" s="42">
        <v>2282648</v>
      </c>
      <c r="S292" s="43">
        <v>55957</v>
      </c>
      <c r="T292" s="42">
        <v>473874</v>
      </c>
      <c r="U292" s="4"/>
    </row>
    <row r="293" spans="1:21" x14ac:dyDescent="0.3">
      <c r="A293" s="49">
        <v>45726</v>
      </c>
      <c r="B293" s="5">
        <v>39838</v>
      </c>
      <c r="C293" s="42">
        <v>215133</v>
      </c>
      <c r="D293" s="42">
        <v>231530</v>
      </c>
      <c r="E293" s="42">
        <v>337617</v>
      </c>
      <c r="F293" s="42">
        <v>714123</v>
      </c>
      <c r="G293" s="42">
        <v>404584</v>
      </c>
      <c r="H293" s="42">
        <v>101265</v>
      </c>
      <c r="I293" s="42">
        <v>96282</v>
      </c>
      <c r="J293" s="42">
        <v>226263</v>
      </c>
      <c r="K293" s="42">
        <v>505149</v>
      </c>
      <c r="L293" s="42">
        <v>152782</v>
      </c>
      <c r="M293" s="42">
        <v>1813726</v>
      </c>
      <c r="N293" s="42">
        <v>1649831</v>
      </c>
      <c r="O293" s="42">
        <v>28277</v>
      </c>
      <c r="P293" s="42">
        <v>73587</v>
      </c>
      <c r="Q293" s="42">
        <v>303104</v>
      </c>
      <c r="R293" s="42">
        <v>2260265</v>
      </c>
      <c r="S293" s="43">
        <v>59252</v>
      </c>
      <c r="T293" s="42">
        <v>473034</v>
      </c>
      <c r="U293" s="4"/>
    </row>
    <row r="294" spans="1:21" x14ac:dyDescent="0.3">
      <c r="A294" s="49">
        <v>45723</v>
      </c>
      <c r="B294" s="5">
        <v>39742</v>
      </c>
      <c r="C294" s="42">
        <v>204177</v>
      </c>
      <c r="D294" s="42">
        <v>226202</v>
      </c>
      <c r="E294" s="42">
        <v>340271</v>
      </c>
      <c r="F294" s="42">
        <v>708513</v>
      </c>
      <c r="G294" s="42">
        <v>379134</v>
      </c>
      <c r="H294" s="42">
        <v>97816</v>
      </c>
      <c r="I294" s="42">
        <v>94252</v>
      </c>
      <c r="J294" s="42">
        <v>225665</v>
      </c>
      <c r="K294" s="42">
        <v>499776</v>
      </c>
      <c r="L294" s="42">
        <v>151275</v>
      </c>
      <c r="M294" s="42">
        <v>1803404</v>
      </c>
      <c r="N294" s="42">
        <v>1641843</v>
      </c>
      <c r="O294" s="42">
        <v>28452</v>
      </c>
      <c r="P294" s="42">
        <v>71265</v>
      </c>
      <c r="Q294" s="42">
        <v>283737</v>
      </c>
      <c r="R294" s="42">
        <v>2185844</v>
      </c>
      <c r="S294" s="43">
        <v>59564</v>
      </c>
      <c r="T294" s="42">
        <v>462039</v>
      </c>
      <c r="U294" s="4"/>
    </row>
    <row r="295" spans="1:21" x14ac:dyDescent="0.3">
      <c r="A295" s="49">
        <v>45722</v>
      </c>
      <c r="B295" s="5">
        <v>39597</v>
      </c>
      <c r="C295" s="42">
        <v>206447</v>
      </c>
      <c r="D295" s="42">
        <v>233749</v>
      </c>
      <c r="E295" s="42">
        <v>342939</v>
      </c>
      <c r="F295" s="42">
        <v>692409</v>
      </c>
      <c r="G295" s="42">
        <v>382549</v>
      </c>
      <c r="H295" s="42">
        <v>98032</v>
      </c>
      <c r="I295" s="42">
        <v>94652</v>
      </c>
      <c r="J295" s="42">
        <v>225873</v>
      </c>
      <c r="K295" s="42">
        <v>493608</v>
      </c>
      <c r="L295" s="42">
        <v>151548</v>
      </c>
      <c r="M295" s="42">
        <v>1828016</v>
      </c>
      <c r="N295" s="42">
        <v>1632583</v>
      </c>
      <c r="O295" s="42">
        <v>28963</v>
      </c>
      <c r="P295" s="42">
        <v>73037</v>
      </c>
      <c r="Q295" s="42">
        <v>283349</v>
      </c>
      <c r="R295" s="42">
        <v>2181256</v>
      </c>
      <c r="S295" s="43">
        <v>62510</v>
      </c>
      <c r="T295" s="42">
        <v>462796</v>
      </c>
      <c r="U295" s="4"/>
    </row>
    <row r="296" spans="1:21" x14ac:dyDescent="0.3">
      <c r="A296" s="49">
        <v>45721</v>
      </c>
      <c r="B296" s="5">
        <v>39186</v>
      </c>
      <c r="C296" s="42">
        <v>205122</v>
      </c>
      <c r="D296" s="42">
        <v>212819</v>
      </c>
      <c r="E296" s="42">
        <v>342541</v>
      </c>
      <c r="F296" s="42">
        <v>692129</v>
      </c>
      <c r="G296" s="42">
        <v>382509</v>
      </c>
      <c r="H296" s="42">
        <v>100382</v>
      </c>
      <c r="I296" s="42">
        <v>97260</v>
      </c>
      <c r="J296" s="42">
        <v>226324</v>
      </c>
      <c r="K296" s="42">
        <v>492353</v>
      </c>
      <c r="L296" s="42">
        <v>150166</v>
      </c>
      <c r="M296" s="42">
        <v>1820808</v>
      </c>
      <c r="N296" s="42">
        <v>1634278</v>
      </c>
      <c r="O296" s="42">
        <v>28851</v>
      </c>
      <c r="P296" s="42">
        <v>72059</v>
      </c>
      <c r="Q296" s="42">
        <v>281550</v>
      </c>
      <c r="R296" s="42">
        <v>2163555</v>
      </c>
      <c r="S296" s="43">
        <v>66505</v>
      </c>
      <c r="T296" s="42">
        <v>455665</v>
      </c>
      <c r="U296" s="4"/>
    </row>
    <row r="297" spans="1:21" x14ac:dyDescent="0.3">
      <c r="A297" s="49">
        <v>45720</v>
      </c>
      <c r="B297" s="5">
        <v>39075</v>
      </c>
      <c r="C297" s="42">
        <v>202272</v>
      </c>
      <c r="D297" s="42">
        <v>200634</v>
      </c>
      <c r="E297" s="42">
        <v>340218</v>
      </c>
      <c r="F297" s="42">
        <v>683819</v>
      </c>
      <c r="G297" s="42">
        <v>354415</v>
      </c>
      <c r="H297" s="42">
        <v>99433</v>
      </c>
      <c r="I297" s="42">
        <v>97021</v>
      </c>
      <c r="J297" s="42">
        <v>218780</v>
      </c>
      <c r="K297" s="42">
        <v>489270</v>
      </c>
      <c r="L297" s="42">
        <v>145935</v>
      </c>
      <c r="M297" s="42">
        <v>1816244</v>
      </c>
      <c r="N297" s="42">
        <v>1631662</v>
      </c>
      <c r="O297" s="42">
        <v>28209</v>
      </c>
      <c r="P297" s="42">
        <v>75169</v>
      </c>
      <c r="Q297" s="42">
        <v>288147</v>
      </c>
      <c r="R297" s="42">
        <v>2180944</v>
      </c>
      <c r="S297" s="43">
        <v>69898</v>
      </c>
      <c r="T297" s="42">
        <v>445584</v>
      </c>
      <c r="U297" s="4"/>
    </row>
    <row r="298" spans="1:21" x14ac:dyDescent="0.3">
      <c r="A298" s="49">
        <v>45719</v>
      </c>
      <c r="B298" s="5">
        <v>39403</v>
      </c>
      <c r="C298" s="42">
        <v>197131</v>
      </c>
      <c r="D298" s="42">
        <v>204413</v>
      </c>
      <c r="E298" s="42">
        <v>336778</v>
      </c>
      <c r="F298" s="42">
        <v>668387</v>
      </c>
      <c r="G298" s="42">
        <v>341125</v>
      </c>
      <c r="H298" s="42">
        <v>99023</v>
      </c>
      <c r="I298" s="42">
        <v>98025</v>
      </c>
      <c r="J298" s="42">
        <v>216545</v>
      </c>
      <c r="K298" s="42">
        <v>488842</v>
      </c>
      <c r="L298" s="42">
        <v>145957</v>
      </c>
      <c r="M298" s="42">
        <v>1805025</v>
      </c>
      <c r="N298" s="42">
        <v>1605060</v>
      </c>
      <c r="O298" s="42">
        <v>27849</v>
      </c>
      <c r="P298" s="42">
        <v>75627</v>
      </c>
      <c r="Q298" s="42">
        <v>287629</v>
      </c>
      <c r="R298" s="42">
        <v>2174947</v>
      </c>
      <c r="S298" s="43">
        <v>69305</v>
      </c>
      <c r="T298" s="42">
        <v>440418</v>
      </c>
      <c r="U298" s="4"/>
    </row>
    <row r="299" spans="1:21" x14ac:dyDescent="0.3">
      <c r="A299" s="49">
        <v>45716</v>
      </c>
      <c r="B299" s="42">
        <v>38490</v>
      </c>
      <c r="C299" s="42">
        <v>190723</v>
      </c>
      <c r="D299" s="42">
        <v>198393</v>
      </c>
      <c r="E299" s="42">
        <v>316344</v>
      </c>
      <c r="F299" s="42">
        <v>659333</v>
      </c>
      <c r="G299" s="42">
        <v>337453</v>
      </c>
      <c r="H299" s="42">
        <v>96415</v>
      </c>
      <c r="I299" s="42">
        <v>97270</v>
      </c>
      <c r="J299" s="42">
        <v>215577</v>
      </c>
      <c r="K299" s="42">
        <v>489629</v>
      </c>
      <c r="L299" s="42">
        <v>146299</v>
      </c>
      <c r="M299" s="42">
        <v>1778969</v>
      </c>
      <c r="N299" s="42">
        <v>1597519</v>
      </c>
      <c r="O299" s="42">
        <v>30588</v>
      </c>
      <c r="P299" s="42">
        <v>74509</v>
      </c>
      <c r="Q299" s="42">
        <v>290705</v>
      </c>
      <c r="R299" s="42">
        <v>2142670</v>
      </c>
      <c r="S299" s="43">
        <v>60625</v>
      </c>
      <c r="T299" s="42">
        <v>433179</v>
      </c>
      <c r="U299" s="4"/>
    </row>
    <row r="300" spans="1:21" x14ac:dyDescent="0.3">
      <c r="A300" s="49">
        <v>45715</v>
      </c>
      <c r="B300" s="42">
        <v>38364</v>
      </c>
      <c r="C300" s="42">
        <v>187009</v>
      </c>
      <c r="D300" s="42">
        <v>200144</v>
      </c>
      <c r="E300" s="42">
        <v>320292</v>
      </c>
      <c r="F300" s="42">
        <v>661813</v>
      </c>
      <c r="G300" s="42">
        <v>335200</v>
      </c>
      <c r="H300" s="42">
        <v>94163</v>
      </c>
      <c r="I300" s="42">
        <v>96679</v>
      </c>
      <c r="J300" s="42">
        <v>216329</v>
      </c>
      <c r="K300" s="42">
        <v>507722</v>
      </c>
      <c r="L300" s="42">
        <v>158760</v>
      </c>
      <c r="M300" s="42">
        <v>1774570</v>
      </c>
      <c r="N300" s="42">
        <v>1597836</v>
      </c>
      <c r="O300" s="42">
        <v>30217</v>
      </c>
      <c r="P300" s="42">
        <v>77149</v>
      </c>
      <c r="Q300" s="42">
        <v>287002</v>
      </c>
      <c r="R300" s="42">
        <v>2166931</v>
      </c>
      <c r="S300" s="43">
        <v>58888</v>
      </c>
      <c r="T300" s="42">
        <v>427662</v>
      </c>
      <c r="U300" s="4"/>
    </row>
    <row r="301" spans="1:21" x14ac:dyDescent="0.3">
      <c r="A301" s="49">
        <v>45714</v>
      </c>
      <c r="B301" s="42">
        <v>38022</v>
      </c>
      <c r="C301" s="42">
        <v>184975</v>
      </c>
      <c r="D301" s="42">
        <v>202424</v>
      </c>
      <c r="E301" s="42">
        <v>318075</v>
      </c>
      <c r="F301" s="42">
        <v>658293</v>
      </c>
      <c r="G301" s="42">
        <v>328045</v>
      </c>
      <c r="H301" s="42">
        <v>91203</v>
      </c>
      <c r="I301" s="42">
        <v>96485</v>
      </c>
      <c r="J301" s="42">
        <v>216471</v>
      </c>
      <c r="K301" s="42">
        <v>513128</v>
      </c>
      <c r="L301" s="42">
        <v>161832</v>
      </c>
      <c r="M301" s="42">
        <v>1778009</v>
      </c>
      <c r="N301" s="42">
        <v>1597083</v>
      </c>
      <c r="O301" s="42">
        <v>31049</v>
      </c>
      <c r="P301" s="42">
        <v>77973</v>
      </c>
      <c r="Q301" s="42">
        <v>284902</v>
      </c>
      <c r="R301" s="42">
        <v>2119539</v>
      </c>
      <c r="S301" s="43">
        <v>60029</v>
      </c>
      <c r="T301" s="42">
        <v>425805</v>
      </c>
      <c r="U301" s="4"/>
    </row>
    <row r="302" spans="1:21" x14ac:dyDescent="0.3">
      <c r="A302" s="49">
        <v>45713</v>
      </c>
      <c r="B302" s="42">
        <v>38062</v>
      </c>
      <c r="C302" s="42">
        <v>185971</v>
      </c>
      <c r="D302" s="42">
        <v>200468</v>
      </c>
      <c r="E302" s="42">
        <v>319493</v>
      </c>
      <c r="F302" s="42">
        <v>658684</v>
      </c>
      <c r="G302" s="42">
        <v>329186</v>
      </c>
      <c r="H302" s="42">
        <v>90322</v>
      </c>
      <c r="I302" s="42">
        <v>97178</v>
      </c>
      <c r="J302" s="42">
        <v>222133</v>
      </c>
      <c r="K302" s="42">
        <v>512179</v>
      </c>
      <c r="L302" s="42">
        <v>163681</v>
      </c>
      <c r="M302" s="42">
        <v>1768799</v>
      </c>
      <c r="N302" s="42">
        <v>1595779</v>
      </c>
      <c r="O302" s="42">
        <v>32060</v>
      </c>
      <c r="P302" s="42">
        <v>79313</v>
      </c>
      <c r="Q302" s="42">
        <v>286114</v>
      </c>
      <c r="R302" s="42">
        <v>2126872</v>
      </c>
      <c r="S302" s="43">
        <v>60029</v>
      </c>
      <c r="T302" s="42">
        <v>422488</v>
      </c>
      <c r="U302" s="4"/>
    </row>
    <row r="303" spans="1:21" x14ac:dyDescent="0.3">
      <c r="A303" s="49">
        <v>45712</v>
      </c>
      <c r="B303" s="42">
        <v>38257</v>
      </c>
      <c r="C303" s="42">
        <v>182912</v>
      </c>
      <c r="D303" s="42">
        <v>201992</v>
      </c>
      <c r="E303" s="42">
        <v>321108</v>
      </c>
      <c r="F303" s="42">
        <v>656864</v>
      </c>
      <c r="G303" s="42">
        <v>325496</v>
      </c>
      <c r="H303" s="42">
        <v>89973</v>
      </c>
      <c r="I303" s="42">
        <v>97240</v>
      </c>
      <c r="J303" s="42">
        <v>233580</v>
      </c>
      <c r="K303" s="42">
        <v>529785</v>
      </c>
      <c r="L303" s="42">
        <v>168057</v>
      </c>
      <c r="M303" s="42">
        <v>1764695</v>
      </c>
      <c r="N303" s="42">
        <v>1601402</v>
      </c>
      <c r="O303" s="42">
        <v>32994</v>
      </c>
      <c r="P303" s="42">
        <v>82504</v>
      </c>
      <c r="Q303" s="42">
        <v>286734</v>
      </c>
      <c r="R303" s="42">
        <v>2130041</v>
      </c>
      <c r="S303" s="43">
        <v>64879</v>
      </c>
      <c r="T303" s="42">
        <v>421594</v>
      </c>
      <c r="U303" s="4"/>
    </row>
    <row r="304" spans="1:21" x14ac:dyDescent="0.3">
      <c r="A304" s="49">
        <v>45709</v>
      </c>
      <c r="B304" s="42">
        <v>38918</v>
      </c>
      <c r="C304" s="42">
        <v>189891</v>
      </c>
      <c r="D304" s="42">
        <v>203565</v>
      </c>
      <c r="E304" s="42">
        <v>319528</v>
      </c>
      <c r="F304" s="42">
        <v>650958</v>
      </c>
      <c r="G304" s="42">
        <v>310431</v>
      </c>
      <c r="H304" s="42">
        <v>89325</v>
      </c>
      <c r="I304" s="42">
        <v>97887</v>
      </c>
      <c r="J304" s="42">
        <v>234895</v>
      </c>
      <c r="K304" s="42">
        <v>525321</v>
      </c>
      <c r="L304" s="42">
        <v>169006</v>
      </c>
      <c r="M304" s="42">
        <v>1768328</v>
      </c>
      <c r="N304" s="42">
        <v>1591163</v>
      </c>
      <c r="O304" s="42">
        <v>33302</v>
      </c>
      <c r="P304" s="42">
        <v>87789</v>
      </c>
      <c r="Q304" s="42">
        <v>284281</v>
      </c>
      <c r="R304" s="42">
        <v>2128353</v>
      </c>
      <c r="S304" s="43">
        <v>62184</v>
      </c>
      <c r="T304" s="42">
        <v>420528</v>
      </c>
      <c r="U304" s="4"/>
    </row>
    <row r="305" spans="1:21" x14ac:dyDescent="0.3">
      <c r="A305" s="49">
        <v>45708</v>
      </c>
      <c r="B305" s="42">
        <v>40057</v>
      </c>
      <c r="C305" s="42">
        <v>190523</v>
      </c>
      <c r="D305" s="42">
        <v>204387</v>
      </c>
      <c r="E305" s="42">
        <v>321469</v>
      </c>
      <c r="F305" s="42">
        <v>651717</v>
      </c>
      <c r="G305" s="42">
        <v>306123</v>
      </c>
      <c r="H305" s="42">
        <v>89690</v>
      </c>
      <c r="I305" s="42">
        <v>98417</v>
      </c>
      <c r="J305" s="42">
        <v>236822</v>
      </c>
      <c r="K305" s="42">
        <v>526625</v>
      </c>
      <c r="L305" s="42">
        <v>171305</v>
      </c>
      <c r="M305" s="42">
        <v>1752909</v>
      </c>
      <c r="N305" s="42">
        <v>1582424</v>
      </c>
      <c r="O305" s="42">
        <v>35108</v>
      </c>
      <c r="P305" s="42">
        <v>84383</v>
      </c>
      <c r="Q305" s="42">
        <v>296276</v>
      </c>
      <c r="R305" s="42">
        <v>2129631</v>
      </c>
      <c r="S305" s="43">
        <v>64379</v>
      </c>
      <c r="T305" s="42">
        <v>418879</v>
      </c>
      <c r="U305" s="4"/>
    </row>
    <row r="306" spans="1:21" x14ac:dyDescent="0.3">
      <c r="A306" s="49">
        <v>45707</v>
      </c>
      <c r="B306" s="42">
        <v>38996</v>
      </c>
      <c r="C306" s="42">
        <v>189997</v>
      </c>
      <c r="D306" s="42">
        <v>201878</v>
      </c>
      <c r="E306" s="42">
        <v>318522</v>
      </c>
      <c r="F306" s="42">
        <v>640154</v>
      </c>
      <c r="G306" s="42">
        <v>287680</v>
      </c>
      <c r="H306" s="42">
        <v>89438</v>
      </c>
      <c r="I306" s="42">
        <v>98554</v>
      </c>
      <c r="J306" s="42">
        <v>237345</v>
      </c>
      <c r="K306" s="42">
        <v>524184</v>
      </c>
      <c r="L306" s="42">
        <v>169352</v>
      </c>
      <c r="M306" s="42">
        <v>1743595</v>
      </c>
      <c r="N306" s="42">
        <v>1583780</v>
      </c>
      <c r="O306" s="42">
        <v>33855</v>
      </c>
      <c r="P306" s="42">
        <v>81346</v>
      </c>
      <c r="Q306" s="42">
        <v>297760</v>
      </c>
      <c r="R306" s="42">
        <v>2133408</v>
      </c>
      <c r="S306" s="43">
        <v>66402</v>
      </c>
      <c r="T306" s="42">
        <v>419021</v>
      </c>
      <c r="U306" s="4"/>
    </row>
    <row r="307" spans="1:21" x14ac:dyDescent="0.3">
      <c r="A307" s="49">
        <v>45706</v>
      </c>
      <c r="B307" s="42">
        <v>38459</v>
      </c>
      <c r="C307" s="42">
        <v>189763</v>
      </c>
      <c r="D307" s="42">
        <v>203958</v>
      </c>
      <c r="E307" s="42">
        <v>323195</v>
      </c>
      <c r="F307" s="42">
        <v>639703</v>
      </c>
      <c r="G307" s="42">
        <v>281366</v>
      </c>
      <c r="H307" s="42">
        <v>89366</v>
      </c>
      <c r="I307" s="42">
        <v>97878</v>
      </c>
      <c r="J307" s="42">
        <v>238331</v>
      </c>
      <c r="K307" s="42">
        <v>522330</v>
      </c>
      <c r="L307" s="42">
        <v>170107</v>
      </c>
      <c r="M307" s="42">
        <v>1752594</v>
      </c>
      <c r="N307" s="42">
        <v>1578394</v>
      </c>
      <c r="O307" s="42">
        <v>33833</v>
      </c>
      <c r="P307" s="42">
        <v>80427</v>
      </c>
      <c r="Q307" s="42">
        <v>289760</v>
      </c>
      <c r="R307" s="42">
        <v>2120653</v>
      </c>
      <c r="S307" s="43">
        <v>60823</v>
      </c>
      <c r="T307" s="42">
        <v>416609</v>
      </c>
      <c r="U307" s="4"/>
    </row>
    <row r="308" spans="1:21" x14ac:dyDescent="0.3">
      <c r="A308" s="49">
        <v>45705</v>
      </c>
      <c r="B308" s="42">
        <v>39517</v>
      </c>
      <c r="C308" s="42">
        <v>196239</v>
      </c>
      <c r="D308" s="42">
        <v>203463</v>
      </c>
      <c r="E308" s="42">
        <v>324345</v>
      </c>
      <c r="F308" s="42">
        <v>634352</v>
      </c>
      <c r="G308" s="42">
        <v>275537</v>
      </c>
      <c r="H308" s="42">
        <v>91229</v>
      </c>
      <c r="I308" s="42">
        <v>98612</v>
      </c>
      <c r="J308" s="42">
        <v>242279</v>
      </c>
      <c r="K308" s="42">
        <v>520641</v>
      </c>
      <c r="L308" s="42">
        <v>169385</v>
      </c>
      <c r="M308" s="42">
        <v>1762502</v>
      </c>
      <c r="N308" s="42">
        <v>1557600</v>
      </c>
      <c r="O308" s="42">
        <v>34262</v>
      </c>
      <c r="P308" s="42">
        <v>80537</v>
      </c>
      <c r="Q308" s="42">
        <v>286098</v>
      </c>
      <c r="R308" s="42">
        <v>2114517</v>
      </c>
      <c r="S308" s="43">
        <v>59447</v>
      </c>
      <c r="T308" s="42">
        <v>414094</v>
      </c>
      <c r="U308" s="4"/>
    </row>
    <row r="309" spans="1:21" x14ac:dyDescent="0.3">
      <c r="A309" s="49">
        <v>45702</v>
      </c>
      <c r="B309" s="42">
        <v>39517</v>
      </c>
      <c r="C309" s="42">
        <v>196239</v>
      </c>
      <c r="D309" s="42">
        <v>203463</v>
      </c>
      <c r="E309" s="42">
        <v>324345</v>
      </c>
      <c r="F309" s="42">
        <v>634352</v>
      </c>
      <c r="G309" s="42">
        <v>275537</v>
      </c>
      <c r="H309" s="42">
        <v>91229</v>
      </c>
      <c r="I309" s="42">
        <v>98612</v>
      </c>
      <c r="J309" s="42">
        <v>242279</v>
      </c>
      <c r="K309" s="42">
        <v>520641</v>
      </c>
      <c r="L309" s="42">
        <v>169385</v>
      </c>
      <c r="M309" s="42">
        <v>1762502</v>
      </c>
      <c r="N309" s="42">
        <v>1557600</v>
      </c>
      <c r="O309" s="42">
        <v>34262</v>
      </c>
      <c r="P309" s="42">
        <v>80537</v>
      </c>
      <c r="Q309" s="42">
        <v>286098</v>
      </c>
      <c r="R309" s="42">
        <v>2114517</v>
      </c>
      <c r="S309" s="43">
        <v>63397</v>
      </c>
      <c r="T309" s="42">
        <v>414094</v>
      </c>
      <c r="U309" s="4"/>
    </row>
    <row r="310" spans="1:21" x14ac:dyDescent="0.3">
      <c r="A310" s="49">
        <v>45701</v>
      </c>
      <c r="B310" s="42">
        <v>40313</v>
      </c>
      <c r="C310" s="42">
        <v>193090</v>
      </c>
      <c r="D310" s="42">
        <v>206563</v>
      </c>
      <c r="E310" s="42">
        <v>330279</v>
      </c>
      <c r="F310" s="42">
        <v>630465</v>
      </c>
      <c r="G310" s="42">
        <v>272839</v>
      </c>
      <c r="H310" s="42">
        <v>92999</v>
      </c>
      <c r="I310" s="42">
        <v>99375</v>
      </c>
      <c r="J310" s="42">
        <v>244133</v>
      </c>
      <c r="K310" s="42">
        <v>530293</v>
      </c>
      <c r="L310" s="42">
        <v>169054</v>
      </c>
      <c r="M310" s="42">
        <v>1757930</v>
      </c>
      <c r="N310" s="42">
        <v>1563952</v>
      </c>
      <c r="O310" s="42">
        <v>33430</v>
      </c>
      <c r="P310" s="42">
        <v>81414</v>
      </c>
      <c r="Q310" s="42">
        <v>279354</v>
      </c>
      <c r="R310" s="42">
        <v>2124251</v>
      </c>
      <c r="S310" s="43">
        <v>67752</v>
      </c>
      <c r="T310" s="42">
        <v>415277</v>
      </c>
      <c r="U310" s="4"/>
    </row>
    <row r="311" spans="1:21" x14ac:dyDescent="0.3">
      <c r="A311" s="49">
        <v>45700</v>
      </c>
      <c r="B311" s="42">
        <v>40117</v>
      </c>
      <c r="C311" s="42">
        <v>191971</v>
      </c>
      <c r="D311" s="42">
        <v>209733</v>
      </c>
      <c r="E311" s="42">
        <v>333192</v>
      </c>
      <c r="F311" s="42">
        <v>624565</v>
      </c>
      <c r="G311" s="42">
        <v>275368</v>
      </c>
      <c r="H311" s="42">
        <v>87838</v>
      </c>
      <c r="I311" s="42">
        <v>98633</v>
      </c>
      <c r="J311" s="42">
        <v>243799</v>
      </c>
      <c r="K311" s="42">
        <v>528051</v>
      </c>
      <c r="L311" s="42">
        <v>165339</v>
      </c>
      <c r="M311" s="42">
        <v>1769667</v>
      </c>
      <c r="N311" s="42">
        <v>1546267</v>
      </c>
      <c r="O311" s="42">
        <v>33336</v>
      </c>
      <c r="P311" s="42">
        <v>81433</v>
      </c>
      <c r="Q311" s="42">
        <v>268182</v>
      </c>
      <c r="R311" s="42">
        <v>2089994</v>
      </c>
      <c r="S311" s="43">
        <v>63279</v>
      </c>
      <c r="T311" s="42">
        <v>414153</v>
      </c>
      <c r="U311" s="4"/>
    </row>
    <row r="312" spans="1:21" x14ac:dyDescent="0.3">
      <c r="A312" s="49">
        <v>45699</v>
      </c>
      <c r="B312" s="42">
        <v>40037</v>
      </c>
      <c r="C312" s="42">
        <v>196295</v>
      </c>
      <c r="D312" s="42">
        <v>208138</v>
      </c>
      <c r="E312" s="42">
        <v>326849</v>
      </c>
      <c r="F312" s="42">
        <v>622873</v>
      </c>
      <c r="G312" s="42">
        <v>273314</v>
      </c>
      <c r="H312" s="42">
        <v>87118</v>
      </c>
      <c r="I312" s="42">
        <v>98159</v>
      </c>
      <c r="J312" s="42">
        <v>243961</v>
      </c>
      <c r="K312" s="42">
        <v>528719</v>
      </c>
      <c r="L312" s="42">
        <v>164251</v>
      </c>
      <c r="M312" s="42">
        <v>1788275</v>
      </c>
      <c r="N312" s="42">
        <v>1546388</v>
      </c>
      <c r="O312" s="42">
        <v>32949</v>
      </c>
      <c r="P312" s="42">
        <v>81382</v>
      </c>
      <c r="Q312" s="42">
        <v>263509</v>
      </c>
      <c r="R312" s="42">
        <v>2096517</v>
      </c>
      <c r="S312" s="43">
        <v>60498</v>
      </c>
      <c r="T312" s="42">
        <v>414957</v>
      </c>
      <c r="U312" s="4"/>
    </row>
    <row r="313" spans="1:21" x14ac:dyDescent="0.3">
      <c r="A313" s="49">
        <v>45698</v>
      </c>
      <c r="B313" s="42">
        <v>39291</v>
      </c>
      <c r="C313" s="42">
        <v>196772</v>
      </c>
      <c r="D313" s="42">
        <v>204174</v>
      </c>
      <c r="E313" s="42">
        <v>330454</v>
      </c>
      <c r="F313" s="42">
        <v>627932</v>
      </c>
      <c r="G313" s="42">
        <v>271412</v>
      </c>
      <c r="H313" s="42">
        <v>86365</v>
      </c>
      <c r="I313" s="42">
        <v>97231</v>
      </c>
      <c r="J313" s="42">
        <v>243479</v>
      </c>
      <c r="K313" s="42">
        <v>536202</v>
      </c>
      <c r="L313" s="42">
        <v>166626</v>
      </c>
      <c r="M313" s="42">
        <v>1795687</v>
      </c>
      <c r="N313" s="42">
        <v>1558321</v>
      </c>
      <c r="O313" s="42">
        <v>33393</v>
      </c>
      <c r="P313" s="42">
        <v>82541</v>
      </c>
      <c r="Q313" s="42">
        <v>264502</v>
      </c>
      <c r="R313" s="42">
        <v>2093067</v>
      </c>
      <c r="S313" s="43">
        <v>58845</v>
      </c>
      <c r="T313" s="42">
        <v>414696</v>
      </c>
      <c r="U313" s="4"/>
    </row>
    <row r="314" spans="1:21" x14ac:dyDescent="0.3">
      <c r="A314" s="49">
        <v>45695</v>
      </c>
      <c r="B314" s="42">
        <v>39299</v>
      </c>
      <c r="C314" s="42">
        <v>199822</v>
      </c>
      <c r="D314" s="42">
        <v>202359</v>
      </c>
      <c r="E314" s="42">
        <v>331294</v>
      </c>
      <c r="F314" s="42">
        <v>623871</v>
      </c>
      <c r="G314" s="42">
        <v>269120</v>
      </c>
      <c r="H314" s="42">
        <v>83608</v>
      </c>
      <c r="I314" s="42">
        <v>95666</v>
      </c>
      <c r="J314" s="42">
        <v>245208</v>
      </c>
      <c r="K314" s="42">
        <v>530738</v>
      </c>
      <c r="L314" s="42">
        <v>165139</v>
      </c>
      <c r="M314" s="42">
        <v>1796270</v>
      </c>
      <c r="N314" s="42">
        <v>1560761</v>
      </c>
      <c r="O314" s="42">
        <v>32893</v>
      </c>
      <c r="P314" s="42">
        <v>83438</v>
      </c>
      <c r="Q314" s="42">
        <v>258655</v>
      </c>
      <c r="R314" s="42">
        <v>2087989</v>
      </c>
      <c r="S314" s="43">
        <v>62086</v>
      </c>
      <c r="T314" s="42">
        <v>412414</v>
      </c>
      <c r="U314" s="4"/>
    </row>
    <row r="315" spans="1:21" x14ac:dyDescent="0.3">
      <c r="A315" s="49">
        <v>45694</v>
      </c>
      <c r="B315" s="42">
        <v>38964</v>
      </c>
      <c r="C315" s="42">
        <v>201005</v>
      </c>
      <c r="D315" s="42">
        <v>202338</v>
      </c>
      <c r="E315" s="42">
        <v>332191</v>
      </c>
      <c r="F315" s="42">
        <v>617386</v>
      </c>
      <c r="G315" s="42">
        <v>260102</v>
      </c>
      <c r="H315" s="42">
        <v>81777</v>
      </c>
      <c r="I315" s="42">
        <v>95497</v>
      </c>
      <c r="J315" s="42">
        <v>241176</v>
      </c>
      <c r="K315" s="42">
        <v>534054</v>
      </c>
      <c r="L315" s="42">
        <v>169448</v>
      </c>
      <c r="M315" s="42">
        <v>1799598</v>
      </c>
      <c r="N315" s="42">
        <v>1568137</v>
      </c>
      <c r="O315" s="42">
        <v>32628</v>
      </c>
      <c r="P315" s="42">
        <v>83325</v>
      </c>
      <c r="Q315" s="42">
        <v>260875</v>
      </c>
      <c r="R315" s="42">
        <v>2086204</v>
      </c>
      <c r="S315" s="43">
        <v>60952</v>
      </c>
      <c r="T315" s="42">
        <v>412799</v>
      </c>
      <c r="U315" s="4"/>
    </row>
    <row r="316" spans="1:21" x14ac:dyDescent="0.3">
      <c r="A316" s="49">
        <v>45693</v>
      </c>
      <c r="B316" s="42">
        <v>38735</v>
      </c>
      <c r="C316" s="42">
        <v>200955</v>
      </c>
      <c r="D316" s="42">
        <v>204967</v>
      </c>
      <c r="E316" s="42">
        <v>337175</v>
      </c>
      <c r="F316" s="42">
        <v>616483</v>
      </c>
      <c r="G316" s="42">
        <v>253434</v>
      </c>
      <c r="H316" s="42">
        <v>83426</v>
      </c>
      <c r="I316" s="42">
        <v>97490</v>
      </c>
      <c r="J316" s="42">
        <v>239009</v>
      </c>
      <c r="K316" s="42">
        <v>540351</v>
      </c>
      <c r="L316" s="42">
        <v>169265</v>
      </c>
      <c r="M316" s="42">
        <v>1774857</v>
      </c>
      <c r="N316" s="42">
        <v>1559439</v>
      </c>
      <c r="O316" s="42">
        <v>32699</v>
      </c>
      <c r="P316" s="42">
        <v>83256</v>
      </c>
      <c r="Q316" s="42">
        <v>260459</v>
      </c>
      <c r="R316" s="42">
        <v>2072130</v>
      </c>
      <c r="S316" s="43">
        <v>58643</v>
      </c>
      <c r="T316" s="42">
        <v>416968</v>
      </c>
      <c r="U316" s="4"/>
    </row>
    <row r="317" spans="1:21" x14ac:dyDescent="0.3">
      <c r="A317" s="49">
        <v>45692</v>
      </c>
      <c r="B317" s="42">
        <v>39518</v>
      </c>
      <c r="C317" s="42">
        <v>204869</v>
      </c>
      <c r="D317" s="42">
        <v>204644</v>
      </c>
      <c r="E317" s="42">
        <v>346984</v>
      </c>
      <c r="F317" s="42">
        <v>616623</v>
      </c>
      <c r="G317" s="42">
        <v>231911</v>
      </c>
      <c r="H317" s="42">
        <v>83998</v>
      </c>
      <c r="I317" s="42">
        <v>97931</v>
      </c>
      <c r="J317" s="42">
        <v>235599</v>
      </c>
      <c r="K317" s="42">
        <v>542004</v>
      </c>
      <c r="L317" s="42">
        <v>170726</v>
      </c>
      <c r="M317" s="42">
        <v>1765342</v>
      </c>
      <c r="N317" s="42">
        <v>1559758</v>
      </c>
      <c r="O317" s="42">
        <v>32892</v>
      </c>
      <c r="P317" s="42">
        <v>82475</v>
      </c>
      <c r="Q317" s="42">
        <v>259061</v>
      </c>
      <c r="R317" s="42">
        <v>2071863</v>
      </c>
      <c r="S317" s="43">
        <v>60119</v>
      </c>
      <c r="T317" s="42">
        <v>420318</v>
      </c>
      <c r="U317" s="4"/>
    </row>
    <row r="318" spans="1:21" x14ac:dyDescent="0.3">
      <c r="A318" s="49">
        <v>45691</v>
      </c>
      <c r="B318" s="42">
        <v>39705</v>
      </c>
      <c r="C318" s="42">
        <v>206176</v>
      </c>
      <c r="D318" s="42">
        <v>203572</v>
      </c>
      <c r="E318" s="42">
        <v>368099</v>
      </c>
      <c r="F318" s="42">
        <v>621421</v>
      </c>
      <c r="G318" s="42">
        <v>228708</v>
      </c>
      <c r="H318" s="42">
        <v>85015</v>
      </c>
      <c r="I318" s="42">
        <v>98657</v>
      </c>
      <c r="J318" s="42">
        <v>235207</v>
      </c>
      <c r="K318" s="42">
        <v>543681</v>
      </c>
      <c r="L318" s="42">
        <v>166473</v>
      </c>
      <c r="M318" s="42">
        <v>1780557</v>
      </c>
      <c r="N318" s="42">
        <v>1572130</v>
      </c>
      <c r="O318" s="42">
        <v>33280</v>
      </c>
      <c r="P318" s="42">
        <v>83377</v>
      </c>
      <c r="Q318" s="42">
        <v>260957</v>
      </c>
      <c r="R318" s="42">
        <v>2055373</v>
      </c>
      <c r="S318" s="43">
        <v>66911</v>
      </c>
      <c r="T318" s="42">
        <v>425985</v>
      </c>
      <c r="U318" s="4"/>
    </row>
    <row r="319" spans="1:21" x14ac:dyDescent="0.3">
      <c r="A319" s="49">
        <v>45688</v>
      </c>
      <c r="B319" s="42">
        <v>39935</v>
      </c>
      <c r="C319" s="42">
        <v>197125</v>
      </c>
      <c r="D319" s="42">
        <v>201368</v>
      </c>
      <c r="E319" s="42">
        <v>352088</v>
      </c>
      <c r="F319" s="42">
        <v>613117</v>
      </c>
      <c r="G319" s="42">
        <v>222949</v>
      </c>
      <c r="H319" s="42">
        <v>84091</v>
      </c>
      <c r="I319" s="42">
        <v>97002</v>
      </c>
      <c r="J319" s="42">
        <v>235644</v>
      </c>
      <c r="K319" s="42">
        <v>548642</v>
      </c>
      <c r="L319" s="42">
        <v>167551</v>
      </c>
      <c r="M319" s="42">
        <v>1814653</v>
      </c>
      <c r="N319" s="42">
        <v>1559871</v>
      </c>
      <c r="O319" s="42">
        <v>34708</v>
      </c>
      <c r="P319" s="42">
        <v>85116</v>
      </c>
      <c r="Q319" s="42">
        <v>257322</v>
      </c>
      <c r="R319" s="42">
        <v>2041713</v>
      </c>
      <c r="S319" s="43">
        <v>60715</v>
      </c>
      <c r="T319" s="42">
        <v>422131</v>
      </c>
      <c r="U319" s="4"/>
    </row>
    <row r="320" spans="1:21" x14ac:dyDescent="0.3">
      <c r="A320" s="49">
        <v>45687</v>
      </c>
      <c r="B320" s="42">
        <v>40576</v>
      </c>
      <c r="C320" s="42">
        <v>195124</v>
      </c>
      <c r="D320" s="42">
        <v>202354</v>
      </c>
      <c r="E320" s="42">
        <v>344249</v>
      </c>
      <c r="F320" s="42">
        <v>618696</v>
      </c>
      <c r="G320" s="42">
        <v>225674</v>
      </c>
      <c r="H320" s="42">
        <v>85045</v>
      </c>
      <c r="I320" s="42">
        <v>96803</v>
      </c>
      <c r="J320" s="42">
        <v>237841</v>
      </c>
      <c r="K320" s="42">
        <v>574707</v>
      </c>
      <c r="L320" s="42">
        <v>170503</v>
      </c>
      <c r="M320" s="42">
        <v>1806645</v>
      </c>
      <c r="N320" s="42">
        <v>1559385</v>
      </c>
      <c r="O320" s="42">
        <v>35250</v>
      </c>
      <c r="P320" s="42">
        <v>86465</v>
      </c>
      <c r="Q320" s="42">
        <v>259682</v>
      </c>
      <c r="R320" s="42">
        <v>2048653</v>
      </c>
      <c r="S320" s="43">
        <v>58431</v>
      </c>
      <c r="T320" s="42">
        <v>423946</v>
      </c>
      <c r="U320" s="4"/>
    </row>
    <row r="321" spans="1:21" x14ac:dyDescent="0.3">
      <c r="A321" s="49">
        <v>45686</v>
      </c>
      <c r="B321" s="42">
        <v>40731</v>
      </c>
      <c r="C321" s="42">
        <v>194746</v>
      </c>
      <c r="D321" s="42">
        <v>201946</v>
      </c>
      <c r="E321" s="42">
        <v>333144</v>
      </c>
      <c r="F321" s="42">
        <v>621658</v>
      </c>
      <c r="G321" s="42">
        <v>219456</v>
      </c>
      <c r="H321" s="42">
        <v>85663</v>
      </c>
      <c r="I321" s="42">
        <v>96258</v>
      </c>
      <c r="J321" s="42">
        <v>234544</v>
      </c>
      <c r="K321" s="42">
        <v>566459</v>
      </c>
      <c r="L321" s="42">
        <v>166059</v>
      </c>
      <c r="M321" s="42">
        <v>1791119</v>
      </c>
      <c r="N321" s="42">
        <v>1547418</v>
      </c>
      <c r="O321" s="42">
        <v>34012</v>
      </c>
      <c r="P321" s="42">
        <v>84531</v>
      </c>
      <c r="Q321" s="42">
        <v>259523</v>
      </c>
      <c r="R321" s="42">
        <v>2024538</v>
      </c>
      <c r="S321" s="43">
        <v>58156</v>
      </c>
      <c r="T321" s="42">
        <v>428730</v>
      </c>
      <c r="U321" s="4"/>
    </row>
    <row r="322" spans="1:21" x14ac:dyDescent="0.3">
      <c r="A322" s="49">
        <v>45685</v>
      </c>
      <c r="B322" s="42">
        <v>40991</v>
      </c>
      <c r="C322" s="42">
        <v>192011</v>
      </c>
      <c r="D322" s="42">
        <v>206821</v>
      </c>
      <c r="E322" s="42">
        <v>331109</v>
      </c>
      <c r="F322" s="42">
        <v>618908</v>
      </c>
      <c r="G322" s="42">
        <v>216788</v>
      </c>
      <c r="H322" s="42">
        <v>83969</v>
      </c>
      <c r="I322" s="42">
        <v>97264</v>
      </c>
      <c r="J322" s="42">
        <v>234867</v>
      </c>
      <c r="K322" s="42">
        <v>577505</v>
      </c>
      <c r="L322" s="42">
        <v>165135</v>
      </c>
      <c r="M322" s="42">
        <v>1782462</v>
      </c>
      <c r="N322" s="42">
        <v>1568450</v>
      </c>
      <c r="O322" s="42">
        <v>34317</v>
      </c>
      <c r="P322" s="42">
        <v>84167</v>
      </c>
      <c r="Q322" s="42">
        <v>267882</v>
      </c>
      <c r="R322" s="42">
        <v>2033094</v>
      </c>
      <c r="S322" s="43">
        <v>58780</v>
      </c>
      <c r="T322" s="42">
        <v>425708</v>
      </c>
      <c r="U322" s="4"/>
    </row>
    <row r="323" spans="1:21" x14ac:dyDescent="0.3">
      <c r="A323" s="49">
        <v>45684</v>
      </c>
      <c r="B323" s="42">
        <v>41635</v>
      </c>
      <c r="C323" s="42">
        <v>193308</v>
      </c>
      <c r="D323" s="42">
        <v>211464</v>
      </c>
      <c r="E323" s="42">
        <v>328055</v>
      </c>
      <c r="F323" s="42">
        <v>620430</v>
      </c>
      <c r="G323" s="42">
        <v>221795</v>
      </c>
      <c r="H323" s="42">
        <v>84886</v>
      </c>
      <c r="I323" s="42">
        <v>98800</v>
      </c>
      <c r="J323" s="42">
        <v>232940</v>
      </c>
      <c r="K323" s="42">
        <v>582778</v>
      </c>
      <c r="L323" s="42">
        <v>164806</v>
      </c>
      <c r="M323" s="42">
        <v>1798745</v>
      </c>
      <c r="N323" s="42">
        <v>1575889</v>
      </c>
      <c r="O323" s="42">
        <v>34054</v>
      </c>
      <c r="P323" s="42">
        <v>83756</v>
      </c>
      <c r="Q323" s="42">
        <v>269586</v>
      </c>
      <c r="R323" s="42">
        <v>2040442</v>
      </c>
      <c r="S323" s="43">
        <v>61017</v>
      </c>
      <c r="T323" s="42">
        <v>430509</v>
      </c>
      <c r="U323" s="4"/>
    </row>
    <row r="324" spans="1:21" x14ac:dyDescent="0.3">
      <c r="A324" s="49">
        <v>45681</v>
      </c>
      <c r="B324" s="42">
        <v>42995</v>
      </c>
      <c r="C324" s="42">
        <v>193425</v>
      </c>
      <c r="D324" s="42">
        <v>211888</v>
      </c>
      <c r="E324" s="42">
        <v>327528</v>
      </c>
      <c r="F324" s="42">
        <v>620711</v>
      </c>
      <c r="G324" s="42">
        <v>210371</v>
      </c>
      <c r="H324" s="42">
        <v>86702</v>
      </c>
      <c r="I324" s="42">
        <v>95565</v>
      </c>
      <c r="J324" s="42">
        <v>233521</v>
      </c>
      <c r="K324" s="42">
        <v>597295</v>
      </c>
      <c r="L324" s="42">
        <v>164119</v>
      </c>
      <c r="M324" s="42">
        <v>1815164</v>
      </c>
      <c r="N324" s="42">
        <v>1583349</v>
      </c>
      <c r="O324" s="42">
        <v>37493</v>
      </c>
      <c r="P324" s="42">
        <v>83169</v>
      </c>
      <c r="Q324" s="42">
        <v>255402</v>
      </c>
      <c r="R324" s="42">
        <v>2061929</v>
      </c>
      <c r="S324" s="43">
        <v>58057</v>
      </c>
      <c r="T324" s="42">
        <v>429914</v>
      </c>
      <c r="U324" s="4"/>
    </row>
    <row r="325" spans="1:21" x14ac:dyDescent="0.3">
      <c r="A325" s="49">
        <v>45680</v>
      </c>
      <c r="B325" s="42">
        <v>44991</v>
      </c>
      <c r="C325" s="42">
        <v>191368</v>
      </c>
      <c r="D325" s="42">
        <v>207359</v>
      </c>
      <c r="E325" s="42">
        <v>326696</v>
      </c>
      <c r="F325" s="42">
        <v>614455</v>
      </c>
      <c r="G325" s="42">
        <v>212396</v>
      </c>
      <c r="H325" s="42">
        <v>90079</v>
      </c>
      <c r="I325" s="42">
        <v>95383</v>
      </c>
      <c r="J325" s="42">
        <v>233067</v>
      </c>
      <c r="K325" s="42">
        <v>586555</v>
      </c>
      <c r="L325" s="42">
        <v>162374</v>
      </c>
      <c r="M325" s="42">
        <v>1812772</v>
      </c>
      <c r="N325" s="42">
        <v>1578735</v>
      </c>
      <c r="O325" s="42">
        <v>38327</v>
      </c>
      <c r="P325" s="42">
        <v>85104</v>
      </c>
      <c r="Q325" s="42">
        <v>254113</v>
      </c>
      <c r="R325" s="42">
        <v>2075861</v>
      </c>
      <c r="S325" s="43">
        <v>58026</v>
      </c>
      <c r="T325" s="42">
        <v>432061</v>
      </c>
      <c r="U325" s="4"/>
    </row>
    <row r="326" spans="1:21" x14ac:dyDescent="0.3">
      <c r="A326" s="49">
        <v>45679</v>
      </c>
      <c r="B326" s="42">
        <v>44839</v>
      </c>
      <c r="C326" s="42">
        <v>189151</v>
      </c>
      <c r="D326" s="42">
        <v>211391</v>
      </c>
      <c r="E326" s="42">
        <v>327568</v>
      </c>
      <c r="F326" s="42">
        <v>608371</v>
      </c>
      <c r="G326" s="42">
        <v>215052</v>
      </c>
      <c r="H326" s="42">
        <v>90041</v>
      </c>
      <c r="I326" s="42">
        <v>96132</v>
      </c>
      <c r="J326" s="42">
        <v>230231</v>
      </c>
      <c r="K326" s="42">
        <v>581989</v>
      </c>
      <c r="L326" s="42">
        <v>160809</v>
      </c>
      <c r="M326" s="42">
        <v>1861896</v>
      </c>
      <c r="N326" s="42">
        <v>1585773</v>
      </c>
      <c r="O326" s="42">
        <v>38387</v>
      </c>
      <c r="P326" s="42">
        <v>83153</v>
      </c>
      <c r="Q326" s="42">
        <v>253370</v>
      </c>
      <c r="R326" s="42">
        <v>2068580</v>
      </c>
      <c r="S326" s="43">
        <v>58726</v>
      </c>
      <c r="T326" s="42">
        <v>432836</v>
      </c>
      <c r="U326" s="4"/>
    </row>
    <row r="327" spans="1:21" x14ac:dyDescent="0.3">
      <c r="A327" s="49">
        <v>45678</v>
      </c>
      <c r="B327" s="42">
        <v>45714</v>
      </c>
      <c r="C327" s="42">
        <v>190211</v>
      </c>
      <c r="D327" s="42">
        <v>212688</v>
      </c>
      <c r="E327" s="42">
        <v>331635</v>
      </c>
      <c r="F327" s="42">
        <v>609492</v>
      </c>
      <c r="G327" s="42">
        <v>211620</v>
      </c>
      <c r="H327" s="42">
        <v>90600</v>
      </c>
      <c r="I327" s="42">
        <v>96356</v>
      </c>
      <c r="J327" s="42">
        <v>217298</v>
      </c>
      <c r="K327" s="42">
        <v>571387</v>
      </c>
      <c r="L327" s="42">
        <v>159899</v>
      </c>
      <c r="M327" s="42">
        <v>1867000</v>
      </c>
      <c r="N327" s="42">
        <v>1601438</v>
      </c>
      <c r="O327" s="42">
        <v>38556</v>
      </c>
      <c r="P327" s="42">
        <v>81691</v>
      </c>
      <c r="Q327" s="42">
        <v>254361</v>
      </c>
      <c r="R327" s="42">
        <v>2036469</v>
      </c>
      <c r="S327" s="43">
        <v>55257</v>
      </c>
      <c r="T327" s="42">
        <v>436046</v>
      </c>
      <c r="U327" s="4"/>
    </row>
    <row r="328" spans="1:21" x14ac:dyDescent="0.3">
      <c r="A328" s="49">
        <v>45674</v>
      </c>
      <c r="B328" s="42">
        <v>45276</v>
      </c>
      <c r="C328" s="42">
        <v>187180</v>
      </c>
      <c r="D328" s="42">
        <v>210228</v>
      </c>
      <c r="E328" s="42">
        <v>341600</v>
      </c>
      <c r="F328" s="42">
        <v>602431</v>
      </c>
      <c r="G328" s="42">
        <v>214855</v>
      </c>
      <c r="H328" s="42">
        <v>91531</v>
      </c>
      <c r="I328" s="42">
        <v>96613</v>
      </c>
      <c r="J328" s="42">
        <v>217333</v>
      </c>
      <c r="K328" s="42">
        <v>556644</v>
      </c>
      <c r="L328" s="42">
        <v>155676</v>
      </c>
      <c r="M328" s="42">
        <v>1857505</v>
      </c>
      <c r="N328" s="42">
        <v>1618099</v>
      </c>
      <c r="O328" s="42">
        <v>37763</v>
      </c>
      <c r="P328" s="42">
        <v>81328</v>
      </c>
      <c r="Q328" s="42">
        <v>258411</v>
      </c>
      <c r="R328" s="42">
        <v>2026947</v>
      </c>
      <c r="S328" s="43">
        <v>55190</v>
      </c>
      <c r="T328" s="42">
        <v>442916</v>
      </c>
      <c r="U328" s="4"/>
    </row>
    <row r="329" spans="1:21" x14ac:dyDescent="0.3">
      <c r="A329" s="49">
        <v>45673</v>
      </c>
      <c r="B329" s="42">
        <v>46169</v>
      </c>
      <c r="C329" s="42">
        <v>187007</v>
      </c>
      <c r="D329" s="42">
        <v>205585</v>
      </c>
      <c r="E329" s="42">
        <v>339067</v>
      </c>
      <c r="F329" s="42">
        <v>604099</v>
      </c>
      <c r="G329" s="42">
        <v>217066</v>
      </c>
      <c r="H329" s="42">
        <v>91407</v>
      </c>
      <c r="I329" s="42">
        <v>95340</v>
      </c>
      <c r="J329" s="42">
        <v>214048</v>
      </c>
      <c r="K329" s="42">
        <v>552464</v>
      </c>
      <c r="L329" s="42">
        <v>154314</v>
      </c>
      <c r="M329" s="42">
        <v>1867670</v>
      </c>
      <c r="N329" s="42">
        <v>1610152</v>
      </c>
      <c r="O329" s="42">
        <v>35751</v>
      </c>
      <c r="P329" s="42">
        <v>81276</v>
      </c>
      <c r="Q329" s="42">
        <v>253918</v>
      </c>
      <c r="R329" s="42">
        <v>2047984</v>
      </c>
      <c r="S329" s="43">
        <v>57910</v>
      </c>
      <c r="T329" s="42">
        <v>448165</v>
      </c>
      <c r="U329" s="4"/>
    </row>
    <row r="330" spans="1:21" x14ac:dyDescent="0.3">
      <c r="A330" s="49">
        <v>45672</v>
      </c>
      <c r="B330" s="42">
        <v>45614</v>
      </c>
      <c r="C330" s="42">
        <v>190513</v>
      </c>
      <c r="D330" s="42">
        <v>203519</v>
      </c>
      <c r="E330" s="42">
        <v>345336</v>
      </c>
      <c r="F330" s="42">
        <v>604437</v>
      </c>
      <c r="G330" s="42">
        <v>216149</v>
      </c>
      <c r="H330" s="42">
        <v>91124</v>
      </c>
      <c r="I330" s="42">
        <v>94168</v>
      </c>
      <c r="J330" s="42">
        <v>209648</v>
      </c>
      <c r="K330" s="42">
        <v>536035</v>
      </c>
      <c r="L330" s="42">
        <v>153216</v>
      </c>
      <c r="M330" s="42">
        <v>1911918</v>
      </c>
      <c r="N330" s="42">
        <v>1587097</v>
      </c>
      <c r="O330" s="42">
        <v>35762</v>
      </c>
      <c r="P330" s="42">
        <v>81673</v>
      </c>
      <c r="Q330" s="42">
        <v>254737</v>
      </c>
      <c r="R330" s="42">
        <v>2054378</v>
      </c>
      <c r="S330" s="43">
        <v>58433</v>
      </c>
      <c r="T330" s="42">
        <v>452536</v>
      </c>
      <c r="U330" s="4"/>
    </row>
    <row r="331" spans="1:21" x14ac:dyDescent="0.3">
      <c r="A331" s="49">
        <v>45671</v>
      </c>
      <c r="B331" s="42">
        <v>45325</v>
      </c>
      <c r="C331" s="42">
        <v>192343</v>
      </c>
      <c r="D331" s="42">
        <v>201270</v>
      </c>
      <c r="E331" s="42">
        <v>350363</v>
      </c>
      <c r="F331" s="42">
        <v>604627</v>
      </c>
      <c r="G331" s="42">
        <v>224262</v>
      </c>
      <c r="H331" s="42">
        <v>92053</v>
      </c>
      <c r="I331" s="42">
        <v>94045</v>
      </c>
      <c r="J331" s="42">
        <v>209052</v>
      </c>
      <c r="K331" s="42">
        <v>526467</v>
      </c>
      <c r="L331" s="42">
        <v>150364</v>
      </c>
      <c r="M331" s="42">
        <v>1896350</v>
      </c>
      <c r="N331" s="42">
        <v>1573055</v>
      </c>
      <c r="O331" s="42">
        <v>35471</v>
      </c>
      <c r="P331" s="42">
        <v>81768</v>
      </c>
      <c r="Q331" s="42">
        <v>253879</v>
      </c>
      <c r="R331" s="42">
        <v>2044090</v>
      </c>
      <c r="S331" s="43">
        <v>60953</v>
      </c>
      <c r="T331" s="42">
        <v>453908</v>
      </c>
      <c r="U331" s="4"/>
    </row>
    <row r="332" spans="1:21" x14ac:dyDescent="0.3">
      <c r="A332" s="49">
        <v>45670</v>
      </c>
      <c r="B332" s="42">
        <v>45758</v>
      </c>
      <c r="C332" s="42">
        <v>194494</v>
      </c>
      <c r="D332" s="42">
        <v>199756</v>
      </c>
      <c r="E332" s="42">
        <v>352640</v>
      </c>
      <c r="F332" s="42">
        <v>604089</v>
      </c>
      <c r="G332" s="42">
        <v>218630</v>
      </c>
      <c r="H332" s="42">
        <v>94774</v>
      </c>
      <c r="I332" s="42">
        <v>92749</v>
      </c>
      <c r="J332" s="42">
        <v>207226</v>
      </c>
      <c r="K332" s="42">
        <v>504889</v>
      </c>
      <c r="L332" s="42">
        <v>150040</v>
      </c>
      <c r="M332" s="42">
        <v>1909675</v>
      </c>
      <c r="N332" s="42">
        <v>1563747</v>
      </c>
      <c r="O332" s="42">
        <v>34821</v>
      </c>
      <c r="P332" s="42">
        <v>83867</v>
      </c>
      <c r="Q332" s="42">
        <v>252868</v>
      </c>
      <c r="R332" s="42">
        <v>2052766</v>
      </c>
      <c r="S332" s="43">
        <v>57981</v>
      </c>
      <c r="T332" s="42">
        <v>459114</v>
      </c>
      <c r="U332" s="4"/>
    </row>
    <row r="333" spans="1:21" x14ac:dyDescent="0.3">
      <c r="A333" s="49">
        <v>45667</v>
      </c>
      <c r="B333" s="42">
        <v>46140</v>
      </c>
      <c r="C333" s="42">
        <v>192620</v>
      </c>
      <c r="D333" s="42">
        <v>198598</v>
      </c>
      <c r="E333" s="42">
        <v>353333</v>
      </c>
      <c r="F333" s="42">
        <v>602509</v>
      </c>
      <c r="G333" s="42">
        <v>218345</v>
      </c>
      <c r="H333" s="42">
        <v>95319</v>
      </c>
      <c r="I333" s="42">
        <v>92388</v>
      </c>
      <c r="J333" s="42">
        <v>206936</v>
      </c>
      <c r="K333" s="42">
        <v>499105</v>
      </c>
      <c r="L333" s="42">
        <v>152041</v>
      </c>
      <c r="M333" s="42">
        <v>2005880</v>
      </c>
      <c r="N333" s="42">
        <v>1553642</v>
      </c>
      <c r="O333" s="42">
        <v>35076</v>
      </c>
      <c r="P333" s="42">
        <v>85703</v>
      </c>
      <c r="Q333" s="42">
        <v>243223</v>
      </c>
      <c r="R333" s="42">
        <v>2060827</v>
      </c>
      <c r="S333" s="43">
        <v>58207</v>
      </c>
      <c r="T333" s="42">
        <v>457742</v>
      </c>
      <c r="U333" s="4"/>
    </row>
    <row r="334" spans="1:21" x14ac:dyDescent="0.3">
      <c r="A334" s="49">
        <v>45666</v>
      </c>
      <c r="B334" s="42">
        <v>44266</v>
      </c>
      <c r="C334" s="42">
        <v>195788</v>
      </c>
      <c r="D334" s="42">
        <v>192572</v>
      </c>
      <c r="E334" s="42">
        <v>353358</v>
      </c>
      <c r="F334" s="42">
        <v>603034</v>
      </c>
      <c r="G334" s="42">
        <v>213394</v>
      </c>
      <c r="H334" s="42">
        <v>95649</v>
      </c>
      <c r="I334" s="42">
        <v>92387</v>
      </c>
      <c r="J334" s="42">
        <v>210209</v>
      </c>
      <c r="K334" s="42">
        <v>489745</v>
      </c>
      <c r="L334" s="42">
        <v>150926</v>
      </c>
      <c r="M334" s="42">
        <v>1980419</v>
      </c>
      <c r="N334" s="42">
        <v>1548058</v>
      </c>
      <c r="O334" s="42">
        <v>35662</v>
      </c>
      <c r="P334" s="42">
        <v>84800</v>
      </c>
      <c r="Q334" s="42">
        <v>241275</v>
      </c>
      <c r="R334" s="42">
        <v>2057926</v>
      </c>
      <c r="S334" s="43">
        <v>58585</v>
      </c>
      <c r="T334" s="42">
        <v>459161</v>
      </c>
      <c r="U334" s="4"/>
    </row>
    <row r="335" spans="1:21" x14ac:dyDescent="0.3">
      <c r="A335" s="49">
        <v>45665</v>
      </c>
      <c r="B335" s="42">
        <v>45092</v>
      </c>
      <c r="C335" s="42">
        <v>196573</v>
      </c>
      <c r="D335" s="42">
        <v>194233</v>
      </c>
      <c r="E335" s="42">
        <v>354081</v>
      </c>
      <c r="F335" s="42">
        <v>604996</v>
      </c>
      <c r="G335" s="42">
        <v>216180</v>
      </c>
      <c r="H335" s="42">
        <v>93523</v>
      </c>
      <c r="I335" s="42">
        <v>90836</v>
      </c>
      <c r="J335" s="42">
        <v>214640</v>
      </c>
      <c r="K335" s="42">
        <v>481858</v>
      </c>
      <c r="L335" s="42">
        <v>151843</v>
      </c>
      <c r="M335" s="42">
        <v>1981063</v>
      </c>
      <c r="N335" s="42">
        <v>1545355</v>
      </c>
      <c r="O335" s="42">
        <v>35243</v>
      </c>
      <c r="P335" s="42">
        <v>84695</v>
      </c>
      <c r="Q335" s="42">
        <v>240951</v>
      </c>
      <c r="R335" s="42">
        <v>2058613</v>
      </c>
      <c r="S335" s="43">
        <v>54335</v>
      </c>
      <c r="T335" s="42">
        <v>459318</v>
      </c>
      <c r="U335" s="4"/>
    </row>
    <row r="336" spans="1:21" x14ac:dyDescent="0.3">
      <c r="A336" s="49">
        <v>45664</v>
      </c>
      <c r="B336" s="42">
        <v>44649</v>
      </c>
      <c r="C336" s="42">
        <v>197764</v>
      </c>
      <c r="D336" s="42">
        <v>188770</v>
      </c>
      <c r="E336" s="42">
        <v>357210</v>
      </c>
      <c r="F336" s="42">
        <v>603187</v>
      </c>
      <c r="G336" s="42">
        <v>212456</v>
      </c>
      <c r="H336" s="42">
        <v>92127</v>
      </c>
      <c r="I336" s="42">
        <v>91244</v>
      </c>
      <c r="J336" s="42">
        <v>218477</v>
      </c>
      <c r="K336" s="42">
        <v>477043</v>
      </c>
      <c r="L336" s="42">
        <v>151590</v>
      </c>
      <c r="M336" s="42">
        <v>1958411</v>
      </c>
      <c r="N336" s="42">
        <v>1549749</v>
      </c>
      <c r="O336" s="42">
        <v>35079</v>
      </c>
      <c r="P336" s="42">
        <v>85367</v>
      </c>
      <c r="Q336" s="42">
        <v>241165</v>
      </c>
      <c r="R336" s="42">
        <v>2069259</v>
      </c>
      <c r="S336" s="43">
        <v>59095</v>
      </c>
      <c r="T336" s="42">
        <v>462215</v>
      </c>
      <c r="U336" s="4"/>
    </row>
    <row r="337" spans="1:21" x14ac:dyDescent="0.3">
      <c r="A337" s="49">
        <v>45663</v>
      </c>
      <c r="B337" s="42">
        <v>44874</v>
      </c>
      <c r="C337" s="42">
        <v>188069</v>
      </c>
      <c r="D337" s="42">
        <v>188103</v>
      </c>
      <c r="E337" s="42">
        <v>356097</v>
      </c>
      <c r="F337" s="42">
        <v>603574</v>
      </c>
      <c r="G337" s="42">
        <v>208486</v>
      </c>
      <c r="H337" s="42">
        <v>92521</v>
      </c>
      <c r="I337" s="42">
        <v>91285</v>
      </c>
      <c r="J337" s="42">
        <v>219401</v>
      </c>
      <c r="K337" s="42">
        <v>464000</v>
      </c>
      <c r="L337" s="42">
        <v>151118</v>
      </c>
      <c r="M337" s="42">
        <v>1941162</v>
      </c>
      <c r="N337" s="42">
        <v>1531960</v>
      </c>
      <c r="O337" s="42">
        <v>35516</v>
      </c>
      <c r="P337" s="42">
        <v>84831</v>
      </c>
      <c r="Q337" s="42">
        <v>244604</v>
      </c>
      <c r="R337" s="42">
        <v>2057952</v>
      </c>
      <c r="S337" s="43">
        <v>58945</v>
      </c>
      <c r="T337" s="42">
        <v>463974</v>
      </c>
      <c r="U337" s="4"/>
    </row>
    <row r="338" spans="1:21" x14ac:dyDescent="0.3">
      <c r="A338" s="49">
        <v>45660</v>
      </c>
      <c r="B338" s="42">
        <v>44795</v>
      </c>
      <c r="C338" s="42">
        <v>182579</v>
      </c>
      <c r="D338" s="42">
        <v>190092</v>
      </c>
      <c r="E338" s="42">
        <v>359208</v>
      </c>
      <c r="F338" s="42">
        <v>612770</v>
      </c>
      <c r="G338" s="42">
        <v>203837</v>
      </c>
      <c r="H338" s="42">
        <v>92311</v>
      </c>
      <c r="I338" s="42">
        <v>91492</v>
      </c>
      <c r="J338" s="42">
        <v>217968</v>
      </c>
      <c r="K338" s="42">
        <v>467129</v>
      </c>
      <c r="L338" s="42">
        <v>150746</v>
      </c>
      <c r="M338" s="42">
        <v>1932705</v>
      </c>
      <c r="N338" s="42">
        <v>1521100</v>
      </c>
      <c r="O338" s="42">
        <v>34069</v>
      </c>
      <c r="P338" s="42">
        <v>84550</v>
      </c>
      <c r="Q338" s="42">
        <v>251859</v>
      </c>
      <c r="R338" s="42">
        <v>2070859</v>
      </c>
      <c r="S338" s="43">
        <v>60521</v>
      </c>
      <c r="T338" s="42">
        <v>465485</v>
      </c>
      <c r="U338" s="4"/>
    </row>
    <row r="339" spans="1:21" x14ac:dyDescent="0.3">
      <c r="A339" s="49">
        <v>45659</v>
      </c>
      <c r="B339" s="42">
        <v>45771</v>
      </c>
      <c r="C339" s="42">
        <v>182810</v>
      </c>
      <c r="D339" s="42">
        <v>192954</v>
      </c>
      <c r="E339" s="42">
        <v>355258</v>
      </c>
      <c r="F339" s="42">
        <v>612968</v>
      </c>
      <c r="G339" s="42">
        <v>206790</v>
      </c>
      <c r="H339" s="42">
        <v>90485</v>
      </c>
      <c r="I339" s="42">
        <v>90727</v>
      </c>
      <c r="J339" s="42">
        <v>220374</v>
      </c>
      <c r="K339" s="42">
        <v>467335</v>
      </c>
      <c r="L339" s="42">
        <v>150988</v>
      </c>
      <c r="M339" s="42">
        <v>1903694</v>
      </c>
      <c r="N339" s="42">
        <v>1511978</v>
      </c>
      <c r="O339" s="42">
        <v>34096</v>
      </c>
      <c r="P339" s="42">
        <v>85074</v>
      </c>
      <c r="Q339" s="42">
        <v>254592</v>
      </c>
      <c r="R339" s="42">
        <v>2077695</v>
      </c>
      <c r="S339" s="43">
        <v>56255</v>
      </c>
      <c r="T339" s="42">
        <v>471304</v>
      </c>
      <c r="U339" s="4"/>
    </row>
    <row r="340" spans="1:21" x14ac:dyDescent="0.3">
      <c r="A340" s="49">
        <v>45657</v>
      </c>
      <c r="B340" s="42">
        <v>44391</v>
      </c>
      <c r="C340" s="42">
        <v>182872</v>
      </c>
      <c r="D340" s="42">
        <v>188879</v>
      </c>
      <c r="E340" s="42">
        <v>353686</v>
      </c>
      <c r="F340" s="42">
        <v>609159</v>
      </c>
      <c r="G340" s="42">
        <v>206971</v>
      </c>
      <c r="H340" s="42">
        <v>88125</v>
      </c>
      <c r="I340" s="42">
        <v>89129</v>
      </c>
      <c r="J340" s="42">
        <v>219739</v>
      </c>
      <c r="K340" s="42">
        <v>458584</v>
      </c>
      <c r="L340" s="42">
        <v>151013</v>
      </c>
      <c r="M340" s="42">
        <v>1872970</v>
      </c>
      <c r="N340" s="42">
        <v>1500276</v>
      </c>
      <c r="O340" s="42">
        <v>33893</v>
      </c>
      <c r="P340" s="42">
        <v>83957</v>
      </c>
      <c r="Q340" s="42">
        <v>252471</v>
      </c>
      <c r="R340" s="42">
        <v>2058648</v>
      </c>
      <c r="S340" s="43">
        <v>60555</v>
      </c>
      <c r="T340" s="42">
        <v>470377</v>
      </c>
      <c r="U340" s="4"/>
    </row>
    <row r="341" spans="1:21" x14ac:dyDescent="0.3">
      <c r="A341" s="49">
        <v>45656</v>
      </c>
      <c r="B341" s="42">
        <v>42976</v>
      </c>
      <c r="C341" s="42">
        <v>179695</v>
      </c>
      <c r="D341" s="42">
        <v>190056</v>
      </c>
      <c r="E341" s="42">
        <v>351010</v>
      </c>
      <c r="F341" s="42">
        <v>610318</v>
      </c>
      <c r="G341" s="42">
        <v>205352</v>
      </c>
      <c r="H341" s="42">
        <v>85864</v>
      </c>
      <c r="I341" s="42">
        <v>88371</v>
      </c>
      <c r="J341" s="42">
        <v>218087</v>
      </c>
      <c r="K341" s="42">
        <v>450970</v>
      </c>
      <c r="L341" s="42">
        <v>148513</v>
      </c>
      <c r="M341" s="42">
        <v>1857445</v>
      </c>
      <c r="N341" s="42">
        <v>1509915</v>
      </c>
      <c r="O341" s="42">
        <v>33916</v>
      </c>
      <c r="P341" s="42">
        <v>85538</v>
      </c>
      <c r="Q341" s="42">
        <v>250183</v>
      </c>
      <c r="R341" s="42">
        <v>2064727</v>
      </c>
      <c r="S341" s="43">
        <v>50042</v>
      </c>
      <c r="T341" s="42">
        <v>464756</v>
      </c>
      <c r="U341" s="4"/>
    </row>
    <row r="342" spans="1:21" x14ac:dyDescent="0.3">
      <c r="A342" s="49">
        <v>45653</v>
      </c>
      <c r="B342" s="42">
        <v>44681</v>
      </c>
      <c r="C342" s="42">
        <v>180670</v>
      </c>
      <c r="D342" s="42">
        <v>191817</v>
      </c>
      <c r="E342" s="42">
        <v>349203</v>
      </c>
      <c r="F342" s="42">
        <v>604536</v>
      </c>
      <c r="G342" s="42">
        <v>208638</v>
      </c>
      <c r="H342" s="42">
        <v>85023</v>
      </c>
      <c r="I342" s="42">
        <v>86511</v>
      </c>
      <c r="J342" s="42">
        <v>215566</v>
      </c>
      <c r="K342" s="42">
        <v>448554</v>
      </c>
      <c r="L342" s="42">
        <v>146117</v>
      </c>
      <c r="M342" s="42">
        <v>1848861</v>
      </c>
      <c r="N342" s="42">
        <v>1503691</v>
      </c>
      <c r="O342" s="42">
        <v>36283</v>
      </c>
      <c r="P342" s="42">
        <v>82568</v>
      </c>
      <c r="Q342" s="42">
        <v>243781</v>
      </c>
      <c r="R342" s="42">
        <v>2065605</v>
      </c>
      <c r="S342" s="6">
        <v>58720</v>
      </c>
      <c r="T342" s="42">
        <v>465758</v>
      </c>
      <c r="U342" s="42"/>
    </row>
    <row r="343" spans="1:21" x14ac:dyDescent="0.3">
      <c r="A343" s="49">
        <v>45652</v>
      </c>
      <c r="B343" s="42">
        <v>44444</v>
      </c>
      <c r="C343" s="42">
        <v>177273</v>
      </c>
      <c r="D343" s="42">
        <v>190401</v>
      </c>
      <c r="E343" s="42">
        <v>347051</v>
      </c>
      <c r="F343" s="42">
        <v>599146</v>
      </c>
      <c r="G343" s="42">
        <v>204752</v>
      </c>
      <c r="H343" s="42">
        <v>84982</v>
      </c>
      <c r="I343" s="42">
        <v>86478</v>
      </c>
      <c r="J343" s="42">
        <v>213023</v>
      </c>
      <c r="K343" s="42">
        <v>450587</v>
      </c>
      <c r="L343" s="42">
        <v>145126</v>
      </c>
      <c r="M343" s="42">
        <v>1840804</v>
      </c>
      <c r="N343" s="42">
        <v>1497484</v>
      </c>
      <c r="O343" s="42">
        <v>36139</v>
      </c>
      <c r="P343" s="42">
        <v>82446</v>
      </c>
      <c r="Q343" s="42">
        <v>245457</v>
      </c>
      <c r="R343" s="42">
        <v>2085534</v>
      </c>
      <c r="S343" s="6">
        <v>50585</v>
      </c>
      <c r="T343" s="42">
        <v>464867</v>
      </c>
      <c r="U343" s="42"/>
    </row>
    <row r="344" spans="1:21" x14ac:dyDescent="0.3">
      <c r="A344" s="49">
        <v>45650</v>
      </c>
      <c r="B344" s="42">
        <v>44472</v>
      </c>
      <c r="C344" s="42">
        <v>177789</v>
      </c>
      <c r="D344" s="42">
        <v>188844</v>
      </c>
      <c r="E344" s="42">
        <v>345942</v>
      </c>
      <c r="F344" s="42">
        <v>597583</v>
      </c>
      <c r="G344" s="42">
        <v>200720</v>
      </c>
      <c r="H344" s="42">
        <v>84775</v>
      </c>
      <c r="I344" s="42">
        <v>85954</v>
      </c>
      <c r="J344" s="42">
        <v>213742</v>
      </c>
      <c r="K344" s="42">
        <v>454646</v>
      </c>
      <c r="L344" s="42">
        <v>145618</v>
      </c>
      <c r="M344" s="42">
        <v>1829252</v>
      </c>
      <c r="N344" s="42">
        <v>1517647</v>
      </c>
      <c r="O344" s="42">
        <v>37125</v>
      </c>
      <c r="P344" s="42">
        <v>82150</v>
      </c>
      <c r="Q344" s="42">
        <v>246014</v>
      </c>
      <c r="R344" s="42">
        <v>2083237</v>
      </c>
      <c r="S344" s="6">
        <v>50585</v>
      </c>
      <c r="T344" s="42">
        <v>462103</v>
      </c>
      <c r="U344" s="42"/>
    </row>
    <row r="345" spans="1:21" x14ac:dyDescent="0.3">
      <c r="A345" s="49">
        <v>45649</v>
      </c>
      <c r="B345" s="42">
        <v>44556</v>
      </c>
      <c r="C345" s="42">
        <v>176787</v>
      </c>
      <c r="D345" s="42">
        <v>187498</v>
      </c>
      <c r="E345" s="42">
        <v>344611</v>
      </c>
      <c r="F345" s="42">
        <v>595959</v>
      </c>
      <c r="G345" s="42">
        <v>200960</v>
      </c>
      <c r="H345" s="42">
        <v>83990</v>
      </c>
      <c r="I345" s="42">
        <v>86051</v>
      </c>
      <c r="J345" s="42">
        <v>212336</v>
      </c>
      <c r="K345" s="42">
        <v>455558</v>
      </c>
      <c r="L345" s="42">
        <v>145628</v>
      </c>
      <c r="M345" s="42">
        <v>1818075</v>
      </c>
      <c r="N345" s="42">
        <v>1513942</v>
      </c>
      <c r="O345" s="42">
        <v>37170</v>
      </c>
      <c r="P345" s="42">
        <v>82510</v>
      </c>
      <c r="Q345" s="42">
        <v>239292</v>
      </c>
      <c r="R345" s="42">
        <v>2081923</v>
      </c>
      <c r="S345" s="6">
        <v>60230</v>
      </c>
      <c r="T345" s="42">
        <v>460153</v>
      </c>
      <c r="U345" s="42"/>
    </row>
    <row r="346" spans="1:21" x14ac:dyDescent="0.3">
      <c r="A346" s="49">
        <v>45646</v>
      </c>
      <c r="B346" s="42">
        <v>42304</v>
      </c>
      <c r="C346" s="42">
        <v>175774</v>
      </c>
      <c r="D346" s="42">
        <v>185350</v>
      </c>
      <c r="E346" s="42">
        <v>344373</v>
      </c>
      <c r="F346" s="42">
        <v>600388</v>
      </c>
      <c r="G346" s="42">
        <v>196705</v>
      </c>
      <c r="H346" s="42">
        <v>83794</v>
      </c>
      <c r="I346" s="42">
        <v>84693</v>
      </c>
      <c r="J346" s="42">
        <v>209905</v>
      </c>
      <c r="K346" s="42">
        <v>458644</v>
      </c>
      <c r="L346" s="42">
        <v>145514</v>
      </c>
      <c r="M346" s="42">
        <v>1833509</v>
      </c>
      <c r="N346" s="42">
        <v>1519343</v>
      </c>
      <c r="O346" s="42">
        <v>39120</v>
      </c>
      <c r="P346" s="42">
        <v>104927</v>
      </c>
      <c r="Q346" s="42">
        <v>337135</v>
      </c>
      <c r="R346" s="42">
        <v>2639661</v>
      </c>
      <c r="S346" s="43">
        <v>65148</v>
      </c>
      <c r="T346" s="42">
        <v>551645</v>
      </c>
      <c r="U346" s="42"/>
    </row>
    <row r="347" spans="1:21" x14ac:dyDescent="0.3">
      <c r="A347" s="49">
        <v>45645</v>
      </c>
      <c r="B347" s="42">
        <v>44280</v>
      </c>
      <c r="C347" s="42">
        <v>177475</v>
      </c>
      <c r="D347" s="42">
        <v>186541</v>
      </c>
      <c r="E347" s="42">
        <v>349060</v>
      </c>
      <c r="F347" s="42">
        <v>603138</v>
      </c>
      <c r="G347" s="42">
        <v>205017</v>
      </c>
      <c r="H347" s="42">
        <v>83453</v>
      </c>
      <c r="I347" s="42">
        <v>86693</v>
      </c>
      <c r="J347" s="42">
        <v>210792</v>
      </c>
      <c r="K347" s="42">
        <v>457814</v>
      </c>
      <c r="L347" s="42">
        <v>147377</v>
      </c>
      <c r="M347" s="42">
        <v>1827007</v>
      </c>
      <c r="N347" s="42">
        <v>1535743</v>
      </c>
      <c r="O347" s="42">
        <v>40503</v>
      </c>
      <c r="P347" s="42">
        <v>106269</v>
      </c>
      <c r="Q347" s="42">
        <v>336564</v>
      </c>
      <c r="R347" s="42">
        <v>2616650</v>
      </c>
      <c r="S347" s="43">
        <v>89902</v>
      </c>
      <c r="T347" s="42">
        <v>552439</v>
      </c>
      <c r="U347" s="4"/>
    </row>
    <row r="348" spans="1:21" x14ac:dyDescent="0.3">
      <c r="A348" s="49">
        <v>45644</v>
      </c>
      <c r="B348" s="42">
        <v>43401</v>
      </c>
      <c r="C348" s="42">
        <v>178723</v>
      </c>
      <c r="D348" s="42">
        <v>192153</v>
      </c>
      <c r="E348" s="42">
        <v>349849</v>
      </c>
      <c r="F348" s="42">
        <v>594820</v>
      </c>
      <c r="G348" s="42">
        <v>188048</v>
      </c>
      <c r="H348" s="42">
        <v>84153</v>
      </c>
      <c r="I348" s="42">
        <v>87000</v>
      </c>
      <c r="J348" s="42">
        <v>208827</v>
      </c>
      <c r="K348" s="42">
        <v>461876</v>
      </c>
      <c r="L348" s="42">
        <v>147339</v>
      </c>
      <c r="M348" s="42">
        <v>1823282</v>
      </c>
      <c r="N348" s="42">
        <v>1547815</v>
      </c>
      <c r="O348" s="42">
        <v>42377</v>
      </c>
      <c r="P348" s="42">
        <v>107970</v>
      </c>
      <c r="Q348" s="42">
        <v>331323</v>
      </c>
      <c r="R348" s="42">
        <v>2627082</v>
      </c>
      <c r="S348" s="43">
        <v>95218</v>
      </c>
      <c r="T348" s="42">
        <v>561168</v>
      </c>
      <c r="U348" s="4"/>
    </row>
    <row r="349" spans="1:21" x14ac:dyDescent="0.3">
      <c r="A349" s="49">
        <v>45643</v>
      </c>
      <c r="B349" s="42">
        <v>41281</v>
      </c>
      <c r="C349" s="42">
        <v>246648</v>
      </c>
      <c r="D349" s="42">
        <v>277421</v>
      </c>
      <c r="E349" s="42">
        <v>485592</v>
      </c>
      <c r="F349" s="42">
        <v>720559</v>
      </c>
      <c r="G349" s="42">
        <v>245836</v>
      </c>
      <c r="H349" s="42">
        <v>115627</v>
      </c>
      <c r="I349" s="42">
        <v>130111</v>
      </c>
      <c r="J349" s="42">
        <v>207513</v>
      </c>
      <c r="K349" s="42">
        <v>466571</v>
      </c>
      <c r="L349" s="42">
        <v>146938</v>
      </c>
      <c r="M349" s="42">
        <v>1827905</v>
      </c>
      <c r="N349" s="42">
        <v>1559585</v>
      </c>
      <c r="O349" s="42">
        <v>42524</v>
      </c>
      <c r="P349" s="42">
        <v>105423</v>
      </c>
      <c r="Q349" s="42">
        <v>324728</v>
      </c>
      <c r="R349" s="42">
        <v>2596020</v>
      </c>
      <c r="S349" s="43">
        <v>98337</v>
      </c>
      <c r="T349" s="42">
        <v>569474</v>
      </c>
      <c r="U349" s="4"/>
    </row>
    <row r="350" spans="1:21" x14ac:dyDescent="0.3">
      <c r="A350" s="49">
        <v>45642</v>
      </c>
      <c r="B350" s="42">
        <v>40757</v>
      </c>
      <c r="C350" s="42">
        <v>240109</v>
      </c>
      <c r="D350" s="42">
        <v>276119</v>
      </c>
      <c r="E350" s="42">
        <v>485226</v>
      </c>
      <c r="F350" s="42">
        <v>728877</v>
      </c>
      <c r="G350" s="42">
        <v>245986</v>
      </c>
      <c r="H350" s="42">
        <v>114026</v>
      </c>
      <c r="I350" s="42">
        <v>127939</v>
      </c>
      <c r="J350" s="42">
        <v>205808</v>
      </c>
      <c r="K350" s="42">
        <v>471098</v>
      </c>
      <c r="L350" s="42">
        <v>147750</v>
      </c>
      <c r="M350" s="42">
        <v>1820854</v>
      </c>
      <c r="N350" s="42">
        <v>1569886</v>
      </c>
      <c r="O350" s="42">
        <v>41592</v>
      </c>
      <c r="P350" s="42">
        <v>101335</v>
      </c>
      <c r="Q350" s="42">
        <v>316422</v>
      </c>
      <c r="R350" s="42">
        <v>2456678</v>
      </c>
      <c r="S350" s="43">
        <v>89027</v>
      </c>
      <c r="T350" s="42">
        <v>548500</v>
      </c>
      <c r="U350" s="4"/>
    </row>
    <row r="351" spans="1:21" x14ac:dyDescent="0.3">
      <c r="A351" s="49">
        <v>45639</v>
      </c>
      <c r="B351" s="42">
        <v>54640</v>
      </c>
      <c r="C351" s="42">
        <v>239235</v>
      </c>
      <c r="D351" s="42">
        <v>278457</v>
      </c>
      <c r="E351" s="42">
        <v>488185</v>
      </c>
      <c r="F351" s="42">
        <v>723504</v>
      </c>
      <c r="G351" s="42">
        <v>248393</v>
      </c>
      <c r="H351" s="42">
        <v>113942</v>
      </c>
      <c r="I351" s="42">
        <v>126212</v>
      </c>
      <c r="J351" s="42">
        <v>207228</v>
      </c>
      <c r="K351" s="42">
        <v>478067</v>
      </c>
      <c r="L351" s="42">
        <v>149668</v>
      </c>
      <c r="M351" s="42">
        <v>1826384</v>
      </c>
      <c r="N351" s="42">
        <v>1554121</v>
      </c>
      <c r="O351" s="42">
        <v>40166</v>
      </c>
      <c r="P351" s="42">
        <v>92285</v>
      </c>
      <c r="Q351" s="42">
        <v>293101</v>
      </c>
      <c r="R351" s="42">
        <v>2355172</v>
      </c>
      <c r="S351" s="43">
        <v>79377</v>
      </c>
      <c r="T351" s="42">
        <v>531500</v>
      </c>
      <c r="U351" s="4"/>
    </row>
    <row r="352" spans="1:21" x14ac:dyDescent="0.3">
      <c r="A352" s="49">
        <v>45638</v>
      </c>
      <c r="B352" s="42">
        <v>52324</v>
      </c>
      <c r="C352" s="42">
        <v>242165</v>
      </c>
      <c r="D352" s="42">
        <v>281966</v>
      </c>
      <c r="E352" s="42">
        <v>465298</v>
      </c>
      <c r="F352" s="42">
        <v>750380</v>
      </c>
      <c r="G352" s="42">
        <v>253814</v>
      </c>
      <c r="H352" s="42">
        <v>117248</v>
      </c>
      <c r="I352" s="42">
        <v>124908</v>
      </c>
      <c r="J352" s="42">
        <v>207336</v>
      </c>
      <c r="K352" s="42">
        <v>490589</v>
      </c>
      <c r="L352" s="42">
        <v>151713</v>
      </c>
      <c r="M352" s="42">
        <v>1811211</v>
      </c>
      <c r="N352" s="42">
        <v>1555930</v>
      </c>
      <c r="O352" s="42">
        <v>39265</v>
      </c>
      <c r="P352" s="42">
        <v>91216</v>
      </c>
      <c r="Q352" s="42">
        <v>287594</v>
      </c>
      <c r="R352" s="42">
        <v>2360141</v>
      </c>
      <c r="S352" s="43">
        <v>68854</v>
      </c>
      <c r="T352" s="42">
        <v>518231</v>
      </c>
      <c r="U352" s="4"/>
    </row>
    <row r="353" spans="1:21" x14ac:dyDescent="0.3">
      <c r="A353" s="49">
        <v>45637</v>
      </c>
      <c r="B353" s="42">
        <v>47246</v>
      </c>
      <c r="C353" s="42">
        <v>232384</v>
      </c>
      <c r="D353" s="42">
        <v>308047</v>
      </c>
      <c r="E353" s="42">
        <v>418841</v>
      </c>
      <c r="F353" s="42">
        <v>762781</v>
      </c>
      <c r="G353" s="42">
        <v>256864</v>
      </c>
      <c r="H353" s="42">
        <v>107960</v>
      </c>
      <c r="I353" s="42">
        <v>112441</v>
      </c>
      <c r="J353" s="42">
        <v>209215</v>
      </c>
      <c r="K353" s="42">
        <v>495497</v>
      </c>
      <c r="L353" s="42">
        <v>151633</v>
      </c>
      <c r="M353" s="42">
        <v>1805959</v>
      </c>
      <c r="N353" s="42">
        <v>1559302</v>
      </c>
      <c r="O353" s="42">
        <v>38957</v>
      </c>
      <c r="P353" s="42">
        <v>90184</v>
      </c>
      <c r="Q353" s="42">
        <v>300216</v>
      </c>
      <c r="R353" s="42">
        <v>2345137</v>
      </c>
      <c r="S353" s="43">
        <v>69819</v>
      </c>
      <c r="T353" s="42">
        <v>522361</v>
      </c>
      <c r="U353" s="4"/>
    </row>
    <row r="354" spans="1:21" x14ac:dyDescent="0.3">
      <c r="A354" s="49">
        <v>45636</v>
      </c>
      <c r="B354" s="42">
        <v>40825</v>
      </c>
      <c r="C354" s="42">
        <v>239026</v>
      </c>
      <c r="D354" s="42">
        <v>311725</v>
      </c>
      <c r="E354" s="42">
        <v>408181</v>
      </c>
      <c r="F354" s="42">
        <v>727276</v>
      </c>
      <c r="G354" s="42">
        <v>274834</v>
      </c>
      <c r="H354" s="42">
        <v>98096</v>
      </c>
      <c r="I354" s="42">
        <v>109379</v>
      </c>
      <c r="J354" s="42">
        <v>208126</v>
      </c>
      <c r="K354" s="42">
        <v>483346</v>
      </c>
      <c r="L354" s="42">
        <v>151096</v>
      </c>
      <c r="M354" s="42">
        <v>1808227</v>
      </c>
      <c r="N354" s="42">
        <v>1575117</v>
      </c>
      <c r="O354" s="42">
        <v>37588</v>
      </c>
      <c r="P354" s="42">
        <v>89712</v>
      </c>
      <c r="Q354" s="42">
        <v>291787</v>
      </c>
      <c r="R354" s="42">
        <v>2324611</v>
      </c>
      <c r="S354" s="43">
        <v>66640</v>
      </c>
      <c r="T354" s="42">
        <v>520767</v>
      </c>
      <c r="U354" s="4"/>
    </row>
    <row r="355" spans="1:21" x14ac:dyDescent="0.3">
      <c r="A355" s="49">
        <v>45635</v>
      </c>
      <c r="B355" s="42">
        <v>39645</v>
      </c>
      <c r="C355" s="42">
        <v>214419</v>
      </c>
      <c r="D355" s="42">
        <v>298324</v>
      </c>
      <c r="E355" s="42">
        <v>377535</v>
      </c>
      <c r="F355" s="42">
        <v>712736</v>
      </c>
      <c r="G355" s="42">
        <v>288625</v>
      </c>
      <c r="H355" s="42">
        <v>94857</v>
      </c>
      <c r="I355" s="42">
        <v>103744</v>
      </c>
      <c r="J355" s="42">
        <v>209684</v>
      </c>
      <c r="K355" s="42">
        <v>476119</v>
      </c>
      <c r="L355" s="42">
        <v>147285</v>
      </c>
      <c r="M355" s="42">
        <v>1821113</v>
      </c>
      <c r="N355" s="42">
        <v>1599745</v>
      </c>
      <c r="O355" s="42">
        <v>37953</v>
      </c>
      <c r="P355" s="42">
        <v>89979</v>
      </c>
      <c r="Q355" s="42">
        <v>294176</v>
      </c>
      <c r="R355" s="42">
        <v>2315741</v>
      </c>
      <c r="S355" s="43">
        <v>67763</v>
      </c>
      <c r="T355" s="42">
        <v>513818</v>
      </c>
      <c r="U355" s="4"/>
    </row>
    <row r="356" spans="1:21" x14ac:dyDescent="0.3">
      <c r="A356" s="49">
        <v>45632</v>
      </c>
      <c r="B356" s="42">
        <v>38289</v>
      </c>
      <c r="C356" s="42">
        <v>210626</v>
      </c>
      <c r="D356" s="42">
        <v>258665</v>
      </c>
      <c r="E356" s="42">
        <v>359555</v>
      </c>
      <c r="F356" s="42">
        <v>689529</v>
      </c>
      <c r="G356" s="42">
        <v>262081</v>
      </c>
      <c r="H356" s="42">
        <v>86992</v>
      </c>
      <c r="I356" s="42">
        <v>84813</v>
      </c>
      <c r="J356" s="42">
        <v>210023</v>
      </c>
      <c r="K356" s="42">
        <v>467975</v>
      </c>
      <c r="L356" s="42">
        <v>140520</v>
      </c>
      <c r="M356" s="42">
        <v>1830097</v>
      </c>
      <c r="N356" s="42">
        <v>1620779</v>
      </c>
      <c r="O356" s="42">
        <v>38082</v>
      </c>
      <c r="P356" s="42">
        <v>90442</v>
      </c>
      <c r="Q356" s="42">
        <v>302458</v>
      </c>
      <c r="R356" s="42">
        <v>2285224</v>
      </c>
      <c r="S356" s="43">
        <v>65744</v>
      </c>
      <c r="T356" s="42">
        <v>504898</v>
      </c>
      <c r="U356" s="4"/>
    </row>
    <row r="357" spans="1:21" x14ac:dyDescent="0.3">
      <c r="A357" s="49">
        <v>45631</v>
      </c>
      <c r="B357" s="42">
        <v>38975</v>
      </c>
      <c r="C357" s="42">
        <v>198185</v>
      </c>
      <c r="D357" s="42">
        <v>241455</v>
      </c>
      <c r="E357" s="42">
        <v>338356</v>
      </c>
      <c r="F357" s="42">
        <v>679195</v>
      </c>
      <c r="G357" s="42">
        <v>250923</v>
      </c>
      <c r="H357" s="42">
        <v>83042</v>
      </c>
      <c r="I357" s="42">
        <v>85550</v>
      </c>
      <c r="J357" s="42">
        <v>211345</v>
      </c>
      <c r="K357" s="42">
        <v>469491</v>
      </c>
      <c r="L357" s="42">
        <v>139356</v>
      </c>
      <c r="M357" s="42">
        <v>1821462</v>
      </c>
      <c r="N357" s="42">
        <v>1644208</v>
      </c>
      <c r="O357" s="42">
        <v>37986</v>
      </c>
      <c r="P357" s="42">
        <v>91060</v>
      </c>
      <c r="Q357" s="42">
        <v>301224</v>
      </c>
      <c r="R357" s="42">
        <v>2282589</v>
      </c>
      <c r="S357" s="43">
        <v>66763</v>
      </c>
      <c r="T357" s="42">
        <v>502815</v>
      </c>
      <c r="U357" s="4"/>
    </row>
    <row r="358" spans="1:21" x14ac:dyDescent="0.3">
      <c r="A358" s="49">
        <v>45630</v>
      </c>
      <c r="B358" s="42">
        <v>38543</v>
      </c>
      <c r="C358" s="42">
        <v>196598</v>
      </c>
      <c r="D358" s="42">
        <v>243239</v>
      </c>
      <c r="E358" s="42">
        <v>337767</v>
      </c>
      <c r="F358" s="42">
        <v>674336</v>
      </c>
      <c r="G358" s="42">
        <v>252088</v>
      </c>
      <c r="H358" s="42">
        <v>81917</v>
      </c>
      <c r="I358" s="42">
        <v>84543</v>
      </c>
      <c r="J358" s="42">
        <v>211525</v>
      </c>
      <c r="K358" s="42">
        <v>468864</v>
      </c>
      <c r="L358" s="42">
        <v>136849</v>
      </c>
      <c r="M358" s="42">
        <v>1796156</v>
      </c>
      <c r="N358" s="42">
        <v>1644521</v>
      </c>
      <c r="O358" s="42">
        <v>37625</v>
      </c>
      <c r="P358" s="42">
        <v>92070</v>
      </c>
      <c r="Q358" s="42">
        <v>305732</v>
      </c>
      <c r="R358" s="42">
        <v>2299786</v>
      </c>
      <c r="S358" s="43">
        <v>66502</v>
      </c>
      <c r="T358" s="42">
        <v>502634</v>
      </c>
      <c r="U358" s="4"/>
    </row>
    <row r="359" spans="1:21" x14ac:dyDescent="0.3">
      <c r="A359" s="49">
        <v>45629</v>
      </c>
      <c r="B359" s="42">
        <v>37510</v>
      </c>
      <c r="C359" s="42">
        <v>190247</v>
      </c>
      <c r="D359" s="42">
        <v>243504</v>
      </c>
      <c r="E359" s="42">
        <v>324325</v>
      </c>
      <c r="F359" s="42">
        <v>675059</v>
      </c>
      <c r="G359" s="42">
        <v>256849</v>
      </c>
      <c r="H359" s="42">
        <v>80220</v>
      </c>
      <c r="I359" s="42">
        <v>85247</v>
      </c>
      <c r="J359" s="42">
        <v>213182</v>
      </c>
      <c r="K359" s="42">
        <v>462040</v>
      </c>
      <c r="L359" s="42">
        <v>134074</v>
      </c>
      <c r="M359" s="42">
        <v>1780843</v>
      </c>
      <c r="N359" s="42">
        <v>1638982</v>
      </c>
      <c r="O359" s="42">
        <v>37021</v>
      </c>
      <c r="P359" s="42">
        <v>92337</v>
      </c>
      <c r="Q359" s="42">
        <v>293572</v>
      </c>
      <c r="R359" s="42">
        <v>2279466</v>
      </c>
      <c r="S359" s="43">
        <v>64529</v>
      </c>
      <c r="T359" s="42">
        <v>503146</v>
      </c>
      <c r="U359" s="4"/>
    </row>
    <row r="360" spans="1:21" x14ac:dyDescent="0.3">
      <c r="A360" s="49">
        <v>45628</v>
      </c>
      <c r="B360" s="42">
        <v>37447</v>
      </c>
      <c r="C360" s="42">
        <v>192135</v>
      </c>
      <c r="D360" s="42">
        <v>243605</v>
      </c>
      <c r="E360" s="42">
        <v>322601</v>
      </c>
      <c r="F360" s="42">
        <v>682757</v>
      </c>
      <c r="G360" s="42">
        <v>256603</v>
      </c>
      <c r="H360" s="42">
        <v>78027</v>
      </c>
      <c r="I360" s="42">
        <v>85718</v>
      </c>
      <c r="J360" s="42">
        <v>215057</v>
      </c>
      <c r="K360" s="42">
        <v>459383</v>
      </c>
      <c r="L360" s="42">
        <v>132565</v>
      </c>
      <c r="M360" s="42">
        <v>1777078</v>
      </c>
      <c r="N360" s="42">
        <v>1628658</v>
      </c>
      <c r="O360" s="42">
        <v>36838</v>
      </c>
      <c r="P360" s="42">
        <v>92537</v>
      </c>
      <c r="Q360" s="42">
        <v>291591</v>
      </c>
      <c r="R360" s="42">
        <v>2273156</v>
      </c>
      <c r="S360" s="43">
        <v>65884</v>
      </c>
      <c r="T360" s="42">
        <v>500475</v>
      </c>
      <c r="U360" s="4"/>
    </row>
    <row r="361" spans="1:21" x14ac:dyDescent="0.3">
      <c r="A361" s="49">
        <v>45625</v>
      </c>
      <c r="B361" s="42">
        <v>38403</v>
      </c>
      <c r="C361" s="42">
        <v>190041</v>
      </c>
      <c r="D361" s="42">
        <v>241342</v>
      </c>
      <c r="E361" s="42">
        <v>322732</v>
      </c>
      <c r="F361" s="42">
        <v>671885</v>
      </c>
      <c r="G361" s="42">
        <v>249342</v>
      </c>
      <c r="H361" s="42">
        <v>77665</v>
      </c>
      <c r="I361" s="42">
        <v>84931</v>
      </c>
      <c r="J361" s="42">
        <v>210192</v>
      </c>
      <c r="K361" s="42">
        <v>457765</v>
      </c>
      <c r="L361" s="42">
        <v>132898</v>
      </c>
      <c r="M361" s="42">
        <v>1760130</v>
      </c>
      <c r="N361" s="42">
        <v>1628097</v>
      </c>
      <c r="O361" s="42">
        <v>39767</v>
      </c>
      <c r="P361" s="42">
        <v>92561</v>
      </c>
      <c r="Q361" s="42">
        <v>279262</v>
      </c>
      <c r="R361" s="42">
        <v>2255953</v>
      </c>
      <c r="S361" s="43">
        <v>59863</v>
      </c>
      <c r="T361" s="42">
        <v>499451</v>
      </c>
      <c r="U361" s="4"/>
    </row>
    <row r="362" spans="1:21" x14ac:dyDescent="0.3">
      <c r="A362" s="49">
        <v>45624</v>
      </c>
      <c r="B362" s="42">
        <v>37788</v>
      </c>
      <c r="C362" s="42">
        <v>187046</v>
      </c>
      <c r="D362" s="42">
        <v>240739</v>
      </c>
      <c r="E362" s="42">
        <v>323282</v>
      </c>
      <c r="F362" s="42">
        <v>666342</v>
      </c>
      <c r="G362" s="42">
        <v>250589</v>
      </c>
      <c r="H362" s="42">
        <v>78959</v>
      </c>
      <c r="I362" s="42">
        <v>85888</v>
      </c>
      <c r="J362" s="42">
        <v>209259</v>
      </c>
      <c r="K362" s="42">
        <v>468283</v>
      </c>
      <c r="L362" s="42">
        <v>137648</v>
      </c>
      <c r="M362" s="42">
        <v>1738993</v>
      </c>
      <c r="N362" s="42">
        <v>1641805</v>
      </c>
      <c r="O362" s="42">
        <v>41128</v>
      </c>
      <c r="P362" s="42">
        <v>89078</v>
      </c>
      <c r="Q362" s="42">
        <v>275645</v>
      </c>
      <c r="R362" s="42">
        <v>2260939</v>
      </c>
      <c r="S362" s="43">
        <v>56702</v>
      </c>
      <c r="T362" s="42">
        <v>495150</v>
      </c>
      <c r="U362" s="4"/>
    </row>
    <row r="363" spans="1:21" x14ac:dyDescent="0.3">
      <c r="A363" s="49">
        <v>45623</v>
      </c>
      <c r="B363" s="42">
        <v>37584</v>
      </c>
      <c r="C363" s="42">
        <v>187046</v>
      </c>
      <c r="D363" s="42">
        <v>240739</v>
      </c>
      <c r="E363" s="42">
        <v>323282</v>
      </c>
      <c r="F363" s="42">
        <v>666342</v>
      </c>
      <c r="G363" s="42">
        <v>250589</v>
      </c>
      <c r="H363" s="42">
        <v>78959</v>
      </c>
      <c r="I363" s="42">
        <v>85888</v>
      </c>
      <c r="J363" s="42">
        <v>209259</v>
      </c>
      <c r="K363" s="42">
        <v>468283</v>
      </c>
      <c r="L363" s="42">
        <v>137648</v>
      </c>
      <c r="M363" s="42">
        <v>1738993</v>
      </c>
      <c r="N363" s="42">
        <v>1641805</v>
      </c>
      <c r="O363" s="42">
        <v>41128</v>
      </c>
      <c r="P363" s="42">
        <v>89078</v>
      </c>
      <c r="Q363" s="42">
        <v>275645</v>
      </c>
      <c r="R363" s="42">
        <v>2260939</v>
      </c>
      <c r="S363" s="43">
        <v>58502</v>
      </c>
      <c r="T363" s="42">
        <v>495150</v>
      </c>
      <c r="U363" s="4"/>
    </row>
    <row r="364" spans="1:21" x14ac:dyDescent="0.3">
      <c r="A364" s="49">
        <v>45622</v>
      </c>
      <c r="B364" s="42">
        <v>37797</v>
      </c>
      <c r="C364" s="42">
        <v>185533</v>
      </c>
      <c r="D364" s="42">
        <v>239062</v>
      </c>
      <c r="E364" s="42">
        <v>322420</v>
      </c>
      <c r="F364" s="42">
        <v>665553</v>
      </c>
      <c r="G364" s="42">
        <v>253566</v>
      </c>
      <c r="H364" s="42">
        <v>79001</v>
      </c>
      <c r="I364" s="42">
        <v>86500</v>
      </c>
      <c r="J364" s="42">
        <v>203954</v>
      </c>
      <c r="K364" s="42">
        <v>472660</v>
      </c>
      <c r="L364" s="42">
        <v>134590</v>
      </c>
      <c r="M364" s="42">
        <v>1740661</v>
      </c>
      <c r="N364" s="42">
        <v>1640388</v>
      </c>
      <c r="O364" s="42">
        <v>40510</v>
      </c>
      <c r="P364" s="42">
        <v>86688</v>
      </c>
      <c r="Q364" s="42">
        <v>275658</v>
      </c>
      <c r="R364" s="42">
        <v>2272398</v>
      </c>
      <c r="S364" s="43">
        <v>57057</v>
      </c>
      <c r="T364" s="42">
        <v>495231</v>
      </c>
      <c r="U364" s="4"/>
    </row>
    <row r="365" spans="1:21" x14ac:dyDescent="0.3">
      <c r="A365" s="49">
        <v>45621</v>
      </c>
      <c r="B365" s="42">
        <v>37468</v>
      </c>
      <c r="C365" s="42">
        <v>182558</v>
      </c>
      <c r="D365" s="42">
        <v>231777</v>
      </c>
      <c r="E365" s="42">
        <v>328857</v>
      </c>
      <c r="F365" s="42">
        <v>664113</v>
      </c>
      <c r="G365" s="42">
        <v>253797</v>
      </c>
      <c r="H365" s="42">
        <v>77546</v>
      </c>
      <c r="I365" s="42">
        <v>86611</v>
      </c>
      <c r="J365" s="42">
        <v>203990</v>
      </c>
      <c r="K365" s="42">
        <v>481161</v>
      </c>
      <c r="L365" s="42">
        <v>139295</v>
      </c>
      <c r="M365" s="42">
        <v>1746120</v>
      </c>
      <c r="N365" s="42">
        <v>1625403</v>
      </c>
      <c r="O365" s="42">
        <v>40554</v>
      </c>
      <c r="P365" s="42">
        <v>86741</v>
      </c>
      <c r="Q365" s="42">
        <v>274283</v>
      </c>
      <c r="R365" s="42">
        <v>2242584</v>
      </c>
      <c r="S365" s="43">
        <v>56856</v>
      </c>
      <c r="T365" s="42">
        <v>498752</v>
      </c>
      <c r="U365" s="4"/>
    </row>
    <row r="366" spans="1:21" x14ac:dyDescent="0.3">
      <c r="A366" s="49">
        <v>45618</v>
      </c>
      <c r="B366" s="42">
        <v>37765</v>
      </c>
      <c r="C366" s="42">
        <v>180502</v>
      </c>
      <c r="D366" s="42">
        <v>228086</v>
      </c>
      <c r="E366" s="42">
        <v>341595</v>
      </c>
      <c r="F366" s="42">
        <v>664444</v>
      </c>
      <c r="G366" s="42">
        <v>252859</v>
      </c>
      <c r="H366" s="42">
        <v>75461</v>
      </c>
      <c r="I366" s="42">
        <v>87515</v>
      </c>
      <c r="J366" s="42">
        <v>216704</v>
      </c>
      <c r="K366" s="42">
        <v>503904</v>
      </c>
      <c r="L366" s="42">
        <v>139104</v>
      </c>
      <c r="M366" s="42">
        <v>1737939</v>
      </c>
      <c r="N366" s="42">
        <v>1649694</v>
      </c>
      <c r="O366" s="42">
        <v>42162</v>
      </c>
      <c r="P366" s="42">
        <v>84843</v>
      </c>
      <c r="Q366" s="42">
        <v>277851</v>
      </c>
      <c r="R366" s="42">
        <v>2266609</v>
      </c>
      <c r="S366" s="43">
        <v>60288</v>
      </c>
      <c r="T366" s="42">
        <v>501590</v>
      </c>
      <c r="U366" s="4"/>
    </row>
    <row r="367" spans="1:21" x14ac:dyDescent="0.3">
      <c r="A367" s="49">
        <v>45617</v>
      </c>
      <c r="B367" s="42">
        <v>38502</v>
      </c>
      <c r="C367" s="42">
        <v>182781</v>
      </c>
      <c r="D367" s="42">
        <v>220791</v>
      </c>
      <c r="E367" s="42">
        <v>344941</v>
      </c>
      <c r="F367" s="42">
        <v>663298</v>
      </c>
      <c r="G367" s="42">
        <v>253454</v>
      </c>
      <c r="H367" s="42">
        <v>71033</v>
      </c>
      <c r="I367" s="42">
        <v>85671</v>
      </c>
      <c r="J367" s="42">
        <v>220040</v>
      </c>
      <c r="K367" s="42">
        <v>496192</v>
      </c>
      <c r="L367" s="42">
        <v>140508</v>
      </c>
      <c r="M367" s="42">
        <v>1761021</v>
      </c>
      <c r="N367" s="42">
        <v>1643514</v>
      </c>
      <c r="O367" s="42">
        <v>42388</v>
      </c>
      <c r="P367" s="42">
        <v>84026</v>
      </c>
      <c r="Q367" s="42">
        <v>276968</v>
      </c>
      <c r="R367" s="42">
        <v>2252682</v>
      </c>
      <c r="S367" s="43">
        <v>57556</v>
      </c>
      <c r="T367" s="42">
        <v>495255</v>
      </c>
      <c r="U367" s="4"/>
    </row>
    <row r="368" spans="1:21" x14ac:dyDescent="0.3">
      <c r="A368" s="49">
        <v>45616</v>
      </c>
      <c r="B368" s="42">
        <v>37312</v>
      </c>
      <c r="C368" s="42">
        <v>182042</v>
      </c>
      <c r="D368" s="42">
        <v>221723</v>
      </c>
      <c r="E368" s="42">
        <v>346226</v>
      </c>
      <c r="F368" s="42">
        <v>664014</v>
      </c>
      <c r="G368" s="42">
        <v>261645</v>
      </c>
      <c r="H368" s="42">
        <v>72740</v>
      </c>
      <c r="I368" s="42">
        <v>83896</v>
      </c>
      <c r="J368" s="42">
        <v>221153</v>
      </c>
      <c r="K368" s="42">
        <v>501315</v>
      </c>
      <c r="L368" s="42">
        <v>141112</v>
      </c>
      <c r="M368" s="42">
        <v>1765206</v>
      </c>
      <c r="N368" s="42">
        <v>1677263</v>
      </c>
      <c r="O368" s="42">
        <v>42633</v>
      </c>
      <c r="P368" s="42">
        <v>83584</v>
      </c>
      <c r="Q368" s="42">
        <v>282023</v>
      </c>
      <c r="R368" s="42">
        <v>2261849</v>
      </c>
      <c r="S368" s="43">
        <v>55699</v>
      </c>
      <c r="T368" s="42">
        <v>489650</v>
      </c>
      <c r="U368" s="4"/>
    </row>
    <row r="369" spans="1:21" x14ac:dyDescent="0.3">
      <c r="A369" s="49">
        <v>45615</v>
      </c>
      <c r="B369" s="42">
        <v>37320</v>
      </c>
      <c r="C369" s="42">
        <v>181791</v>
      </c>
      <c r="D369" s="42">
        <v>221118</v>
      </c>
      <c r="E369" s="42">
        <v>348354</v>
      </c>
      <c r="F369" s="42">
        <v>659934</v>
      </c>
      <c r="G369" s="42">
        <v>254221</v>
      </c>
      <c r="H369" s="42">
        <v>72846</v>
      </c>
      <c r="I369" s="42">
        <v>82690</v>
      </c>
      <c r="J369" s="42">
        <v>223447</v>
      </c>
      <c r="K369" s="42">
        <v>502952</v>
      </c>
      <c r="L369" s="42">
        <v>141287</v>
      </c>
      <c r="M369" s="42">
        <v>1768651</v>
      </c>
      <c r="N369" s="42">
        <v>1706065</v>
      </c>
      <c r="O369" s="42">
        <v>41203</v>
      </c>
      <c r="P369" s="42">
        <v>84631</v>
      </c>
      <c r="Q369" s="42">
        <v>275071</v>
      </c>
      <c r="R369" s="42">
        <v>2259351</v>
      </c>
      <c r="S369" s="43">
        <v>60247</v>
      </c>
      <c r="T369" s="42">
        <v>488795</v>
      </c>
      <c r="U369" s="4"/>
    </row>
    <row r="370" spans="1:21" x14ac:dyDescent="0.3">
      <c r="A370" s="49">
        <v>45614</v>
      </c>
      <c r="B370" s="42">
        <v>36662</v>
      </c>
      <c r="C370" s="42">
        <v>181346</v>
      </c>
      <c r="D370" s="42">
        <v>223274</v>
      </c>
      <c r="E370" s="42">
        <v>353700</v>
      </c>
      <c r="F370" s="42">
        <v>654427</v>
      </c>
      <c r="G370" s="42">
        <v>255313</v>
      </c>
      <c r="H370" s="42">
        <v>71817</v>
      </c>
      <c r="I370" s="42">
        <v>82398</v>
      </c>
      <c r="J370" s="42">
        <v>221893</v>
      </c>
      <c r="K370" s="42">
        <v>515181</v>
      </c>
      <c r="L370" s="42">
        <v>143693</v>
      </c>
      <c r="M370" s="42">
        <v>1790622</v>
      </c>
      <c r="N370" s="42">
        <v>1716165</v>
      </c>
      <c r="O370" s="42">
        <v>39485</v>
      </c>
      <c r="P370" s="42">
        <v>84731</v>
      </c>
      <c r="Q370" s="42">
        <v>273111</v>
      </c>
      <c r="R370" s="42">
        <v>2247728</v>
      </c>
      <c r="S370" s="43">
        <v>54131</v>
      </c>
      <c r="T370" s="42">
        <v>490299</v>
      </c>
      <c r="U370" s="4"/>
    </row>
    <row r="371" spans="1:21" x14ac:dyDescent="0.3">
      <c r="A371" s="49">
        <v>45611</v>
      </c>
      <c r="B371" s="42">
        <v>37434</v>
      </c>
      <c r="C371" s="42">
        <v>181325</v>
      </c>
      <c r="D371" s="42">
        <v>223522</v>
      </c>
      <c r="E371" s="42">
        <v>358328</v>
      </c>
      <c r="F371" s="42">
        <v>646411</v>
      </c>
      <c r="G371" s="42">
        <v>258829</v>
      </c>
      <c r="H371" s="42">
        <v>71981</v>
      </c>
      <c r="I371" s="42">
        <v>82177</v>
      </c>
      <c r="J371" s="42">
        <v>219950</v>
      </c>
      <c r="K371" s="42">
        <v>518182</v>
      </c>
      <c r="L371" s="42">
        <v>144206</v>
      </c>
      <c r="M371" s="42">
        <v>1799473</v>
      </c>
      <c r="N371" s="42">
        <v>1732426</v>
      </c>
      <c r="O371" s="42">
        <v>38470</v>
      </c>
      <c r="P371" s="42">
        <v>86878</v>
      </c>
      <c r="Q371" s="42">
        <v>281289</v>
      </c>
      <c r="R371" s="42">
        <v>2239023</v>
      </c>
      <c r="S371" s="43">
        <v>55393</v>
      </c>
      <c r="T371" s="42">
        <v>488921</v>
      </c>
      <c r="U371" s="4"/>
    </row>
    <row r="372" spans="1:21" x14ac:dyDescent="0.3">
      <c r="A372" s="49">
        <v>45610</v>
      </c>
      <c r="B372" s="42">
        <v>36265</v>
      </c>
      <c r="C372" s="42">
        <v>178226</v>
      </c>
      <c r="D372" s="42">
        <v>219264</v>
      </c>
      <c r="E372" s="42">
        <v>356556</v>
      </c>
      <c r="F372" s="42">
        <v>645588</v>
      </c>
      <c r="G372" s="42">
        <v>260814</v>
      </c>
      <c r="H372" s="42">
        <v>68529</v>
      </c>
      <c r="I372" s="42">
        <v>79672</v>
      </c>
      <c r="J372" s="42">
        <v>219154</v>
      </c>
      <c r="K372" s="42">
        <v>535891</v>
      </c>
      <c r="L372" s="42">
        <v>144947</v>
      </c>
      <c r="M372" s="42">
        <v>1806064</v>
      </c>
      <c r="N372" s="42">
        <v>1739369</v>
      </c>
      <c r="O372" s="42">
        <v>37920</v>
      </c>
      <c r="P372" s="42">
        <v>86900</v>
      </c>
      <c r="Q372" s="42">
        <v>294878</v>
      </c>
      <c r="R372" s="42">
        <v>2261016</v>
      </c>
      <c r="S372" s="43">
        <v>58116</v>
      </c>
      <c r="T372" s="42">
        <v>483673</v>
      </c>
      <c r="U372" s="4"/>
    </row>
    <row r="373" spans="1:21" x14ac:dyDescent="0.3">
      <c r="A373" s="49">
        <v>45609</v>
      </c>
      <c r="B373" s="42">
        <v>36109</v>
      </c>
      <c r="C373" s="42">
        <v>176452</v>
      </c>
      <c r="D373" s="42">
        <v>219480</v>
      </c>
      <c r="E373" s="42">
        <v>347540</v>
      </c>
      <c r="F373" s="42">
        <v>641092</v>
      </c>
      <c r="G373" s="42">
        <v>256218</v>
      </c>
      <c r="H373" s="42">
        <v>65581</v>
      </c>
      <c r="I373" s="42">
        <v>78200</v>
      </c>
      <c r="J373" s="42">
        <v>227975</v>
      </c>
      <c r="K373" s="42">
        <v>541243</v>
      </c>
      <c r="L373" s="42">
        <v>147227</v>
      </c>
      <c r="M373" s="42">
        <v>1788406</v>
      </c>
      <c r="N373" s="42">
        <v>1746504</v>
      </c>
      <c r="O373" s="42">
        <v>38497</v>
      </c>
      <c r="P373" s="42">
        <v>87812</v>
      </c>
      <c r="Q373" s="42">
        <v>284111</v>
      </c>
      <c r="R373" s="42">
        <v>2258756</v>
      </c>
      <c r="S373" s="43">
        <v>60966</v>
      </c>
      <c r="T373" s="42">
        <v>484409</v>
      </c>
      <c r="U373" s="4"/>
    </row>
    <row r="374" spans="1:21" x14ac:dyDescent="0.3">
      <c r="A374" s="49">
        <v>45608</v>
      </c>
      <c r="B374" s="42">
        <v>36875</v>
      </c>
      <c r="C374" s="42">
        <v>171880</v>
      </c>
      <c r="D374" s="42">
        <v>212345</v>
      </c>
      <c r="E374" s="42">
        <v>342557</v>
      </c>
      <c r="F374" s="42">
        <v>637105</v>
      </c>
      <c r="G374" s="42">
        <v>257688</v>
      </c>
      <c r="H374" s="42">
        <v>64216</v>
      </c>
      <c r="I374" s="42">
        <v>78380</v>
      </c>
      <c r="J374" s="42">
        <v>232280</v>
      </c>
      <c r="K374" s="42">
        <v>535981</v>
      </c>
      <c r="L374" s="42">
        <v>147526</v>
      </c>
      <c r="M374" s="42">
        <v>1792299</v>
      </c>
      <c r="N374" s="42">
        <v>1763552</v>
      </c>
      <c r="O374" s="42">
        <v>38531</v>
      </c>
      <c r="P374" s="42">
        <v>88312</v>
      </c>
      <c r="Q374" s="42">
        <v>277197</v>
      </c>
      <c r="R374" s="42">
        <v>2235256</v>
      </c>
      <c r="S374" s="43">
        <v>61110</v>
      </c>
      <c r="T374" s="42">
        <v>480846</v>
      </c>
      <c r="U374" s="4"/>
    </row>
    <row r="375" spans="1:21" x14ac:dyDescent="0.3">
      <c r="A375" s="49">
        <v>45607</v>
      </c>
      <c r="B375" s="42">
        <v>34593</v>
      </c>
      <c r="C375" s="42">
        <v>171604</v>
      </c>
      <c r="D375" s="42">
        <v>208879</v>
      </c>
      <c r="E375" s="42">
        <v>340517</v>
      </c>
      <c r="F375" s="42">
        <v>630289</v>
      </c>
      <c r="G375" s="42">
        <v>252721</v>
      </c>
      <c r="H375" s="42">
        <v>63040</v>
      </c>
      <c r="I375" s="42">
        <v>77224</v>
      </c>
      <c r="J375" s="42">
        <v>236897</v>
      </c>
      <c r="K375" s="42">
        <v>540538</v>
      </c>
      <c r="L375" s="42">
        <v>147699</v>
      </c>
      <c r="M375" s="42">
        <v>1788579</v>
      </c>
      <c r="N375" s="42">
        <v>1792596</v>
      </c>
      <c r="O375" s="42">
        <v>38048</v>
      </c>
      <c r="P375" s="42">
        <v>89344</v>
      </c>
      <c r="Q375" s="42">
        <v>271091</v>
      </c>
      <c r="R375" s="42">
        <v>2238740</v>
      </c>
      <c r="S375" s="43">
        <v>56728</v>
      </c>
      <c r="T375" s="42">
        <v>482510</v>
      </c>
      <c r="U375" s="4"/>
    </row>
    <row r="376" spans="1:21" x14ac:dyDescent="0.3">
      <c r="A376" s="49">
        <v>45604</v>
      </c>
      <c r="B376" s="42">
        <v>32436</v>
      </c>
      <c r="C376" s="42">
        <v>173619</v>
      </c>
      <c r="D376" s="42">
        <v>210706</v>
      </c>
      <c r="E376" s="42">
        <v>344453</v>
      </c>
      <c r="F376" s="42">
        <v>632284</v>
      </c>
      <c r="G376" s="42">
        <v>247396</v>
      </c>
      <c r="H376" s="42">
        <v>61776</v>
      </c>
      <c r="I376" s="42">
        <v>77533</v>
      </c>
      <c r="J376" s="42">
        <v>235843</v>
      </c>
      <c r="K376" s="42">
        <v>552706</v>
      </c>
      <c r="L376" s="42">
        <v>147277</v>
      </c>
      <c r="M376" s="42">
        <v>1789050</v>
      </c>
      <c r="N376" s="42">
        <v>1801183</v>
      </c>
      <c r="O376" s="42">
        <v>35973</v>
      </c>
      <c r="P376" s="42">
        <v>91003</v>
      </c>
      <c r="Q376" s="42">
        <v>273338</v>
      </c>
      <c r="R376" s="42">
        <v>2219113</v>
      </c>
      <c r="S376" s="43">
        <v>56766</v>
      </c>
      <c r="T376" s="42">
        <v>473068</v>
      </c>
      <c r="U376" s="4"/>
    </row>
    <row r="377" spans="1:21" x14ac:dyDescent="0.3">
      <c r="A377" s="49">
        <v>45603</v>
      </c>
      <c r="B377" s="42">
        <v>30909</v>
      </c>
      <c r="C377" s="42">
        <v>173998</v>
      </c>
      <c r="D377" s="42">
        <v>212841</v>
      </c>
      <c r="E377" s="42">
        <v>338330</v>
      </c>
      <c r="F377" s="42">
        <v>637384</v>
      </c>
      <c r="G377" s="42">
        <v>254062</v>
      </c>
      <c r="H377" s="42">
        <v>62050</v>
      </c>
      <c r="I377" s="42">
        <v>77418</v>
      </c>
      <c r="J377" s="42">
        <v>239154</v>
      </c>
      <c r="K377" s="42">
        <v>553566</v>
      </c>
      <c r="L377" s="42">
        <v>149652</v>
      </c>
      <c r="M377" s="42">
        <v>1798040</v>
      </c>
      <c r="N377" s="42">
        <v>1796735</v>
      </c>
      <c r="O377" s="42">
        <v>35520</v>
      </c>
      <c r="P377" s="42">
        <v>90771</v>
      </c>
      <c r="Q377" s="42">
        <v>271811</v>
      </c>
      <c r="R377" s="42">
        <v>2188104</v>
      </c>
      <c r="S377" s="43">
        <v>58610</v>
      </c>
      <c r="T377" s="42">
        <v>470961</v>
      </c>
      <c r="U377" s="4"/>
    </row>
    <row r="378" spans="1:21" x14ac:dyDescent="0.3">
      <c r="A378" s="49">
        <v>45602</v>
      </c>
      <c r="B378" s="42">
        <v>30855</v>
      </c>
      <c r="C378" s="42">
        <v>174428</v>
      </c>
      <c r="D378" s="42">
        <v>210006</v>
      </c>
      <c r="E378" s="42">
        <v>341660</v>
      </c>
      <c r="F378" s="42">
        <v>643383</v>
      </c>
      <c r="G378" s="42">
        <v>256797</v>
      </c>
      <c r="H378" s="42">
        <v>61583</v>
      </c>
      <c r="I378" s="42">
        <v>76554</v>
      </c>
      <c r="J378" s="42">
        <v>251201</v>
      </c>
      <c r="K378" s="42">
        <v>547625</v>
      </c>
      <c r="L378" s="42">
        <v>149205</v>
      </c>
      <c r="M378" s="42">
        <v>1775178</v>
      </c>
      <c r="N378" s="42">
        <v>1785131</v>
      </c>
      <c r="O378" s="42">
        <v>35035</v>
      </c>
      <c r="P378" s="42">
        <v>90659</v>
      </c>
      <c r="Q378" s="42">
        <v>263178</v>
      </c>
      <c r="R378" s="42">
        <v>2180620</v>
      </c>
      <c r="S378" s="43">
        <v>61286</v>
      </c>
      <c r="T378" s="42">
        <v>475377</v>
      </c>
      <c r="U378" s="4"/>
    </row>
    <row r="379" spans="1:21" x14ac:dyDescent="0.3">
      <c r="A379" s="49">
        <v>45601</v>
      </c>
      <c r="B379" s="42">
        <v>30825</v>
      </c>
      <c r="C379" s="42">
        <v>177416</v>
      </c>
      <c r="D379" s="42">
        <v>219857</v>
      </c>
      <c r="E379" s="42">
        <v>336467</v>
      </c>
      <c r="F379" s="42">
        <v>645597</v>
      </c>
      <c r="G379" s="42">
        <v>235762</v>
      </c>
      <c r="H379" s="42">
        <v>59800</v>
      </c>
      <c r="I379" s="42">
        <v>75911</v>
      </c>
      <c r="J379" s="42">
        <v>251994</v>
      </c>
      <c r="K379" s="42">
        <v>558034</v>
      </c>
      <c r="L379" s="42">
        <v>151126</v>
      </c>
      <c r="M379" s="42">
        <v>1746717</v>
      </c>
      <c r="N379" s="42">
        <v>1781294</v>
      </c>
      <c r="O379" s="42">
        <v>32011</v>
      </c>
      <c r="P379" s="42">
        <v>86343</v>
      </c>
      <c r="Q379" s="42">
        <v>252753</v>
      </c>
      <c r="R379" s="42">
        <v>2140451</v>
      </c>
      <c r="S379" s="43">
        <v>53016</v>
      </c>
      <c r="T379" s="42">
        <v>448893</v>
      </c>
      <c r="U379" s="4"/>
    </row>
    <row r="380" spans="1:21" x14ac:dyDescent="0.3">
      <c r="A380" s="49">
        <v>45600</v>
      </c>
      <c r="B380" s="42">
        <v>31510</v>
      </c>
      <c r="C380" s="42">
        <v>183269</v>
      </c>
      <c r="D380" s="42">
        <v>217948</v>
      </c>
      <c r="E380" s="42">
        <v>337619</v>
      </c>
      <c r="F380" s="42">
        <v>652571</v>
      </c>
      <c r="G380" s="42">
        <v>231842</v>
      </c>
      <c r="H380" s="42">
        <v>60055</v>
      </c>
      <c r="I380" s="42">
        <v>77841</v>
      </c>
      <c r="J380" s="42">
        <v>248496</v>
      </c>
      <c r="K380" s="42">
        <v>558125</v>
      </c>
      <c r="L380" s="42">
        <v>151397</v>
      </c>
      <c r="M380" s="42">
        <v>1741275</v>
      </c>
      <c r="N380" s="42">
        <v>1777781</v>
      </c>
      <c r="O380" s="42">
        <v>32257</v>
      </c>
      <c r="P380" s="42">
        <v>88513</v>
      </c>
      <c r="Q380" s="42">
        <v>254314</v>
      </c>
      <c r="R380" s="42">
        <v>2171628</v>
      </c>
      <c r="S380" s="43">
        <v>55135</v>
      </c>
      <c r="T380" s="42">
        <v>452704</v>
      </c>
      <c r="U380" s="4"/>
    </row>
    <row r="381" spans="1:21" x14ac:dyDescent="0.3">
      <c r="A381" s="49">
        <v>45597</v>
      </c>
      <c r="B381" s="42">
        <v>32702</v>
      </c>
      <c r="C381" s="42">
        <v>183892</v>
      </c>
      <c r="D381" s="42">
        <v>214114</v>
      </c>
      <c r="E381" s="42">
        <v>344247</v>
      </c>
      <c r="F381" s="42">
        <v>656092</v>
      </c>
      <c r="G381" s="42">
        <v>239925</v>
      </c>
      <c r="H381" s="42">
        <v>61305</v>
      </c>
      <c r="I381" s="42">
        <v>80326</v>
      </c>
      <c r="J381" s="42">
        <v>246850</v>
      </c>
      <c r="K381" s="42">
        <v>562253</v>
      </c>
      <c r="L381" s="42">
        <v>152149</v>
      </c>
      <c r="M381" s="42">
        <v>1756258</v>
      </c>
      <c r="N381" s="42">
        <v>1767396</v>
      </c>
      <c r="O381" s="42">
        <v>32757</v>
      </c>
      <c r="P381" s="42">
        <v>86505</v>
      </c>
      <c r="Q381" s="42">
        <v>250834</v>
      </c>
      <c r="R381" s="42">
        <v>2139253</v>
      </c>
      <c r="S381" s="43">
        <v>57929</v>
      </c>
      <c r="T381" s="42">
        <v>442405</v>
      </c>
      <c r="U381" s="4"/>
    </row>
    <row r="382" spans="1:21" x14ac:dyDescent="0.3">
      <c r="A382" s="49">
        <v>45596</v>
      </c>
      <c r="B382" s="42">
        <v>31875</v>
      </c>
      <c r="C382" s="42">
        <v>183229</v>
      </c>
      <c r="D382" s="42">
        <v>223330</v>
      </c>
      <c r="E382" s="42">
        <v>342929</v>
      </c>
      <c r="F382" s="42">
        <v>659417</v>
      </c>
      <c r="G382" s="42">
        <v>229957</v>
      </c>
      <c r="H382" s="42">
        <v>61617</v>
      </c>
      <c r="I382" s="42">
        <v>78427</v>
      </c>
      <c r="J382" s="42">
        <v>245949</v>
      </c>
      <c r="K382" s="42">
        <v>568592</v>
      </c>
      <c r="L382" s="42">
        <v>155148</v>
      </c>
      <c r="M382" s="42">
        <v>1758538</v>
      </c>
      <c r="N382" s="42">
        <v>1753531</v>
      </c>
      <c r="O382" s="42">
        <v>32939</v>
      </c>
      <c r="P382" s="42">
        <v>85412</v>
      </c>
      <c r="Q382" s="42">
        <v>257178</v>
      </c>
      <c r="R382" s="42">
        <v>2151201</v>
      </c>
      <c r="S382" s="43">
        <v>61377</v>
      </c>
      <c r="T382" s="42">
        <v>443574</v>
      </c>
      <c r="U382" s="4"/>
    </row>
    <row r="383" spans="1:21" x14ac:dyDescent="0.3">
      <c r="A383" s="49">
        <v>45595</v>
      </c>
      <c r="B383" s="42">
        <v>32201</v>
      </c>
      <c r="C383" s="42">
        <v>181733</v>
      </c>
      <c r="D383" s="42">
        <v>223913</v>
      </c>
      <c r="E383" s="42">
        <v>340130</v>
      </c>
      <c r="F383" s="42">
        <v>658671</v>
      </c>
      <c r="G383" s="42">
        <v>226999</v>
      </c>
      <c r="H383" s="42">
        <v>57714</v>
      </c>
      <c r="I383" s="42">
        <v>77854</v>
      </c>
      <c r="J383" s="42">
        <v>248452</v>
      </c>
      <c r="K383" s="42">
        <v>584445</v>
      </c>
      <c r="L383" s="42">
        <v>155643</v>
      </c>
      <c r="M383" s="42">
        <v>1755752</v>
      </c>
      <c r="N383" s="42">
        <v>1736230</v>
      </c>
      <c r="O383" s="42">
        <v>34055</v>
      </c>
      <c r="P383" s="42">
        <v>87575</v>
      </c>
      <c r="Q383" s="42">
        <v>258509</v>
      </c>
      <c r="R383" s="42">
        <v>2170202</v>
      </c>
      <c r="S383" s="43">
        <v>60737</v>
      </c>
      <c r="T383" s="42">
        <v>443625</v>
      </c>
      <c r="U383" s="4"/>
    </row>
    <row r="384" spans="1:21" x14ac:dyDescent="0.3">
      <c r="A384" s="49">
        <v>45594</v>
      </c>
      <c r="B384" s="42">
        <v>32536</v>
      </c>
      <c r="C384" s="42">
        <v>183977</v>
      </c>
      <c r="D384" s="42">
        <v>221535</v>
      </c>
      <c r="E384" s="42">
        <v>329945</v>
      </c>
      <c r="F384" s="42">
        <v>661675</v>
      </c>
      <c r="G384" s="42">
        <v>225894</v>
      </c>
      <c r="H384" s="42">
        <v>58020</v>
      </c>
      <c r="I384" s="42">
        <v>78973</v>
      </c>
      <c r="J384" s="42">
        <v>247710</v>
      </c>
      <c r="K384" s="42">
        <v>579468</v>
      </c>
      <c r="L384" s="42">
        <v>156320</v>
      </c>
      <c r="M384" s="42">
        <v>1751736</v>
      </c>
      <c r="N384" s="42">
        <v>1670416</v>
      </c>
      <c r="O384" s="42">
        <v>33787</v>
      </c>
      <c r="P384" s="42">
        <v>89974</v>
      </c>
      <c r="Q384" s="42">
        <v>257382</v>
      </c>
      <c r="R384" s="42">
        <v>2168363</v>
      </c>
      <c r="S384" s="43">
        <v>57062</v>
      </c>
      <c r="T384" s="42">
        <v>438061</v>
      </c>
      <c r="U384" s="4"/>
    </row>
    <row r="385" spans="1:21" x14ac:dyDescent="0.3">
      <c r="A385" s="49">
        <v>45593</v>
      </c>
      <c r="B385" s="42">
        <v>32095</v>
      </c>
      <c r="C385" s="42">
        <v>182489</v>
      </c>
      <c r="D385" s="42">
        <v>222245</v>
      </c>
      <c r="E385" s="42">
        <v>320969</v>
      </c>
      <c r="F385" s="42">
        <v>660911</v>
      </c>
      <c r="G385" s="42">
        <v>217034</v>
      </c>
      <c r="H385" s="42">
        <v>59653</v>
      </c>
      <c r="I385" s="42">
        <v>77797</v>
      </c>
      <c r="J385" s="42">
        <v>244585</v>
      </c>
      <c r="K385" s="42">
        <v>561406</v>
      </c>
      <c r="L385" s="42">
        <v>155247</v>
      </c>
      <c r="M385" s="42">
        <v>1727383</v>
      </c>
      <c r="N385" s="42">
        <v>1638288</v>
      </c>
      <c r="O385" s="42">
        <v>33649</v>
      </c>
      <c r="P385" s="42">
        <v>89473</v>
      </c>
      <c r="Q385" s="42">
        <v>250628</v>
      </c>
      <c r="R385" s="42">
        <v>2184348</v>
      </c>
      <c r="S385" s="43">
        <v>58904</v>
      </c>
      <c r="T385" s="42">
        <v>439393</v>
      </c>
      <c r="U385" s="4"/>
    </row>
    <row r="386" spans="1:21" x14ac:dyDescent="0.3">
      <c r="A386" s="49">
        <v>45590</v>
      </c>
      <c r="B386" s="42">
        <v>33631</v>
      </c>
      <c r="C386" s="42">
        <v>185126</v>
      </c>
      <c r="D386" s="42">
        <v>220640</v>
      </c>
      <c r="E386" s="42">
        <v>316288</v>
      </c>
      <c r="F386" s="42">
        <v>666843</v>
      </c>
      <c r="G386" s="42">
        <v>218683</v>
      </c>
      <c r="H386" s="42">
        <v>58706</v>
      </c>
      <c r="I386" s="42">
        <v>77219</v>
      </c>
      <c r="J386" s="42">
        <v>246047</v>
      </c>
      <c r="K386" s="42">
        <v>565397</v>
      </c>
      <c r="L386" s="42">
        <v>155062</v>
      </c>
      <c r="M386" s="42">
        <v>1671185</v>
      </c>
      <c r="N386" s="42">
        <v>1629849</v>
      </c>
      <c r="O386" s="42">
        <v>32198</v>
      </c>
      <c r="P386" s="42">
        <v>88418</v>
      </c>
      <c r="Q386" s="42">
        <v>249345</v>
      </c>
      <c r="R386" s="42">
        <v>2183653</v>
      </c>
      <c r="S386" s="43">
        <v>57119</v>
      </c>
      <c r="T386" s="42">
        <v>440345</v>
      </c>
      <c r="U386" s="4"/>
    </row>
    <row r="387" spans="1:21" x14ac:dyDescent="0.3">
      <c r="A387" s="49">
        <v>45589</v>
      </c>
      <c r="B387" s="42">
        <v>33440</v>
      </c>
      <c r="C387" s="42">
        <v>185976</v>
      </c>
      <c r="D387" s="42">
        <v>224178</v>
      </c>
      <c r="E387" s="42">
        <v>314587</v>
      </c>
      <c r="F387" s="42">
        <v>669293</v>
      </c>
      <c r="G387" s="42">
        <v>216289</v>
      </c>
      <c r="H387" s="42">
        <v>57655</v>
      </c>
      <c r="I387" s="42">
        <v>75633</v>
      </c>
      <c r="J387" s="42">
        <v>244134</v>
      </c>
      <c r="K387" s="42">
        <v>565131</v>
      </c>
      <c r="L387" s="42">
        <v>155545</v>
      </c>
      <c r="M387" s="42">
        <v>1669952</v>
      </c>
      <c r="N387" s="42">
        <v>1631217</v>
      </c>
      <c r="O387" s="42">
        <v>32146</v>
      </c>
      <c r="P387" s="42">
        <v>89308</v>
      </c>
      <c r="Q387" s="42">
        <v>244489</v>
      </c>
      <c r="R387" s="42">
        <v>2194947</v>
      </c>
      <c r="S387" s="43">
        <v>57087</v>
      </c>
      <c r="T387" s="42">
        <v>438276</v>
      </c>
      <c r="U387" s="4"/>
    </row>
    <row r="388" spans="1:21" x14ac:dyDescent="0.3">
      <c r="A388" s="49">
        <v>45588</v>
      </c>
      <c r="B388" s="42">
        <v>30519</v>
      </c>
      <c r="C388" s="42">
        <v>187354</v>
      </c>
      <c r="D388" s="42">
        <v>226203</v>
      </c>
      <c r="E388" s="42">
        <v>309625</v>
      </c>
      <c r="F388" s="42">
        <v>660392</v>
      </c>
      <c r="G388" s="42">
        <v>217919</v>
      </c>
      <c r="H388" s="42">
        <v>57393</v>
      </c>
      <c r="I388" s="42">
        <v>74701</v>
      </c>
      <c r="J388" s="42">
        <v>242593</v>
      </c>
      <c r="K388" s="42">
        <v>565369</v>
      </c>
      <c r="L388" s="42">
        <v>156189</v>
      </c>
      <c r="M388" s="42">
        <v>1661686</v>
      </c>
      <c r="N388" s="42">
        <v>1644279</v>
      </c>
      <c r="O388" s="42">
        <v>32464</v>
      </c>
      <c r="P388" s="42">
        <v>89340</v>
      </c>
      <c r="Q388" s="42">
        <v>247333</v>
      </c>
      <c r="R388" s="42">
        <v>2171119</v>
      </c>
      <c r="S388" s="43">
        <v>58604</v>
      </c>
      <c r="T388" s="42">
        <v>441535</v>
      </c>
      <c r="U388" s="4"/>
    </row>
    <row r="389" spans="1:21" x14ac:dyDescent="0.3">
      <c r="A389" s="49">
        <v>45587</v>
      </c>
      <c r="B389" s="42">
        <v>29942</v>
      </c>
      <c r="C389" s="42">
        <v>186950</v>
      </c>
      <c r="D389" s="42">
        <v>230130</v>
      </c>
      <c r="E389" s="42">
        <v>308279</v>
      </c>
      <c r="F389" s="42">
        <v>650759</v>
      </c>
      <c r="G389" s="42">
        <v>207338</v>
      </c>
      <c r="H389" s="42">
        <v>55605</v>
      </c>
      <c r="I389" s="42">
        <v>72719</v>
      </c>
      <c r="J389" s="42">
        <v>242120</v>
      </c>
      <c r="K389" s="42">
        <v>573760</v>
      </c>
      <c r="L389" s="42">
        <v>157264</v>
      </c>
      <c r="M389" s="42">
        <v>1648928</v>
      </c>
      <c r="N389" s="42">
        <v>1644880</v>
      </c>
      <c r="O389" s="42">
        <v>33562</v>
      </c>
      <c r="P389" s="42">
        <v>91035</v>
      </c>
      <c r="Q389" s="42">
        <v>245897</v>
      </c>
      <c r="R389" s="42">
        <v>2186686</v>
      </c>
      <c r="S389" s="43">
        <v>59124</v>
      </c>
      <c r="T389" s="42">
        <v>442593</v>
      </c>
      <c r="U389" s="4"/>
    </row>
    <row r="390" spans="1:21" x14ac:dyDescent="0.3">
      <c r="A390" s="49">
        <v>45586</v>
      </c>
      <c r="B390" s="42">
        <v>28977</v>
      </c>
      <c r="C390" s="42">
        <v>187734</v>
      </c>
      <c r="D390" s="42">
        <v>230488</v>
      </c>
      <c r="E390" s="42">
        <v>304265</v>
      </c>
      <c r="F390" s="42">
        <v>655434</v>
      </c>
      <c r="G390" s="42">
        <v>203323</v>
      </c>
      <c r="H390" s="42">
        <v>56289</v>
      </c>
      <c r="I390" s="42">
        <v>71961</v>
      </c>
      <c r="J390" s="42">
        <v>243081</v>
      </c>
      <c r="K390" s="42">
        <v>567444</v>
      </c>
      <c r="L390" s="42">
        <v>153012</v>
      </c>
      <c r="M390" s="42">
        <v>1664989</v>
      </c>
      <c r="N390" s="42">
        <v>1648621</v>
      </c>
      <c r="O390" s="42">
        <v>34573</v>
      </c>
      <c r="P390" s="42">
        <v>92577</v>
      </c>
      <c r="Q390" s="42">
        <v>240681</v>
      </c>
      <c r="R390" s="42">
        <v>2191435</v>
      </c>
      <c r="S390" s="43">
        <v>57237</v>
      </c>
      <c r="T390" s="42">
        <v>446711</v>
      </c>
      <c r="U390" s="4"/>
    </row>
    <row r="391" spans="1:21" x14ac:dyDescent="0.3">
      <c r="A391" s="49">
        <v>45583</v>
      </c>
      <c r="B391" s="42">
        <v>26560</v>
      </c>
      <c r="C391" s="42">
        <v>186172</v>
      </c>
      <c r="D391" s="42">
        <v>232568</v>
      </c>
      <c r="E391" s="42">
        <v>300868</v>
      </c>
      <c r="F391" s="42">
        <v>654988</v>
      </c>
      <c r="G391" s="42">
        <v>198407</v>
      </c>
      <c r="H391" s="42">
        <v>55814</v>
      </c>
      <c r="I391" s="42">
        <v>70755</v>
      </c>
      <c r="J391" s="42">
        <v>245195</v>
      </c>
      <c r="K391" s="42">
        <v>566714</v>
      </c>
      <c r="L391" s="42">
        <v>151070</v>
      </c>
      <c r="M391" s="42">
        <v>1691480</v>
      </c>
      <c r="N391" s="42">
        <v>1641035</v>
      </c>
      <c r="O391" s="42">
        <v>35795</v>
      </c>
      <c r="P391" s="42">
        <v>95991</v>
      </c>
      <c r="Q391" s="42">
        <v>239304</v>
      </c>
      <c r="R391" s="42">
        <v>2182195</v>
      </c>
      <c r="S391" s="43">
        <v>55077</v>
      </c>
      <c r="T391" s="42">
        <v>458189</v>
      </c>
      <c r="U391" s="4"/>
    </row>
    <row r="392" spans="1:21" x14ac:dyDescent="0.3">
      <c r="A392" s="49">
        <v>45582</v>
      </c>
      <c r="B392" s="42">
        <v>26389</v>
      </c>
      <c r="C392" s="42">
        <v>189212</v>
      </c>
      <c r="D392" s="42">
        <v>237204</v>
      </c>
      <c r="E392" s="42">
        <v>298400</v>
      </c>
      <c r="F392" s="42">
        <v>656188</v>
      </c>
      <c r="G392" s="42">
        <v>199998</v>
      </c>
      <c r="H392" s="42">
        <v>54597</v>
      </c>
      <c r="I392" s="42">
        <v>68861</v>
      </c>
      <c r="J392" s="42">
        <v>244482</v>
      </c>
      <c r="K392" s="42">
        <v>557758</v>
      </c>
      <c r="L392" s="42">
        <v>141580</v>
      </c>
      <c r="M392" s="42">
        <v>1685374</v>
      </c>
      <c r="N392" s="42">
        <v>1619891</v>
      </c>
      <c r="O392" s="42">
        <v>35910</v>
      </c>
      <c r="P392" s="42">
        <v>94687</v>
      </c>
      <c r="Q392" s="42">
        <v>249689</v>
      </c>
      <c r="R392" s="42">
        <v>2193697</v>
      </c>
      <c r="S392" s="43">
        <v>56648</v>
      </c>
      <c r="T392" s="42">
        <v>458820</v>
      </c>
      <c r="U392" s="4"/>
    </row>
    <row r="393" spans="1:21" x14ac:dyDescent="0.3">
      <c r="A393" s="49">
        <v>45581</v>
      </c>
      <c r="B393" s="42">
        <v>25420</v>
      </c>
      <c r="C393" s="42">
        <v>189180</v>
      </c>
      <c r="D393" s="42">
        <v>239395</v>
      </c>
      <c r="E393" s="42">
        <v>306007</v>
      </c>
      <c r="F393" s="42">
        <v>653777</v>
      </c>
      <c r="G393" s="42">
        <v>197388</v>
      </c>
      <c r="H393" s="42">
        <v>55036</v>
      </c>
      <c r="I393" s="42">
        <v>66371</v>
      </c>
      <c r="J393" s="42">
        <v>241126</v>
      </c>
      <c r="K393" s="42">
        <v>547421</v>
      </c>
      <c r="L393" s="42">
        <v>142301</v>
      </c>
      <c r="M393" s="42">
        <v>1696620</v>
      </c>
      <c r="N393" s="42">
        <v>1596006</v>
      </c>
      <c r="O393" s="42">
        <v>35986</v>
      </c>
      <c r="P393" s="42">
        <v>93087</v>
      </c>
      <c r="Q393" s="42">
        <v>243433</v>
      </c>
      <c r="R393" s="42">
        <v>2204354</v>
      </c>
      <c r="S393" s="43">
        <v>55262</v>
      </c>
      <c r="T393" s="42">
        <v>461442</v>
      </c>
      <c r="U393" s="4"/>
    </row>
    <row r="394" spans="1:21" x14ac:dyDescent="0.3">
      <c r="A394" s="49">
        <v>45580</v>
      </c>
      <c r="B394" s="42">
        <v>24171</v>
      </c>
      <c r="C394" s="42">
        <v>193289</v>
      </c>
      <c r="D394" s="42">
        <v>250450</v>
      </c>
      <c r="E394" s="42">
        <v>296537</v>
      </c>
      <c r="F394" s="42">
        <v>658941</v>
      </c>
      <c r="G394" s="42">
        <v>198230</v>
      </c>
      <c r="H394" s="42">
        <v>54894</v>
      </c>
      <c r="I394" s="42">
        <v>66154</v>
      </c>
      <c r="J394" s="42">
        <v>242791</v>
      </c>
      <c r="K394" s="42">
        <v>541232</v>
      </c>
      <c r="L394" s="42">
        <v>141898</v>
      </c>
      <c r="M394" s="42">
        <v>1689760</v>
      </c>
      <c r="N394" s="42">
        <v>1556886</v>
      </c>
      <c r="O394" s="42">
        <v>34494</v>
      </c>
      <c r="P394" s="42">
        <v>89377</v>
      </c>
      <c r="Q394" s="42">
        <v>241191</v>
      </c>
      <c r="R394" s="42">
        <v>2185413</v>
      </c>
      <c r="S394" s="43">
        <v>57541</v>
      </c>
      <c r="T394" s="42">
        <v>455216</v>
      </c>
      <c r="U394" s="4"/>
    </row>
    <row r="395" spans="1:21" x14ac:dyDescent="0.3">
      <c r="A395" s="49">
        <v>45579</v>
      </c>
      <c r="B395" s="42">
        <v>24417</v>
      </c>
      <c r="C395" s="42">
        <v>191995</v>
      </c>
      <c r="D395" s="42">
        <v>255148</v>
      </c>
      <c r="E395" s="42">
        <v>276387</v>
      </c>
      <c r="F395" s="42">
        <v>661374</v>
      </c>
      <c r="G395" s="42">
        <v>195789</v>
      </c>
      <c r="H395" s="42">
        <v>55024</v>
      </c>
      <c r="I395" s="42">
        <v>66483</v>
      </c>
      <c r="J395" s="42">
        <v>243656</v>
      </c>
      <c r="K395" s="42">
        <v>536624</v>
      </c>
      <c r="L395" s="42">
        <v>141387</v>
      </c>
      <c r="M395" s="42">
        <v>1699858</v>
      </c>
      <c r="N395" s="42">
        <v>1542161</v>
      </c>
      <c r="O395" s="42">
        <v>33016</v>
      </c>
      <c r="P395" s="42">
        <v>92523</v>
      </c>
      <c r="Q395" s="42">
        <v>255162</v>
      </c>
      <c r="R395" s="42">
        <v>2197117</v>
      </c>
      <c r="S395" s="43">
        <v>53545</v>
      </c>
      <c r="T395" s="42">
        <v>450433</v>
      </c>
      <c r="U395" s="4"/>
    </row>
    <row r="396" spans="1:21" x14ac:dyDescent="0.3">
      <c r="A396" s="49">
        <v>45576</v>
      </c>
      <c r="B396" s="42">
        <v>24993</v>
      </c>
      <c r="C396" s="42">
        <v>195446</v>
      </c>
      <c r="D396" s="42">
        <v>254774</v>
      </c>
      <c r="E396" s="42">
        <v>270040</v>
      </c>
      <c r="F396" s="42">
        <v>660568</v>
      </c>
      <c r="G396" s="42">
        <v>195899</v>
      </c>
      <c r="H396" s="42">
        <v>55646</v>
      </c>
      <c r="I396" s="42">
        <v>63668</v>
      </c>
      <c r="J396" s="42">
        <v>241430</v>
      </c>
      <c r="K396" s="42">
        <v>538734</v>
      </c>
      <c r="L396" s="42">
        <v>141685</v>
      </c>
      <c r="M396" s="42">
        <v>1690872</v>
      </c>
      <c r="N396" s="42">
        <v>1510761</v>
      </c>
      <c r="O396" s="42">
        <v>30942</v>
      </c>
      <c r="P396" s="42">
        <v>93312</v>
      </c>
      <c r="Q396" s="42">
        <v>252485</v>
      </c>
      <c r="R396" s="42">
        <v>2155146</v>
      </c>
      <c r="S396" s="43">
        <v>51450</v>
      </c>
      <c r="T396" s="42">
        <v>451961</v>
      </c>
      <c r="U396" s="4"/>
    </row>
    <row r="397" spans="1:21" x14ac:dyDescent="0.3">
      <c r="A397" s="49">
        <v>45575</v>
      </c>
      <c r="B397" s="42">
        <v>25117</v>
      </c>
      <c r="C397" s="42">
        <v>196987</v>
      </c>
      <c r="D397" s="42">
        <v>253681</v>
      </c>
      <c r="E397" s="42">
        <v>251130</v>
      </c>
      <c r="F397" s="42">
        <v>664709</v>
      </c>
      <c r="G397" s="42">
        <v>199601</v>
      </c>
      <c r="H397" s="42">
        <v>55046</v>
      </c>
      <c r="I397" s="42">
        <v>63558</v>
      </c>
      <c r="J397" s="42">
        <v>239323</v>
      </c>
      <c r="K397" s="42">
        <v>531106</v>
      </c>
      <c r="L397" s="42">
        <v>140852</v>
      </c>
      <c r="M397" s="42">
        <v>1686516</v>
      </c>
      <c r="N397" s="42">
        <v>1498962</v>
      </c>
      <c r="O397" s="42">
        <v>29461</v>
      </c>
      <c r="P397" s="42">
        <v>86117</v>
      </c>
      <c r="Q397" s="42">
        <v>251541</v>
      </c>
      <c r="R397" s="42">
        <v>2147301</v>
      </c>
      <c r="S397" s="43">
        <v>52446</v>
      </c>
      <c r="T397" s="42">
        <v>445840</v>
      </c>
      <c r="U397" s="4"/>
    </row>
    <row r="398" spans="1:21" x14ac:dyDescent="0.3">
      <c r="A398" s="49">
        <v>45574</v>
      </c>
      <c r="B398" s="42">
        <v>25146</v>
      </c>
      <c r="C398" s="42">
        <v>202608</v>
      </c>
      <c r="D398" s="42">
        <v>254644</v>
      </c>
      <c r="E398" s="42">
        <v>230501</v>
      </c>
      <c r="F398" s="42">
        <v>665606</v>
      </c>
      <c r="G398" s="42">
        <v>197434</v>
      </c>
      <c r="H398" s="42">
        <v>56910</v>
      </c>
      <c r="I398" s="42">
        <v>63593</v>
      </c>
      <c r="J398" s="42">
        <v>239115</v>
      </c>
      <c r="K398" s="42">
        <v>521836</v>
      </c>
      <c r="L398" s="42">
        <v>140551</v>
      </c>
      <c r="M398" s="42">
        <v>1678033</v>
      </c>
      <c r="N398" s="42">
        <v>1488280</v>
      </c>
      <c r="O398" s="42">
        <v>29497</v>
      </c>
      <c r="P398" s="42">
        <v>87934</v>
      </c>
      <c r="Q398" s="42">
        <v>253733</v>
      </c>
      <c r="R398" s="42">
        <v>2161361</v>
      </c>
      <c r="S398" s="43">
        <v>52412</v>
      </c>
      <c r="T398" s="42">
        <v>446325</v>
      </c>
      <c r="U398" s="4"/>
    </row>
    <row r="399" spans="1:21" x14ac:dyDescent="0.3">
      <c r="A399" s="49">
        <v>45573</v>
      </c>
      <c r="B399" s="42">
        <v>25635</v>
      </c>
      <c r="C399" s="42">
        <v>205706</v>
      </c>
      <c r="D399" s="42">
        <v>255908</v>
      </c>
      <c r="E399" s="42">
        <v>224645</v>
      </c>
      <c r="F399" s="42">
        <v>669131</v>
      </c>
      <c r="G399" s="42">
        <v>196685</v>
      </c>
      <c r="H399" s="42">
        <v>57037</v>
      </c>
      <c r="I399" s="42">
        <v>63822</v>
      </c>
      <c r="J399" s="42">
        <v>241373</v>
      </c>
      <c r="K399" s="42">
        <v>520316</v>
      </c>
      <c r="L399" s="42">
        <v>142839</v>
      </c>
      <c r="M399" s="42">
        <v>1707072</v>
      </c>
      <c r="N399" s="42">
        <v>1483043</v>
      </c>
      <c r="O399" s="42">
        <v>29382</v>
      </c>
      <c r="P399" s="42">
        <v>84731</v>
      </c>
      <c r="Q399" s="42">
        <v>250139</v>
      </c>
      <c r="R399" s="42">
        <v>2132773</v>
      </c>
      <c r="S399" s="43">
        <v>52481</v>
      </c>
      <c r="T399" s="42">
        <v>443408</v>
      </c>
      <c r="U399" s="4"/>
    </row>
    <row r="400" spans="1:21" x14ac:dyDescent="0.3">
      <c r="A400" s="49">
        <v>45572</v>
      </c>
      <c r="B400" s="42">
        <v>25346</v>
      </c>
      <c r="C400" s="42">
        <v>209037</v>
      </c>
      <c r="D400" s="42">
        <v>255037</v>
      </c>
      <c r="E400" s="42">
        <v>218048</v>
      </c>
      <c r="F400" s="42">
        <v>674559</v>
      </c>
      <c r="G400" s="42">
        <v>196609</v>
      </c>
      <c r="H400" s="42">
        <v>60200</v>
      </c>
      <c r="I400" s="42">
        <v>63828</v>
      </c>
      <c r="J400" s="42">
        <v>247791</v>
      </c>
      <c r="K400" s="42">
        <v>526822</v>
      </c>
      <c r="L400" s="42">
        <v>145772</v>
      </c>
      <c r="M400" s="42">
        <v>1736066</v>
      </c>
      <c r="N400" s="42">
        <v>1495864</v>
      </c>
      <c r="O400" s="42">
        <v>12899</v>
      </c>
      <c r="P400" s="42">
        <v>86359</v>
      </c>
      <c r="Q400" s="42">
        <v>240087</v>
      </c>
      <c r="R400" s="42">
        <v>2091851</v>
      </c>
      <c r="S400" s="43">
        <v>53047</v>
      </c>
      <c r="T400" s="42">
        <v>444361</v>
      </c>
      <c r="U400" s="4"/>
    </row>
    <row r="401" spans="1:21" x14ac:dyDescent="0.3">
      <c r="A401" s="49">
        <v>45569</v>
      </c>
      <c r="B401" s="42">
        <v>24906</v>
      </c>
      <c r="C401" s="42">
        <v>208958</v>
      </c>
      <c r="D401" s="42">
        <v>249568</v>
      </c>
      <c r="E401" s="42">
        <v>214868</v>
      </c>
      <c r="F401" s="42">
        <v>677594</v>
      </c>
      <c r="G401" s="42">
        <v>199889</v>
      </c>
      <c r="H401" s="42">
        <v>60628</v>
      </c>
      <c r="I401" s="42">
        <v>64743</v>
      </c>
      <c r="J401" s="42">
        <v>246888</v>
      </c>
      <c r="K401" s="42">
        <v>529919</v>
      </c>
      <c r="L401" s="42">
        <v>147439</v>
      </c>
      <c r="M401" s="42">
        <v>1742843</v>
      </c>
      <c r="N401" s="42">
        <v>1523395</v>
      </c>
      <c r="O401" s="42">
        <v>12006</v>
      </c>
      <c r="P401" s="42">
        <v>88797</v>
      </c>
      <c r="Q401" s="42">
        <v>245390</v>
      </c>
      <c r="R401" s="42">
        <v>2104849</v>
      </c>
      <c r="S401" s="43">
        <v>52602</v>
      </c>
      <c r="T401" s="42">
        <v>443272</v>
      </c>
      <c r="U401" s="4"/>
    </row>
    <row r="402" spans="1:21" x14ac:dyDescent="0.3">
      <c r="A402" s="49">
        <v>45568</v>
      </c>
      <c r="B402" s="42">
        <v>25067</v>
      </c>
      <c r="C402" s="42">
        <v>204516</v>
      </c>
      <c r="D402" s="42">
        <v>252470</v>
      </c>
      <c r="E402" s="42">
        <v>214413</v>
      </c>
      <c r="F402" s="42">
        <v>668181</v>
      </c>
      <c r="G402" s="42">
        <v>191617</v>
      </c>
      <c r="H402" s="42">
        <v>61262</v>
      </c>
      <c r="I402" s="42">
        <v>65133</v>
      </c>
      <c r="J402" s="42">
        <v>243635</v>
      </c>
      <c r="K402" s="42">
        <v>528440</v>
      </c>
      <c r="L402" s="42">
        <v>146559</v>
      </c>
      <c r="M402" s="42">
        <v>1770829</v>
      </c>
      <c r="N402" s="42">
        <v>1511219</v>
      </c>
      <c r="O402" s="42">
        <v>12109</v>
      </c>
      <c r="P402" s="42">
        <v>87783</v>
      </c>
      <c r="Q402" s="42">
        <v>240743</v>
      </c>
      <c r="R402" s="42">
        <v>2088059</v>
      </c>
      <c r="S402" s="43">
        <v>54380</v>
      </c>
      <c r="T402" s="42">
        <v>443646</v>
      </c>
      <c r="U402" s="4"/>
    </row>
    <row r="403" spans="1:21" x14ac:dyDescent="0.3">
      <c r="A403" s="49">
        <v>45567</v>
      </c>
      <c r="B403" s="42">
        <v>25727</v>
      </c>
      <c r="C403" s="42">
        <v>203579</v>
      </c>
      <c r="D403" s="42">
        <v>262167</v>
      </c>
      <c r="E403" s="42">
        <v>215507</v>
      </c>
      <c r="F403" s="42">
        <v>670113</v>
      </c>
      <c r="G403" s="42">
        <v>198861</v>
      </c>
      <c r="H403" s="42">
        <v>60811</v>
      </c>
      <c r="I403" s="42">
        <v>64320</v>
      </c>
      <c r="J403" s="42">
        <v>243129</v>
      </c>
      <c r="K403" s="42">
        <v>529827</v>
      </c>
      <c r="L403" s="42">
        <v>146105</v>
      </c>
      <c r="M403" s="42">
        <v>1772841</v>
      </c>
      <c r="N403" s="42">
        <v>1496593</v>
      </c>
      <c r="O403" s="42">
        <v>11460</v>
      </c>
      <c r="P403" s="42">
        <v>89458</v>
      </c>
      <c r="Q403" s="42">
        <v>237642</v>
      </c>
      <c r="R403" s="42">
        <v>2081570</v>
      </c>
      <c r="S403" s="43">
        <v>54292</v>
      </c>
      <c r="T403" s="42">
        <v>451187</v>
      </c>
      <c r="U403" s="4"/>
    </row>
    <row r="404" spans="1:21" x14ac:dyDescent="0.3">
      <c r="A404" s="49">
        <v>45566</v>
      </c>
      <c r="B404" s="42">
        <v>26321</v>
      </c>
      <c r="C404" s="42">
        <v>201032</v>
      </c>
      <c r="D404" s="42">
        <v>257312</v>
      </c>
      <c r="E404" s="42">
        <v>216044</v>
      </c>
      <c r="F404" s="42">
        <v>674734</v>
      </c>
      <c r="G404" s="42">
        <v>196200</v>
      </c>
      <c r="H404" s="42">
        <v>61226</v>
      </c>
      <c r="I404" s="42">
        <v>62140</v>
      </c>
      <c r="J404" s="42">
        <v>240587</v>
      </c>
      <c r="K404" s="42">
        <v>533107</v>
      </c>
      <c r="L404" s="42">
        <v>144757</v>
      </c>
      <c r="M404" s="42">
        <v>1771336</v>
      </c>
      <c r="N404" s="42">
        <v>1495890</v>
      </c>
      <c r="O404" s="42">
        <v>11184</v>
      </c>
      <c r="P404" s="42">
        <v>89570</v>
      </c>
      <c r="Q404" s="42">
        <v>234108</v>
      </c>
      <c r="R404" s="42">
        <v>2081475</v>
      </c>
      <c r="S404" s="43">
        <v>57703</v>
      </c>
      <c r="T404" s="42">
        <v>451559</v>
      </c>
      <c r="U404" s="4"/>
    </row>
    <row r="405" spans="1:21" x14ac:dyDescent="0.3">
      <c r="A405" s="49">
        <v>45565</v>
      </c>
      <c r="B405" s="42">
        <v>26420</v>
      </c>
      <c r="C405" s="42">
        <v>191161</v>
      </c>
      <c r="D405" s="42">
        <v>260343</v>
      </c>
      <c r="E405" s="42">
        <v>213872</v>
      </c>
      <c r="F405" s="42">
        <v>678850</v>
      </c>
      <c r="G405" s="42">
        <v>202374</v>
      </c>
      <c r="H405" s="42">
        <v>60020</v>
      </c>
      <c r="I405" s="42">
        <v>61813</v>
      </c>
      <c r="J405" s="42">
        <v>237285</v>
      </c>
      <c r="K405" s="42">
        <v>528392</v>
      </c>
      <c r="L405" s="42">
        <v>144664</v>
      </c>
      <c r="M405" s="42">
        <v>1779029</v>
      </c>
      <c r="N405" s="42">
        <v>1492763</v>
      </c>
      <c r="O405" s="42">
        <v>10482</v>
      </c>
      <c r="P405" s="42">
        <v>91053</v>
      </c>
      <c r="Q405" s="42">
        <v>238261</v>
      </c>
      <c r="R405" s="42">
        <v>2088766</v>
      </c>
      <c r="S405" s="43">
        <v>56383</v>
      </c>
      <c r="T405" s="42">
        <v>448721</v>
      </c>
      <c r="U405" s="4"/>
    </row>
    <row r="406" spans="1:21" x14ac:dyDescent="0.3">
      <c r="A406" s="49">
        <v>45562</v>
      </c>
      <c r="B406" s="42">
        <v>27216</v>
      </c>
      <c r="C406" s="42">
        <v>188966</v>
      </c>
      <c r="D406" s="42">
        <v>266932</v>
      </c>
      <c r="E406" s="42">
        <v>211921</v>
      </c>
      <c r="F406" s="42">
        <v>683424</v>
      </c>
      <c r="G406" s="42">
        <v>209314</v>
      </c>
      <c r="H406" s="42">
        <v>58534</v>
      </c>
      <c r="I406" s="42">
        <v>60086</v>
      </c>
      <c r="J406" s="42">
        <v>236174</v>
      </c>
      <c r="K406" s="42">
        <v>544026</v>
      </c>
      <c r="L406" s="42">
        <v>146775</v>
      </c>
      <c r="M406" s="42">
        <v>1786479</v>
      </c>
      <c r="N406" s="42">
        <v>1509206</v>
      </c>
      <c r="O406" s="42">
        <v>30799</v>
      </c>
      <c r="P406" s="42">
        <v>91298</v>
      </c>
      <c r="Q406" s="42">
        <v>235109</v>
      </c>
      <c r="R406" s="42">
        <v>2060226</v>
      </c>
      <c r="S406" s="43">
        <v>55599</v>
      </c>
      <c r="T406" s="42">
        <v>445999</v>
      </c>
      <c r="U406" s="4"/>
    </row>
    <row r="407" spans="1:21" x14ac:dyDescent="0.3">
      <c r="A407" s="49">
        <v>45561</v>
      </c>
      <c r="B407" s="42">
        <v>26177</v>
      </c>
      <c r="C407" s="42">
        <v>183557</v>
      </c>
      <c r="D407" s="42">
        <v>262391</v>
      </c>
      <c r="E407" s="42">
        <v>209787</v>
      </c>
      <c r="F407" s="42">
        <v>684778</v>
      </c>
      <c r="G407" s="42">
        <v>205109</v>
      </c>
      <c r="H407" s="42">
        <v>56637</v>
      </c>
      <c r="I407" s="42">
        <v>60486</v>
      </c>
      <c r="J407" s="42">
        <v>236277</v>
      </c>
      <c r="K407" s="42">
        <v>550360</v>
      </c>
      <c r="L407" s="42">
        <v>146787</v>
      </c>
      <c r="M407" s="42">
        <v>1780801</v>
      </c>
      <c r="N407" s="42">
        <v>1495787</v>
      </c>
      <c r="O407" s="42">
        <v>30943</v>
      </c>
      <c r="P407" s="42">
        <v>87438</v>
      </c>
      <c r="Q407" s="42">
        <v>235922</v>
      </c>
      <c r="R407" s="42">
        <v>2056167</v>
      </c>
      <c r="S407" s="43">
        <v>56303</v>
      </c>
      <c r="T407" s="42">
        <v>443809</v>
      </c>
      <c r="U407" s="4"/>
    </row>
    <row r="408" spans="1:21" x14ac:dyDescent="0.3">
      <c r="A408" s="49">
        <v>45560</v>
      </c>
      <c r="B408" s="42">
        <v>26403</v>
      </c>
      <c r="C408" s="42">
        <v>179842</v>
      </c>
      <c r="D408" s="42">
        <v>255706</v>
      </c>
      <c r="E408" s="42">
        <v>208719</v>
      </c>
      <c r="F408" s="42">
        <v>680847</v>
      </c>
      <c r="G408" s="42">
        <v>206242</v>
      </c>
      <c r="H408" s="42">
        <v>56596</v>
      </c>
      <c r="I408" s="42">
        <v>60064</v>
      </c>
      <c r="J408" s="42">
        <v>227373</v>
      </c>
      <c r="K408" s="42">
        <v>553986</v>
      </c>
      <c r="L408" s="42">
        <v>146833</v>
      </c>
      <c r="M408" s="42">
        <v>1764869</v>
      </c>
      <c r="N408" s="42">
        <v>1480464</v>
      </c>
      <c r="O408" s="42">
        <v>29838</v>
      </c>
      <c r="P408" s="42">
        <v>86427</v>
      </c>
      <c r="Q408" s="42">
        <v>232456</v>
      </c>
      <c r="R408" s="42">
        <v>2038649</v>
      </c>
      <c r="S408" s="43">
        <v>51279</v>
      </c>
      <c r="T408" s="42">
        <v>442543</v>
      </c>
      <c r="U408" s="4"/>
    </row>
    <row r="409" spans="1:21" x14ac:dyDescent="0.3">
      <c r="A409" s="49">
        <v>45559</v>
      </c>
      <c r="B409" s="42">
        <v>27029</v>
      </c>
      <c r="C409" s="42">
        <v>176442</v>
      </c>
      <c r="D409" s="42">
        <v>251641</v>
      </c>
      <c r="E409" s="42">
        <v>213164</v>
      </c>
      <c r="F409" s="42">
        <v>679514</v>
      </c>
      <c r="G409" s="42">
        <v>207702</v>
      </c>
      <c r="H409" s="42">
        <v>55135</v>
      </c>
      <c r="I409" s="42">
        <v>60688</v>
      </c>
      <c r="J409" s="42">
        <v>226141</v>
      </c>
      <c r="K409" s="42">
        <v>564640</v>
      </c>
      <c r="L409" s="42">
        <v>150071</v>
      </c>
      <c r="M409" s="42">
        <v>1780393</v>
      </c>
      <c r="N409" s="42">
        <v>1496022</v>
      </c>
      <c r="O409" s="42">
        <v>30542</v>
      </c>
      <c r="P409" s="42">
        <v>87645</v>
      </c>
      <c r="Q409" s="42">
        <v>227746</v>
      </c>
      <c r="R409" s="42">
        <v>2046057</v>
      </c>
      <c r="S409" s="43">
        <v>52486</v>
      </c>
      <c r="T409" s="42">
        <v>442047</v>
      </c>
      <c r="U409" s="4"/>
    </row>
    <row r="410" spans="1:21" x14ac:dyDescent="0.3">
      <c r="A410" s="49">
        <v>45558</v>
      </c>
      <c r="B410" s="42">
        <v>25879</v>
      </c>
      <c r="C410" s="42">
        <v>171509</v>
      </c>
      <c r="D410" s="42">
        <v>243056</v>
      </c>
      <c r="E410" s="42">
        <v>216657</v>
      </c>
      <c r="F410" s="42">
        <v>677008</v>
      </c>
      <c r="G410" s="42">
        <v>209747</v>
      </c>
      <c r="H410" s="42">
        <v>53545</v>
      </c>
      <c r="I410" s="42">
        <v>58757</v>
      </c>
      <c r="J410" s="42">
        <v>214860</v>
      </c>
      <c r="K410" s="42">
        <v>556720</v>
      </c>
      <c r="L410" s="42">
        <v>144351</v>
      </c>
      <c r="M410" s="42">
        <v>1768741</v>
      </c>
      <c r="N410" s="42">
        <v>1500400</v>
      </c>
      <c r="O410" s="42">
        <v>30694</v>
      </c>
      <c r="P410" s="42">
        <v>85633</v>
      </c>
      <c r="Q410" s="42">
        <v>225723</v>
      </c>
      <c r="R410" s="42">
        <v>2013500</v>
      </c>
      <c r="S410" s="43">
        <v>51795</v>
      </c>
      <c r="T410" s="42">
        <v>446255</v>
      </c>
      <c r="U410" s="4"/>
    </row>
    <row r="411" spans="1:21" x14ac:dyDescent="0.3">
      <c r="A411" s="49">
        <v>45555</v>
      </c>
      <c r="B411" s="42">
        <v>26414</v>
      </c>
      <c r="C411" s="42">
        <v>172920</v>
      </c>
      <c r="D411" s="42">
        <v>231962</v>
      </c>
      <c r="E411" s="42">
        <v>214695</v>
      </c>
      <c r="F411" s="42">
        <v>680306</v>
      </c>
      <c r="G411" s="42">
        <v>204414</v>
      </c>
      <c r="H411" s="42">
        <v>52847</v>
      </c>
      <c r="I411" s="42">
        <v>59508</v>
      </c>
      <c r="J411" s="42">
        <v>212801</v>
      </c>
      <c r="K411" s="42">
        <v>555303</v>
      </c>
      <c r="L411" s="42">
        <v>143186</v>
      </c>
      <c r="M411" s="42">
        <v>1758651</v>
      </c>
      <c r="N411" s="42">
        <v>1515361</v>
      </c>
      <c r="O411" s="42">
        <v>31760</v>
      </c>
      <c r="P411" s="42">
        <v>98324</v>
      </c>
      <c r="Q411" s="42">
        <v>288633</v>
      </c>
      <c r="R411" s="42">
        <v>2524685</v>
      </c>
      <c r="S411" s="43">
        <v>54735</v>
      </c>
      <c r="T411" s="42">
        <v>522333</v>
      </c>
      <c r="U411" s="43"/>
    </row>
    <row r="412" spans="1:21" x14ac:dyDescent="0.3">
      <c r="A412" s="49">
        <v>45554</v>
      </c>
      <c r="B412" s="42">
        <v>26372</v>
      </c>
      <c r="C412" s="42">
        <v>170691</v>
      </c>
      <c r="D412" s="42">
        <v>224703</v>
      </c>
      <c r="E412" s="42">
        <v>216744</v>
      </c>
      <c r="F412" s="42">
        <v>681059</v>
      </c>
      <c r="G412" s="42">
        <v>208938</v>
      </c>
      <c r="H412" s="42">
        <v>52285</v>
      </c>
      <c r="I412" s="42">
        <v>60318</v>
      </c>
      <c r="J412" s="42">
        <v>211081</v>
      </c>
      <c r="K412" s="42">
        <v>538832</v>
      </c>
      <c r="L412" s="42">
        <v>140761</v>
      </c>
      <c r="M412" s="42">
        <v>1750927</v>
      </c>
      <c r="N412" s="42">
        <v>1528991</v>
      </c>
      <c r="O412" s="42">
        <v>32336</v>
      </c>
      <c r="P412" s="42">
        <v>100276</v>
      </c>
      <c r="Q412" s="42">
        <v>293892</v>
      </c>
      <c r="R412" s="42">
        <v>2555800</v>
      </c>
      <c r="S412" s="43">
        <v>76852</v>
      </c>
      <c r="T412" s="42">
        <v>535279</v>
      </c>
      <c r="U412" s="43"/>
    </row>
    <row r="413" spans="1:21" x14ac:dyDescent="0.3">
      <c r="A413" s="49">
        <v>45553</v>
      </c>
      <c r="B413" s="42">
        <v>26046</v>
      </c>
      <c r="C413" s="42">
        <v>170973</v>
      </c>
      <c r="D413" s="42">
        <v>219696</v>
      </c>
      <c r="E413" s="42">
        <v>213494</v>
      </c>
      <c r="F413" s="42">
        <v>683683</v>
      </c>
      <c r="G413" s="42">
        <v>208967</v>
      </c>
      <c r="H413" s="42">
        <v>50271</v>
      </c>
      <c r="I413" s="42">
        <v>58927</v>
      </c>
      <c r="J413" s="42">
        <v>207877</v>
      </c>
      <c r="K413" s="42">
        <v>538269</v>
      </c>
      <c r="L413" s="42">
        <v>141128</v>
      </c>
      <c r="M413" s="42">
        <v>1797892</v>
      </c>
      <c r="N413" s="42">
        <v>1530092</v>
      </c>
      <c r="O413" s="42">
        <v>30574</v>
      </c>
      <c r="P413" s="42">
        <v>96964</v>
      </c>
      <c r="Q413" s="42">
        <v>285428</v>
      </c>
      <c r="R413" s="42">
        <v>2520675</v>
      </c>
      <c r="S413" s="43">
        <v>74989</v>
      </c>
      <c r="T413" s="42">
        <v>529201</v>
      </c>
      <c r="U413" s="43"/>
    </row>
    <row r="414" spans="1:21" x14ac:dyDescent="0.3">
      <c r="A414" s="49">
        <v>45552</v>
      </c>
      <c r="B414" s="42">
        <v>24759</v>
      </c>
      <c r="C414" s="42">
        <v>239360</v>
      </c>
      <c r="D414" s="42">
        <v>263870</v>
      </c>
      <c r="E414" s="42">
        <v>256538</v>
      </c>
      <c r="F414" s="42">
        <v>831108</v>
      </c>
      <c r="G414" s="42">
        <v>380921</v>
      </c>
      <c r="H414" s="42">
        <v>67440</v>
      </c>
      <c r="I414" s="42">
        <v>85701</v>
      </c>
      <c r="J414" s="42">
        <v>204717</v>
      </c>
      <c r="K414" s="42">
        <v>537627</v>
      </c>
      <c r="L414" s="42">
        <v>140605</v>
      </c>
      <c r="M414" s="42">
        <v>1812275</v>
      </c>
      <c r="N414" s="42">
        <v>1537175</v>
      </c>
      <c r="O414" s="42">
        <v>30995</v>
      </c>
      <c r="P414" s="42">
        <v>98131</v>
      </c>
      <c r="Q414" s="42">
        <v>267450</v>
      </c>
      <c r="R414" s="42">
        <v>2579860</v>
      </c>
      <c r="S414" s="43">
        <v>86012</v>
      </c>
      <c r="T414" s="42">
        <v>527140</v>
      </c>
      <c r="U414" s="43"/>
    </row>
    <row r="415" spans="1:21" x14ac:dyDescent="0.3">
      <c r="A415" s="49">
        <v>45551</v>
      </c>
      <c r="B415" s="42">
        <v>24174</v>
      </c>
      <c r="C415" s="42">
        <v>242767</v>
      </c>
      <c r="D415" s="42">
        <v>264187</v>
      </c>
      <c r="E415" s="42">
        <v>256880</v>
      </c>
      <c r="F415" s="42">
        <v>832754</v>
      </c>
      <c r="G415" s="42">
        <v>381912</v>
      </c>
      <c r="H415" s="42">
        <v>67707</v>
      </c>
      <c r="I415" s="42">
        <v>84412</v>
      </c>
      <c r="J415" s="42">
        <v>206374</v>
      </c>
      <c r="K415" s="42">
        <v>543330</v>
      </c>
      <c r="L415" s="42">
        <v>138956</v>
      </c>
      <c r="M415" s="42">
        <v>1822135</v>
      </c>
      <c r="N415" s="42">
        <v>1534948</v>
      </c>
      <c r="O415" s="42">
        <v>29105</v>
      </c>
      <c r="P415" s="42">
        <v>98754</v>
      </c>
      <c r="Q415" s="42">
        <v>265439</v>
      </c>
      <c r="R415" s="42">
        <v>2421483</v>
      </c>
      <c r="S415" s="43">
        <v>77041</v>
      </c>
      <c r="T415" s="42">
        <v>500056</v>
      </c>
      <c r="U415" s="43"/>
    </row>
    <row r="416" spans="1:21" x14ac:dyDescent="0.3">
      <c r="A416" s="49">
        <v>45548</v>
      </c>
      <c r="B416" s="42">
        <v>49078</v>
      </c>
      <c r="C416" s="42">
        <v>236023</v>
      </c>
      <c r="D416" s="42">
        <v>262531</v>
      </c>
      <c r="E416" s="42">
        <v>254913</v>
      </c>
      <c r="F416" s="42">
        <v>831750</v>
      </c>
      <c r="G416" s="42">
        <v>384601</v>
      </c>
      <c r="H416" s="42">
        <v>66858</v>
      </c>
      <c r="I416" s="42">
        <v>84661</v>
      </c>
      <c r="J416" s="42">
        <v>205227</v>
      </c>
      <c r="K416" s="42">
        <v>544348</v>
      </c>
      <c r="L416" s="42">
        <v>137204</v>
      </c>
      <c r="M416" s="42">
        <v>1835183</v>
      </c>
      <c r="N416" s="42">
        <v>1530845</v>
      </c>
      <c r="O416" s="42">
        <v>29464</v>
      </c>
      <c r="P416" s="42">
        <v>93372</v>
      </c>
      <c r="Q416" s="42">
        <v>256897</v>
      </c>
      <c r="R416" s="42">
        <v>2206243</v>
      </c>
      <c r="S416" s="43">
        <v>64143</v>
      </c>
      <c r="T416" s="42">
        <v>460372</v>
      </c>
    </row>
    <row r="417" spans="1:20" x14ac:dyDescent="0.3">
      <c r="A417" s="49">
        <v>45547</v>
      </c>
      <c r="B417" s="42">
        <v>50467</v>
      </c>
      <c r="C417" s="42">
        <v>243826</v>
      </c>
      <c r="D417" s="42">
        <v>288576</v>
      </c>
      <c r="E417" s="42">
        <v>258775</v>
      </c>
      <c r="F417" s="42">
        <v>839183</v>
      </c>
      <c r="G417" s="42">
        <v>382676</v>
      </c>
      <c r="H417" s="42">
        <v>71938</v>
      </c>
      <c r="I417" s="42">
        <v>84927</v>
      </c>
      <c r="J417" s="42">
        <v>206132</v>
      </c>
      <c r="K417" s="42">
        <v>536025</v>
      </c>
      <c r="L417" s="42">
        <v>132356</v>
      </c>
      <c r="M417" s="42">
        <v>1822497</v>
      </c>
      <c r="N417" s="42">
        <v>1538854</v>
      </c>
      <c r="O417" s="42">
        <v>28395</v>
      </c>
      <c r="P417" s="42">
        <v>87616</v>
      </c>
      <c r="Q417" s="42">
        <v>261949</v>
      </c>
      <c r="R417" s="42">
        <v>2151651</v>
      </c>
      <c r="S417" s="43">
        <v>61509</v>
      </c>
      <c r="T417" s="42">
        <v>444613</v>
      </c>
    </row>
    <row r="418" spans="1:20" x14ac:dyDescent="0.3">
      <c r="A418" s="49">
        <v>45546</v>
      </c>
      <c r="B418" s="42">
        <v>51082</v>
      </c>
      <c r="C418" s="42">
        <v>242432</v>
      </c>
      <c r="D418" s="42">
        <v>269135</v>
      </c>
      <c r="E418" s="42">
        <v>243434</v>
      </c>
      <c r="F418" s="42">
        <v>796902</v>
      </c>
      <c r="G418" s="42">
        <v>386119</v>
      </c>
      <c r="H418" s="42">
        <v>75741</v>
      </c>
      <c r="I418" s="42">
        <v>86806</v>
      </c>
      <c r="J418" s="42">
        <v>202936</v>
      </c>
      <c r="K418" s="42">
        <v>513469</v>
      </c>
      <c r="L418" s="42">
        <v>130075</v>
      </c>
      <c r="M418" s="42">
        <v>1810589</v>
      </c>
      <c r="N418" s="42">
        <v>1540807</v>
      </c>
      <c r="O418" s="42">
        <v>28302</v>
      </c>
      <c r="P418" s="42">
        <v>87720</v>
      </c>
      <c r="Q418" s="42">
        <v>262073</v>
      </c>
      <c r="R418" s="42">
        <v>2150230</v>
      </c>
      <c r="S418" s="43">
        <v>61984</v>
      </c>
      <c r="T418" s="42">
        <v>447945</v>
      </c>
    </row>
    <row r="419" spans="1:20" x14ac:dyDescent="0.3">
      <c r="A419" s="49">
        <v>45545</v>
      </c>
      <c r="B419" s="42">
        <v>48653</v>
      </c>
      <c r="C419" s="42">
        <v>230013</v>
      </c>
      <c r="D419" s="42">
        <v>272336</v>
      </c>
      <c r="E419" s="42">
        <v>251209</v>
      </c>
      <c r="F419" s="42">
        <v>741888</v>
      </c>
      <c r="G419" s="42">
        <v>376514</v>
      </c>
      <c r="H419" s="42">
        <v>63720</v>
      </c>
      <c r="I419" s="42">
        <v>80439</v>
      </c>
      <c r="J419" s="42">
        <v>203377</v>
      </c>
      <c r="K419" s="42">
        <v>511501</v>
      </c>
      <c r="L419" s="42">
        <v>128959</v>
      </c>
      <c r="M419" s="42">
        <v>1802465</v>
      </c>
      <c r="N419" s="42">
        <v>1552355</v>
      </c>
      <c r="O419" s="42">
        <v>28157</v>
      </c>
      <c r="P419" s="42">
        <v>85971</v>
      </c>
      <c r="Q419" s="42">
        <v>259424</v>
      </c>
      <c r="R419" s="42">
        <v>2156591</v>
      </c>
      <c r="S419" s="43">
        <v>61671</v>
      </c>
      <c r="T419" s="42">
        <v>446189</v>
      </c>
    </row>
    <row r="420" spans="1:20" x14ac:dyDescent="0.3">
      <c r="A420" s="49">
        <v>45544</v>
      </c>
      <c r="B420" s="42">
        <v>48192</v>
      </c>
      <c r="C420" s="42">
        <v>210502</v>
      </c>
      <c r="D420" s="42">
        <v>272300</v>
      </c>
      <c r="E420" s="42">
        <v>242144</v>
      </c>
      <c r="F420" s="42">
        <v>731763</v>
      </c>
      <c r="G420" s="42">
        <v>368605</v>
      </c>
      <c r="H420" s="42">
        <v>62669</v>
      </c>
      <c r="I420" s="42">
        <v>73168</v>
      </c>
      <c r="J420" s="42">
        <v>202191</v>
      </c>
      <c r="K420" s="42">
        <v>506476</v>
      </c>
      <c r="L420" s="42">
        <v>128605</v>
      </c>
      <c r="M420" s="42">
        <v>1786050</v>
      </c>
      <c r="N420" s="42">
        <v>1553416</v>
      </c>
      <c r="O420" s="42">
        <v>28110</v>
      </c>
      <c r="P420" s="42">
        <v>87033</v>
      </c>
      <c r="Q420" s="42">
        <v>259867</v>
      </c>
      <c r="R420" s="42">
        <v>2170515</v>
      </c>
      <c r="S420" s="43">
        <v>57794</v>
      </c>
      <c r="T420" s="42">
        <v>446006</v>
      </c>
    </row>
    <row r="421" spans="1:20" x14ac:dyDescent="0.3">
      <c r="A421" s="49">
        <v>45541</v>
      </c>
      <c r="B421" s="42">
        <v>46430</v>
      </c>
      <c r="C421" s="42">
        <v>208101</v>
      </c>
      <c r="D421" s="42">
        <v>271477</v>
      </c>
      <c r="E421" s="42">
        <v>245059</v>
      </c>
      <c r="F421" s="42">
        <v>731367</v>
      </c>
      <c r="G421" s="42">
        <v>364445</v>
      </c>
      <c r="H421" s="42">
        <v>61190</v>
      </c>
      <c r="I421" s="42">
        <v>74102</v>
      </c>
      <c r="J421" s="42">
        <v>202831</v>
      </c>
      <c r="K421" s="42">
        <v>507787</v>
      </c>
      <c r="L421" s="42">
        <v>129446</v>
      </c>
      <c r="M421" s="42">
        <v>1760245</v>
      </c>
      <c r="N421" s="42">
        <v>1563448</v>
      </c>
      <c r="O421" s="42">
        <v>27493</v>
      </c>
      <c r="P421" s="42">
        <v>84420</v>
      </c>
      <c r="Q421" s="42">
        <v>256875</v>
      </c>
      <c r="R421" s="42">
        <v>2130254</v>
      </c>
      <c r="S421" s="43">
        <v>63244</v>
      </c>
      <c r="T421" s="42">
        <v>439157</v>
      </c>
    </row>
    <row r="422" spans="1:20" x14ac:dyDescent="0.3">
      <c r="A422" s="49">
        <v>45540</v>
      </c>
      <c r="B422" s="42">
        <v>48905</v>
      </c>
      <c r="C422" s="42">
        <v>210115</v>
      </c>
      <c r="D422" s="42">
        <v>275894</v>
      </c>
      <c r="E422" s="42">
        <v>246395</v>
      </c>
      <c r="F422" s="42">
        <v>734179</v>
      </c>
      <c r="G422" s="42">
        <v>336387</v>
      </c>
      <c r="H422" s="42">
        <v>62657</v>
      </c>
      <c r="I422" s="42">
        <v>72934</v>
      </c>
      <c r="J422" s="42">
        <v>201743</v>
      </c>
      <c r="K422" s="42">
        <v>511282</v>
      </c>
      <c r="L422" s="42">
        <v>128604</v>
      </c>
      <c r="M422" s="42">
        <v>1740504</v>
      </c>
      <c r="N422" s="42">
        <v>1560428</v>
      </c>
      <c r="O422" s="42">
        <v>27309</v>
      </c>
      <c r="P422" s="42">
        <v>83788</v>
      </c>
      <c r="Q422" s="42">
        <v>252655</v>
      </c>
      <c r="R422" s="42">
        <v>2114941</v>
      </c>
      <c r="S422" s="43">
        <v>61369</v>
      </c>
      <c r="T422" s="42">
        <v>432229</v>
      </c>
    </row>
    <row r="423" spans="1:20" x14ac:dyDescent="0.3">
      <c r="A423" s="49">
        <v>45539</v>
      </c>
      <c r="B423" s="42">
        <v>49450</v>
      </c>
      <c r="C423" s="42">
        <v>214694</v>
      </c>
      <c r="D423" s="42">
        <v>282905</v>
      </c>
      <c r="E423" s="42">
        <v>249755</v>
      </c>
      <c r="F423" s="42">
        <v>737897</v>
      </c>
      <c r="G423" s="42">
        <v>331805</v>
      </c>
      <c r="H423" s="42">
        <v>64289</v>
      </c>
      <c r="I423" s="42">
        <v>70081</v>
      </c>
      <c r="J423" s="42">
        <v>202979</v>
      </c>
      <c r="K423" s="42">
        <v>510721</v>
      </c>
      <c r="L423" s="42">
        <v>130453</v>
      </c>
      <c r="M423" s="42">
        <v>1711054</v>
      </c>
      <c r="N423" s="42">
        <v>1561303</v>
      </c>
      <c r="O423" s="42">
        <v>27914</v>
      </c>
      <c r="P423" s="42">
        <v>84796</v>
      </c>
      <c r="Q423" s="42">
        <v>253685</v>
      </c>
      <c r="R423" s="42">
        <v>2109892</v>
      </c>
      <c r="S423" s="43">
        <v>63413</v>
      </c>
      <c r="T423" s="42">
        <v>431765</v>
      </c>
    </row>
    <row r="424" spans="1:20" x14ac:dyDescent="0.3">
      <c r="A424" s="49">
        <v>45538</v>
      </c>
      <c r="B424" s="42">
        <v>48563</v>
      </c>
      <c r="C424" s="42">
        <v>213538</v>
      </c>
      <c r="D424" s="42">
        <v>285461</v>
      </c>
      <c r="E424" s="42">
        <v>255897</v>
      </c>
      <c r="F424" s="42">
        <v>740311</v>
      </c>
      <c r="G424" s="42">
        <v>326795</v>
      </c>
      <c r="H424" s="42">
        <v>63566</v>
      </c>
      <c r="I424" s="42">
        <v>67121</v>
      </c>
      <c r="J424" s="42">
        <v>201953</v>
      </c>
      <c r="K424" s="42">
        <v>511136</v>
      </c>
      <c r="L424" s="42">
        <v>130928</v>
      </c>
      <c r="M424" s="42">
        <v>1727524</v>
      </c>
      <c r="N424" s="42">
        <v>1558349</v>
      </c>
      <c r="O424" s="42">
        <v>28929</v>
      </c>
      <c r="P424" s="42">
        <v>85167</v>
      </c>
      <c r="Q424" s="42">
        <v>254089</v>
      </c>
      <c r="R424" s="42">
        <v>2106791</v>
      </c>
      <c r="S424" s="43">
        <v>62378</v>
      </c>
      <c r="T424" s="42">
        <v>433596</v>
      </c>
    </row>
    <row r="425" spans="1:20" x14ac:dyDescent="0.3">
      <c r="A425" s="49">
        <v>45537</v>
      </c>
      <c r="B425" s="42">
        <v>50917</v>
      </c>
      <c r="C425" s="42">
        <v>214373</v>
      </c>
      <c r="D425" s="42">
        <v>286859</v>
      </c>
      <c r="E425" s="42">
        <v>261691</v>
      </c>
      <c r="F425" s="42">
        <v>733121</v>
      </c>
      <c r="G425" s="42">
        <v>320833</v>
      </c>
      <c r="H425" s="42">
        <v>61951</v>
      </c>
      <c r="I425" s="42">
        <v>65875</v>
      </c>
      <c r="J425" s="42">
        <v>203646</v>
      </c>
      <c r="K425" s="42">
        <v>516479</v>
      </c>
      <c r="L425" s="42">
        <v>131392</v>
      </c>
      <c r="M425" s="42">
        <v>1716253</v>
      </c>
      <c r="N425" s="42">
        <v>1552014</v>
      </c>
      <c r="O425" s="42">
        <v>28541</v>
      </c>
      <c r="P425" s="42">
        <v>89420</v>
      </c>
      <c r="Q425" s="42">
        <v>250357</v>
      </c>
      <c r="R425" s="42">
        <v>2118871</v>
      </c>
      <c r="S425" s="43">
        <v>58462</v>
      </c>
      <c r="T425" s="42">
        <v>432991</v>
      </c>
    </row>
    <row r="426" spans="1:20" x14ac:dyDescent="0.3">
      <c r="A426" s="49">
        <v>45534</v>
      </c>
      <c r="B426" s="42">
        <v>50772</v>
      </c>
      <c r="C426" s="42">
        <v>214373</v>
      </c>
      <c r="D426" s="42">
        <v>286859</v>
      </c>
      <c r="E426" s="42">
        <v>261691</v>
      </c>
      <c r="F426" s="42">
        <v>733121</v>
      </c>
      <c r="G426" s="42">
        <v>320833</v>
      </c>
      <c r="H426" s="42">
        <v>61951</v>
      </c>
      <c r="I426" s="42">
        <v>65875</v>
      </c>
      <c r="J426" s="42">
        <v>203646</v>
      </c>
      <c r="K426" s="42">
        <v>516479</v>
      </c>
      <c r="L426" s="42">
        <v>131392</v>
      </c>
      <c r="M426" s="42">
        <v>1716253</v>
      </c>
      <c r="N426" s="42">
        <v>1552014</v>
      </c>
      <c r="O426" s="42">
        <v>28541</v>
      </c>
      <c r="P426" s="42">
        <v>89420</v>
      </c>
      <c r="Q426" s="42">
        <v>250357</v>
      </c>
      <c r="R426" s="42">
        <v>2118871</v>
      </c>
      <c r="S426" s="43">
        <v>60450</v>
      </c>
      <c r="T426" s="42">
        <v>425506</v>
      </c>
    </row>
    <row r="427" spans="1:20" x14ac:dyDescent="0.3">
      <c r="A427" s="49">
        <v>45533</v>
      </c>
      <c r="B427" s="42">
        <v>51337</v>
      </c>
      <c r="C427" s="42">
        <v>214683</v>
      </c>
      <c r="D427" s="42">
        <v>290578</v>
      </c>
      <c r="E427" s="42">
        <v>274305</v>
      </c>
      <c r="F427" s="42">
        <v>728795</v>
      </c>
      <c r="G427" s="42">
        <v>319763</v>
      </c>
      <c r="H427" s="42">
        <v>62211</v>
      </c>
      <c r="I427" s="42">
        <v>66649</v>
      </c>
      <c r="J427" s="42">
        <v>206372</v>
      </c>
      <c r="K427" s="42">
        <v>525188</v>
      </c>
      <c r="L427" s="42">
        <v>134412</v>
      </c>
      <c r="M427" s="42">
        <v>1753063</v>
      </c>
      <c r="N427" s="42">
        <v>1539592</v>
      </c>
      <c r="O427" s="42">
        <v>28803</v>
      </c>
      <c r="P427" s="42">
        <v>89498</v>
      </c>
      <c r="Q427" s="42">
        <v>248564</v>
      </c>
      <c r="R427" s="42">
        <v>2091386</v>
      </c>
      <c r="S427" s="43">
        <v>59761</v>
      </c>
      <c r="T427" s="42">
        <v>418766</v>
      </c>
    </row>
    <row r="428" spans="1:20" x14ac:dyDescent="0.3">
      <c r="A428" s="49">
        <v>45532</v>
      </c>
      <c r="B428" s="42">
        <v>51477</v>
      </c>
      <c r="C428" s="42">
        <v>210554</v>
      </c>
      <c r="D428" s="42">
        <v>280323</v>
      </c>
      <c r="E428" s="42">
        <v>289737</v>
      </c>
      <c r="F428" s="42">
        <v>727979</v>
      </c>
      <c r="G428" s="42">
        <v>319476</v>
      </c>
      <c r="H428" s="42">
        <v>63786</v>
      </c>
      <c r="I428" s="42">
        <v>66842</v>
      </c>
      <c r="J428" s="42">
        <v>208128</v>
      </c>
      <c r="K428" s="42">
        <v>521788</v>
      </c>
      <c r="L428" s="42">
        <v>137615</v>
      </c>
      <c r="M428" s="42">
        <v>1739337</v>
      </c>
      <c r="N428" s="42">
        <v>1526804</v>
      </c>
      <c r="O428" s="42">
        <v>29249</v>
      </c>
      <c r="P428" s="42">
        <v>88137</v>
      </c>
      <c r="Q428" s="42">
        <v>245209</v>
      </c>
      <c r="R428" s="42">
        <v>2087345</v>
      </c>
      <c r="S428" s="43">
        <v>57984</v>
      </c>
      <c r="T428" s="42">
        <v>421524</v>
      </c>
    </row>
    <row r="429" spans="1:20" x14ac:dyDescent="0.3">
      <c r="A429" s="49">
        <v>45531</v>
      </c>
      <c r="B429" s="42">
        <v>51056</v>
      </c>
      <c r="C429" s="42">
        <v>204850</v>
      </c>
      <c r="D429" s="42">
        <v>274215</v>
      </c>
      <c r="E429" s="42">
        <v>296041</v>
      </c>
      <c r="F429" s="42">
        <v>726519</v>
      </c>
      <c r="G429" s="42">
        <v>318259</v>
      </c>
      <c r="H429" s="42">
        <v>65108</v>
      </c>
      <c r="I429" s="42">
        <v>68768</v>
      </c>
      <c r="J429" s="42">
        <v>214577</v>
      </c>
      <c r="K429" s="42">
        <v>521759</v>
      </c>
      <c r="L429" s="42">
        <v>141613</v>
      </c>
      <c r="M429" s="42">
        <v>1742613</v>
      </c>
      <c r="N429" s="42">
        <v>1532068</v>
      </c>
      <c r="O429" s="42">
        <v>29817</v>
      </c>
      <c r="P429" s="42">
        <v>89659</v>
      </c>
      <c r="Q429" s="42">
        <v>244523</v>
      </c>
      <c r="R429" s="42">
        <v>2098974</v>
      </c>
      <c r="S429" s="43">
        <v>55489</v>
      </c>
      <c r="T429" s="42">
        <v>420787</v>
      </c>
    </row>
    <row r="430" spans="1:20" x14ac:dyDescent="0.3">
      <c r="A430" s="49">
        <v>45530</v>
      </c>
      <c r="B430" s="42">
        <v>51905</v>
      </c>
      <c r="C430" s="42">
        <v>203783</v>
      </c>
      <c r="D430" s="42">
        <v>269354</v>
      </c>
      <c r="E430" s="42">
        <v>299610</v>
      </c>
      <c r="F430" s="42">
        <v>717186</v>
      </c>
      <c r="G430" s="42">
        <v>318666</v>
      </c>
      <c r="H430" s="42">
        <v>64934</v>
      </c>
      <c r="I430" s="42">
        <v>67963</v>
      </c>
      <c r="J430" s="42">
        <v>223529</v>
      </c>
      <c r="K430" s="42">
        <v>525873</v>
      </c>
      <c r="L430" s="42">
        <v>145569</v>
      </c>
      <c r="M430" s="42">
        <v>1740068</v>
      </c>
      <c r="N430" s="42">
        <v>1532438</v>
      </c>
      <c r="O430" s="42">
        <v>30882</v>
      </c>
      <c r="P430" s="42">
        <v>90709</v>
      </c>
      <c r="Q430" s="42">
        <v>239654</v>
      </c>
      <c r="R430" s="42">
        <v>2081210</v>
      </c>
      <c r="S430" s="43">
        <v>54126</v>
      </c>
      <c r="T430" s="42">
        <v>417454</v>
      </c>
    </row>
    <row r="431" spans="1:20" x14ac:dyDescent="0.3">
      <c r="A431" s="49">
        <v>45527</v>
      </c>
      <c r="B431" s="42">
        <v>51480</v>
      </c>
      <c r="C431" s="42">
        <v>206452</v>
      </c>
      <c r="D431" s="42">
        <v>266727</v>
      </c>
      <c r="E431" s="42">
        <v>298217</v>
      </c>
      <c r="F431" s="42">
        <v>720729</v>
      </c>
      <c r="G431" s="42">
        <v>320699</v>
      </c>
      <c r="H431" s="42">
        <v>63737</v>
      </c>
      <c r="I431" s="42">
        <v>67509</v>
      </c>
      <c r="J431" s="42">
        <v>224749</v>
      </c>
      <c r="K431" s="42">
        <v>524290</v>
      </c>
      <c r="L431" s="42">
        <v>146284</v>
      </c>
      <c r="M431" s="42">
        <v>1750351</v>
      </c>
      <c r="N431" s="42">
        <v>1522808</v>
      </c>
      <c r="O431" s="42">
        <v>31796</v>
      </c>
      <c r="P431" s="42">
        <v>88746</v>
      </c>
      <c r="Q431" s="42">
        <v>242617</v>
      </c>
      <c r="R431" s="42">
        <v>2093166</v>
      </c>
      <c r="S431" s="43">
        <v>56832</v>
      </c>
      <c r="T431" s="42">
        <v>419374</v>
      </c>
    </row>
    <row r="432" spans="1:20" x14ac:dyDescent="0.3">
      <c r="A432" s="49">
        <v>45526</v>
      </c>
      <c r="B432" s="42">
        <v>50050</v>
      </c>
      <c r="C432" s="42">
        <v>201377</v>
      </c>
      <c r="D432" s="42">
        <v>259943</v>
      </c>
      <c r="E432" s="42">
        <v>302832</v>
      </c>
      <c r="F432" s="42">
        <v>712098</v>
      </c>
      <c r="G432" s="42">
        <v>311630</v>
      </c>
      <c r="H432" s="42">
        <v>64441</v>
      </c>
      <c r="I432" s="42">
        <v>67584</v>
      </c>
      <c r="J432" s="42">
        <v>225275</v>
      </c>
      <c r="K432" s="42">
        <v>522269</v>
      </c>
      <c r="L432" s="42">
        <v>144866</v>
      </c>
      <c r="M432" s="42">
        <v>1740103</v>
      </c>
      <c r="N432" s="42">
        <v>1519610</v>
      </c>
      <c r="O432" s="42">
        <v>30786</v>
      </c>
      <c r="P432" s="42">
        <v>86113</v>
      </c>
      <c r="Q432" s="42">
        <v>240523</v>
      </c>
      <c r="R432" s="42">
        <v>2057590</v>
      </c>
      <c r="S432" s="43">
        <v>54398</v>
      </c>
      <c r="T432" s="42">
        <v>418233</v>
      </c>
    </row>
    <row r="433" spans="1:20" x14ac:dyDescent="0.3">
      <c r="A433" s="49">
        <v>45525</v>
      </c>
      <c r="B433" s="42">
        <v>50112</v>
      </c>
      <c r="C433" s="42">
        <v>199111</v>
      </c>
      <c r="D433" s="42">
        <v>246541</v>
      </c>
      <c r="E433" s="42">
        <v>307769</v>
      </c>
      <c r="F433" s="42">
        <v>703252</v>
      </c>
      <c r="G433" s="42">
        <v>315044</v>
      </c>
      <c r="H433" s="42">
        <v>65055</v>
      </c>
      <c r="I433" s="42">
        <v>67428</v>
      </c>
      <c r="J433" s="42">
        <v>228417</v>
      </c>
      <c r="K433" s="42">
        <v>531699</v>
      </c>
      <c r="L433" s="42">
        <v>146642</v>
      </c>
      <c r="M433" s="42">
        <v>1745449</v>
      </c>
      <c r="N433" s="42">
        <v>1511985</v>
      </c>
      <c r="O433" s="42">
        <v>30861</v>
      </c>
      <c r="P433" s="42">
        <v>86689</v>
      </c>
      <c r="Q433" s="42">
        <v>241549</v>
      </c>
      <c r="R433" s="42">
        <v>2052875</v>
      </c>
      <c r="S433" s="43">
        <v>53669</v>
      </c>
      <c r="T433" s="42">
        <v>422443</v>
      </c>
    </row>
    <row r="434" spans="1:20" x14ac:dyDescent="0.3">
      <c r="A434" s="49">
        <v>45524</v>
      </c>
      <c r="B434" s="42">
        <v>48713</v>
      </c>
      <c r="C434" s="42">
        <v>187631</v>
      </c>
      <c r="D434" s="42">
        <v>232386</v>
      </c>
      <c r="E434" s="42">
        <v>314073</v>
      </c>
      <c r="F434" s="42">
        <v>692503</v>
      </c>
      <c r="G434" s="42">
        <v>316782</v>
      </c>
      <c r="H434" s="42">
        <v>66846</v>
      </c>
      <c r="I434" s="42">
        <v>67104</v>
      </c>
      <c r="J434" s="42">
        <v>228892</v>
      </c>
      <c r="K434" s="42">
        <v>532867</v>
      </c>
      <c r="L434" s="42">
        <v>146986</v>
      </c>
      <c r="M434" s="42">
        <v>1742632</v>
      </c>
      <c r="N434" s="42">
        <v>1518979</v>
      </c>
      <c r="O434" s="42">
        <v>29630</v>
      </c>
      <c r="P434" s="42">
        <v>87145</v>
      </c>
      <c r="Q434" s="42">
        <v>244230</v>
      </c>
      <c r="R434" s="42">
        <v>2050976</v>
      </c>
      <c r="S434" s="43">
        <v>54261</v>
      </c>
      <c r="T434" s="42">
        <v>422671</v>
      </c>
    </row>
    <row r="435" spans="1:20" x14ac:dyDescent="0.3">
      <c r="A435" s="49">
        <v>45523</v>
      </c>
      <c r="B435" s="42">
        <v>47853</v>
      </c>
      <c r="C435" s="42">
        <v>184882</v>
      </c>
      <c r="D435" s="42">
        <v>222092</v>
      </c>
      <c r="E435" s="42">
        <v>321748</v>
      </c>
      <c r="F435" s="42">
        <v>687367</v>
      </c>
      <c r="G435" s="42">
        <v>315122</v>
      </c>
      <c r="H435" s="42">
        <v>68227</v>
      </c>
      <c r="I435" s="42">
        <v>65577</v>
      </c>
      <c r="J435" s="42">
        <v>230163</v>
      </c>
      <c r="K435" s="42">
        <v>526963</v>
      </c>
      <c r="L435" s="42">
        <v>148658</v>
      </c>
      <c r="M435" s="42">
        <v>1739798</v>
      </c>
      <c r="N435" s="42">
        <v>1533935</v>
      </c>
      <c r="O435" s="42">
        <v>28874</v>
      </c>
      <c r="P435" s="42">
        <v>88034</v>
      </c>
      <c r="Q435" s="42">
        <v>243997</v>
      </c>
      <c r="R435" s="42">
        <v>2067575</v>
      </c>
      <c r="S435" s="43">
        <v>54534</v>
      </c>
      <c r="T435" s="42">
        <v>423848</v>
      </c>
    </row>
    <row r="436" spans="1:20" x14ac:dyDescent="0.3">
      <c r="A436" s="49">
        <v>45520</v>
      </c>
      <c r="B436" s="42">
        <v>46043</v>
      </c>
      <c r="C436" s="42">
        <v>183523</v>
      </c>
      <c r="D436" s="42">
        <v>214241</v>
      </c>
      <c r="E436" s="42">
        <v>323717</v>
      </c>
      <c r="F436" s="42">
        <v>682863</v>
      </c>
      <c r="G436" s="42">
        <v>317735</v>
      </c>
      <c r="H436" s="42">
        <v>74487</v>
      </c>
      <c r="I436" s="42">
        <v>65037</v>
      </c>
      <c r="J436" s="42">
        <v>227268</v>
      </c>
      <c r="K436" s="42">
        <v>525957</v>
      </c>
      <c r="L436" s="42">
        <v>148236</v>
      </c>
      <c r="M436" s="42">
        <v>1778936</v>
      </c>
      <c r="N436" s="42">
        <v>1539748</v>
      </c>
      <c r="O436" s="42">
        <v>29581</v>
      </c>
      <c r="P436" s="42">
        <v>87819</v>
      </c>
      <c r="Q436" s="42">
        <v>236499</v>
      </c>
      <c r="R436" s="42">
        <v>2062397</v>
      </c>
      <c r="S436" s="43">
        <v>56541</v>
      </c>
      <c r="T436" s="42">
        <v>424639</v>
      </c>
    </row>
    <row r="437" spans="1:20" x14ac:dyDescent="0.3">
      <c r="A437" s="49">
        <v>45519</v>
      </c>
      <c r="B437" s="42">
        <v>46271</v>
      </c>
      <c r="C437" s="42">
        <v>183304</v>
      </c>
      <c r="D437" s="42">
        <v>210425</v>
      </c>
      <c r="E437" s="42">
        <v>324583</v>
      </c>
      <c r="F437" s="42">
        <v>680882</v>
      </c>
      <c r="G437" s="42">
        <v>307900</v>
      </c>
      <c r="H437" s="42">
        <v>74502</v>
      </c>
      <c r="I437" s="42">
        <v>65585</v>
      </c>
      <c r="J437" s="42">
        <v>229644</v>
      </c>
      <c r="K437" s="42">
        <v>501846</v>
      </c>
      <c r="L437" s="42">
        <v>147839</v>
      </c>
      <c r="M437" s="42">
        <v>1784062</v>
      </c>
      <c r="N437" s="42">
        <v>1520657</v>
      </c>
      <c r="O437" s="42">
        <v>27948</v>
      </c>
      <c r="P437" s="42">
        <v>87107</v>
      </c>
      <c r="Q437" s="42">
        <v>242421</v>
      </c>
      <c r="R437" s="42">
        <v>2060226</v>
      </c>
      <c r="S437" s="43">
        <v>57619</v>
      </c>
      <c r="T437" s="42">
        <v>426693</v>
      </c>
    </row>
    <row r="438" spans="1:20" x14ac:dyDescent="0.3">
      <c r="A438" s="49">
        <v>45518</v>
      </c>
      <c r="B438" s="42">
        <v>45810</v>
      </c>
      <c r="C438" s="42">
        <v>185083</v>
      </c>
      <c r="D438" s="42">
        <v>206344</v>
      </c>
      <c r="E438" s="42">
        <v>321896</v>
      </c>
      <c r="F438" s="42">
        <v>685217</v>
      </c>
      <c r="G438" s="42">
        <v>311524</v>
      </c>
      <c r="H438" s="42">
        <v>71379</v>
      </c>
      <c r="I438" s="42">
        <v>66924</v>
      </c>
      <c r="J438" s="42">
        <v>231065</v>
      </c>
      <c r="K438" s="42">
        <v>501667</v>
      </c>
      <c r="L438" s="42">
        <v>147184</v>
      </c>
      <c r="M438" s="42">
        <v>1791932</v>
      </c>
      <c r="N438" s="42">
        <v>1517758</v>
      </c>
      <c r="O438" s="42">
        <v>27541</v>
      </c>
      <c r="P438" s="42">
        <v>84041</v>
      </c>
      <c r="Q438" s="42">
        <v>243455</v>
      </c>
      <c r="R438" s="42">
        <v>2028257</v>
      </c>
      <c r="S438" s="43">
        <v>55619</v>
      </c>
      <c r="T438" s="42">
        <v>424544</v>
      </c>
    </row>
    <row r="439" spans="1:20" x14ac:dyDescent="0.3">
      <c r="A439" s="49">
        <v>45517</v>
      </c>
      <c r="B439" s="42">
        <v>45236</v>
      </c>
      <c r="C439" s="42">
        <v>188298</v>
      </c>
      <c r="D439" s="42">
        <v>205569</v>
      </c>
      <c r="E439" s="42">
        <v>323167</v>
      </c>
      <c r="F439" s="42">
        <v>667350</v>
      </c>
      <c r="G439" s="42">
        <v>315338</v>
      </c>
      <c r="H439" s="42">
        <v>66596</v>
      </c>
      <c r="I439" s="42">
        <v>65751</v>
      </c>
      <c r="J439" s="42">
        <v>229752</v>
      </c>
      <c r="K439" s="42">
        <v>505872</v>
      </c>
      <c r="L439" s="42">
        <v>147859</v>
      </c>
      <c r="M439" s="42">
        <v>1790876</v>
      </c>
      <c r="N439" s="42">
        <v>1525250</v>
      </c>
      <c r="O439" s="42">
        <v>27874</v>
      </c>
      <c r="P439" s="42">
        <v>81881</v>
      </c>
      <c r="Q439" s="42">
        <v>244061</v>
      </c>
      <c r="R439" s="42">
        <v>2033008</v>
      </c>
      <c r="S439" s="43">
        <v>55881</v>
      </c>
      <c r="T439" s="42">
        <v>423561</v>
      </c>
    </row>
    <row r="440" spans="1:20" x14ac:dyDescent="0.3">
      <c r="A440" s="49">
        <v>45516</v>
      </c>
      <c r="B440" s="42">
        <v>43598</v>
      </c>
      <c r="C440" s="42">
        <v>188233</v>
      </c>
      <c r="D440" s="42">
        <v>201855</v>
      </c>
      <c r="E440" s="42">
        <v>325601</v>
      </c>
      <c r="F440" s="42">
        <v>664226</v>
      </c>
      <c r="G440" s="42">
        <v>313852</v>
      </c>
      <c r="H440" s="42">
        <v>68549</v>
      </c>
      <c r="I440" s="42">
        <v>65472</v>
      </c>
      <c r="J440" s="42">
        <v>232318</v>
      </c>
      <c r="K440" s="42">
        <v>495708</v>
      </c>
      <c r="L440" s="42">
        <v>147133</v>
      </c>
      <c r="M440" s="42">
        <v>1808706</v>
      </c>
      <c r="N440" s="42">
        <v>1505570</v>
      </c>
      <c r="O440" s="42">
        <v>27097</v>
      </c>
      <c r="P440" s="42">
        <v>80650</v>
      </c>
      <c r="Q440" s="42">
        <v>240049</v>
      </c>
      <c r="R440" s="42">
        <v>2008614</v>
      </c>
      <c r="S440" s="43">
        <v>54488</v>
      </c>
      <c r="T440" s="42">
        <v>422306</v>
      </c>
    </row>
    <row r="441" spans="1:20" x14ac:dyDescent="0.3">
      <c r="A441" s="49">
        <v>45513</v>
      </c>
      <c r="B441" s="42">
        <v>43198</v>
      </c>
      <c r="C441" s="42">
        <v>187747</v>
      </c>
      <c r="D441" s="42">
        <v>204556</v>
      </c>
      <c r="E441" s="42">
        <v>328995</v>
      </c>
      <c r="F441" s="42">
        <v>663499</v>
      </c>
      <c r="G441" s="42">
        <v>313623</v>
      </c>
      <c r="H441" s="42">
        <v>67320</v>
      </c>
      <c r="I441" s="42">
        <v>64868</v>
      </c>
      <c r="J441" s="42">
        <v>235855</v>
      </c>
      <c r="K441" s="42">
        <v>482596</v>
      </c>
      <c r="L441" s="42">
        <v>146077</v>
      </c>
      <c r="M441" s="42">
        <v>1786775</v>
      </c>
      <c r="N441" s="42">
        <v>1512521</v>
      </c>
      <c r="O441" s="42">
        <v>27342</v>
      </c>
      <c r="P441" s="42">
        <v>81251</v>
      </c>
      <c r="Q441" s="42">
        <v>237122</v>
      </c>
      <c r="R441" s="42">
        <v>2006915</v>
      </c>
      <c r="S441" s="43">
        <v>54301</v>
      </c>
      <c r="T441" s="42">
        <v>420904</v>
      </c>
    </row>
    <row r="442" spans="1:20" x14ac:dyDescent="0.3">
      <c r="A442" s="49">
        <v>45512</v>
      </c>
      <c r="B442" s="42">
        <v>42911</v>
      </c>
      <c r="C442" s="42">
        <v>188064</v>
      </c>
      <c r="D442" s="42">
        <v>206818</v>
      </c>
      <c r="E442" s="42">
        <v>326295</v>
      </c>
      <c r="F442" s="42">
        <v>661165</v>
      </c>
      <c r="G442" s="42">
        <v>305517</v>
      </c>
      <c r="H442" s="42">
        <v>69959</v>
      </c>
      <c r="I442" s="42">
        <v>66046</v>
      </c>
      <c r="J442" s="42">
        <v>240521</v>
      </c>
      <c r="K442" s="42">
        <v>480120</v>
      </c>
      <c r="L442" s="42">
        <v>146006</v>
      </c>
      <c r="M442" s="42">
        <v>1785307</v>
      </c>
      <c r="N442" s="42">
        <v>1534113</v>
      </c>
      <c r="O442" s="42">
        <v>27769</v>
      </c>
      <c r="P442" s="42">
        <v>82576</v>
      </c>
      <c r="Q442" s="42">
        <v>241713</v>
      </c>
      <c r="R442" s="42">
        <v>2012904</v>
      </c>
      <c r="S442" s="43">
        <v>56062</v>
      </c>
      <c r="T442" s="42">
        <v>430558</v>
      </c>
    </row>
    <row r="443" spans="1:20" x14ac:dyDescent="0.3">
      <c r="A443" s="49">
        <v>45511</v>
      </c>
      <c r="B443" s="42">
        <v>42480</v>
      </c>
      <c r="C443" s="42">
        <v>191621</v>
      </c>
      <c r="D443" s="42">
        <v>213476</v>
      </c>
      <c r="E443" s="42">
        <v>329769</v>
      </c>
      <c r="F443" s="42">
        <v>664949</v>
      </c>
      <c r="G443" s="42">
        <v>302474</v>
      </c>
      <c r="H443" s="42">
        <v>71154</v>
      </c>
      <c r="I443" s="42">
        <v>67588</v>
      </c>
      <c r="J443" s="42">
        <v>243527</v>
      </c>
      <c r="K443" s="42">
        <v>478618</v>
      </c>
      <c r="L443" s="42">
        <v>147249</v>
      </c>
      <c r="M443" s="42">
        <v>1798494</v>
      </c>
      <c r="N443" s="42">
        <v>1551250</v>
      </c>
      <c r="O443" s="42">
        <v>27355</v>
      </c>
      <c r="P443" s="42">
        <v>84573</v>
      </c>
      <c r="Q443" s="42">
        <v>247025</v>
      </c>
      <c r="R443" s="42">
        <v>2020989</v>
      </c>
      <c r="S443" s="43">
        <v>58290</v>
      </c>
      <c r="T443" s="42">
        <v>428191</v>
      </c>
    </row>
    <row r="444" spans="1:20" x14ac:dyDescent="0.3">
      <c r="A444" s="49">
        <v>45510</v>
      </c>
      <c r="B444" s="42">
        <v>42026</v>
      </c>
      <c r="C444" s="42">
        <v>192634</v>
      </c>
      <c r="D444" s="42">
        <v>224042</v>
      </c>
      <c r="E444" s="42">
        <v>335120</v>
      </c>
      <c r="F444" s="42">
        <v>671104</v>
      </c>
      <c r="G444" s="42">
        <v>298937</v>
      </c>
      <c r="H444" s="42">
        <v>74141</v>
      </c>
      <c r="I444" s="42">
        <v>68503</v>
      </c>
      <c r="J444" s="42">
        <v>249019</v>
      </c>
      <c r="K444" s="42">
        <v>480645</v>
      </c>
      <c r="L444" s="42">
        <v>147537</v>
      </c>
      <c r="M444" s="42">
        <v>1828846</v>
      </c>
      <c r="N444" s="42">
        <v>1587318</v>
      </c>
      <c r="O444" s="42">
        <v>27535</v>
      </c>
      <c r="P444" s="42">
        <v>84440</v>
      </c>
      <c r="Q444" s="42">
        <v>249366</v>
      </c>
      <c r="R444" s="42">
        <v>2025834</v>
      </c>
      <c r="S444" s="43">
        <v>60883</v>
      </c>
      <c r="T444" s="42">
        <v>462950</v>
      </c>
    </row>
    <row r="445" spans="1:20" x14ac:dyDescent="0.3">
      <c r="A445" s="49">
        <v>45509</v>
      </c>
      <c r="B445" s="42">
        <v>42415</v>
      </c>
      <c r="C445" s="42">
        <v>199519</v>
      </c>
      <c r="D445" s="42">
        <v>230741</v>
      </c>
      <c r="E445" s="42">
        <v>339138</v>
      </c>
      <c r="F445" s="42">
        <v>681595</v>
      </c>
      <c r="G445" s="42">
        <v>299802</v>
      </c>
      <c r="H445" s="42">
        <v>76249</v>
      </c>
      <c r="I445" s="42">
        <v>74523</v>
      </c>
      <c r="J445" s="42">
        <v>250900</v>
      </c>
      <c r="K445" s="42">
        <v>487849</v>
      </c>
      <c r="L445" s="42">
        <v>149836</v>
      </c>
      <c r="M445" s="42">
        <v>1824633</v>
      </c>
      <c r="N445" s="42">
        <v>1595683</v>
      </c>
      <c r="O445" s="42">
        <v>27246</v>
      </c>
      <c r="P445" s="42">
        <v>88225</v>
      </c>
      <c r="Q445" s="42">
        <v>256998</v>
      </c>
      <c r="R445" s="42">
        <v>2058492</v>
      </c>
      <c r="S445" s="43">
        <v>68952</v>
      </c>
      <c r="T445" s="42">
        <v>473075</v>
      </c>
    </row>
    <row r="446" spans="1:20" x14ac:dyDescent="0.3">
      <c r="A446" s="49">
        <v>45506</v>
      </c>
      <c r="B446" s="42">
        <v>42820</v>
      </c>
      <c r="C446" s="42">
        <v>199497</v>
      </c>
      <c r="D446" s="42">
        <v>243659</v>
      </c>
      <c r="E446" s="42">
        <v>349752</v>
      </c>
      <c r="F446" s="42">
        <v>676206</v>
      </c>
      <c r="G446" s="42">
        <v>309053</v>
      </c>
      <c r="H446" s="42">
        <v>76670</v>
      </c>
      <c r="I446" s="42">
        <v>80146</v>
      </c>
      <c r="J446" s="42">
        <v>256261</v>
      </c>
      <c r="K446" s="42">
        <v>507517</v>
      </c>
      <c r="L446" s="42">
        <v>153135</v>
      </c>
      <c r="M446" s="42">
        <v>1848077</v>
      </c>
      <c r="N446" s="42">
        <v>1600830</v>
      </c>
      <c r="O446" s="42">
        <v>27499</v>
      </c>
      <c r="P446" s="42">
        <v>91521</v>
      </c>
      <c r="Q446" s="42">
        <v>249602</v>
      </c>
      <c r="R446" s="42">
        <v>2032846</v>
      </c>
      <c r="S446" s="43">
        <v>64068</v>
      </c>
      <c r="T446" s="42">
        <v>471043</v>
      </c>
    </row>
    <row r="447" spans="1:20" x14ac:dyDescent="0.3">
      <c r="A447" s="49">
        <v>45505</v>
      </c>
      <c r="B447" s="42">
        <v>39076</v>
      </c>
      <c r="C447" s="42">
        <v>204960</v>
      </c>
      <c r="D447" s="42">
        <v>253082</v>
      </c>
      <c r="E447" s="42">
        <v>354934</v>
      </c>
      <c r="F447" s="42">
        <v>666625</v>
      </c>
      <c r="G447" s="42">
        <v>310872</v>
      </c>
      <c r="H447" s="42">
        <v>76797</v>
      </c>
      <c r="I447" s="42">
        <v>83924</v>
      </c>
      <c r="J447" s="42">
        <v>256810</v>
      </c>
      <c r="K447" s="42">
        <v>512329</v>
      </c>
      <c r="L447" s="42">
        <v>152276</v>
      </c>
      <c r="M447" s="42">
        <v>1820851</v>
      </c>
      <c r="N447" s="42">
        <v>1592601</v>
      </c>
      <c r="O447" s="42">
        <v>27575</v>
      </c>
      <c r="P447" s="42">
        <v>92755</v>
      </c>
      <c r="Q447" s="42">
        <v>243765</v>
      </c>
      <c r="R447" s="42">
        <v>2043646</v>
      </c>
      <c r="S447" s="43">
        <v>62922</v>
      </c>
      <c r="T447" s="42">
        <v>476758</v>
      </c>
    </row>
    <row r="448" spans="1:20" x14ac:dyDescent="0.3">
      <c r="A448" s="49">
        <v>45504</v>
      </c>
      <c r="B448" s="42">
        <v>39806</v>
      </c>
      <c r="C448" s="42">
        <v>207107</v>
      </c>
      <c r="D448" s="42">
        <v>267928</v>
      </c>
      <c r="E448" s="42">
        <v>351631</v>
      </c>
      <c r="F448" s="42">
        <v>663604</v>
      </c>
      <c r="G448" s="42">
        <v>307676</v>
      </c>
      <c r="H448" s="42">
        <v>78208</v>
      </c>
      <c r="I448" s="42">
        <v>85662</v>
      </c>
      <c r="J448" s="42">
        <v>261275</v>
      </c>
      <c r="K448" s="42">
        <v>504204</v>
      </c>
      <c r="L448" s="42">
        <v>151288</v>
      </c>
      <c r="M448" s="42">
        <v>1810095</v>
      </c>
      <c r="N448" s="42">
        <v>1570975</v>
      </c>
      <c r="O448" s="42">
        <v>28133</v>
      </c>
      <c r="P448" s="42">
        <v>95793</v>
      </c>
      <c r="Q448" s="42">
        <v>246164</v>
      </c>
      <c r="R448" s="42">
        <v>2059469</v>
      </c>
      <c r="S448" s="43">
        <v>55860</v>
      </c>
      <c r="T448" s="42">
        <v>472586</v>
      </c>
    </row>
    <row r="449" spans="1:20" x14ac:dyDescent="0.3">
      <c r="A449" s="49">
        <v>45503</v>
      </c>
      <c r="B449" s="42">
        <v>39266</v>
      </c>
      <c r="C449" s="42">
        <v>205852</v>
      </c>
      <c r="D449" s="42">
        <v>268554</v>
      </c>
      <c r="E449" s="42">
        <v>351856</v>
      </c>
      <c r="F449" s="42">
        <v>667299</v>
      </c>
      <c r="G449" s="42">
        <v>303151</v>
      </c>
      <c r="H449" s="42">
        <v>76323</v>
      </c>
      <c r="I449" s="42">
        <v>85475</v>
      </c>
      <c r="J449" s="42">
        <v>260246</v>
      </c>
      <c r="K449" s="42">
        <v>510914</v>
      </c>
      <c r="L449" s="42">
        <v>151437</v>
      </c>
      <c r="M449" s="42">
        <v>1787630</v>
      </c>
      <c r="N449" s="42">
        <v>1547767</v>
      </c>
      <c r="O449" s="42">
        <v>28605</v>
      </c>
      <c r="P449" s="42">
        <v>92185</v>
      </c>
      <c r="Q449" s="42">
        <v>256592</v>
      </c>
      <c r="R449" s="42">
        <v>2046205</v>
      </c>
      <c r="S449" s="43">
        <v>53716</v>
      </c>
      <c r="T449" s="42">
        <v>473107</v>
      </c>
    </row>
    <row r="450" spans="1:20" x14ac:dyDescent="0.3">
      <c r="A450" s="49">
        <v>45502</v>
      </c>
      <c r="B450" s="42">
        <v>38928</v>
      </c>
      <c r="C450" s="42">
        <v>205550</v>
      </c>
      <c r="D450" s="42">
        <v>272851</v>
      </c>
      <c r="E450" s="42">
        <v>345844</v>
      </c>
      <c r="F450" s="42">
        <v>667503</v>
      </c>
      <c r="G450" s="42">
        <v>299499</v>
      </c>
      <c r="H450" s="42">
        <v>74450</v>
      </c>
      <c r="I450" s="42">
        <v>85125</v>
      </c>
      <c r="J450" s="42">
        <v>256910</v>
      </c>
      <c r="K450" s="42">
        <v>509220</v>
      </c>
      <c r="L450" s="42">
        <v>152221</v>
      </c>
      <c r="M450" s="42">
        <v>1828368</v>
      </c>
      <c r="N450" s="42">
        <v>1537715</v>
      </c>
      <c r="O450" s="42">
        <v>31163</v>
      </c>
      <c r="P450" s="42">
        <v>91656</v>
      </c>
      <c r="Q450" s="42">
        <v>255625</v>
      </c>
      <c r="R450" s="42">
        <v>2021288</v>
      </c>
      <c r="S450" s="43">
        <v>53489</v>
      </c>
      <c r="T450" s="42">
        <v>474060</v>
      </c>
    </row>
    <row r="451" spans="1:20" x14ac:dyDescent="0.3">
      <c r="A451" s="49">
        <v>45499</v>
      </c>
      <c r="B451" s="42">
        <v>38651</v>
      </c>
      <c r="C451" s="42">
        <v>210417</v>
      </c>
      <c r="D451" s="42">
        <v>280028</v>
      </c>
      <c r="E451" s="42">
        <v>342215</v>
      </c>
      <c r="F451" s="42">
        <v>669278</v>
      </c>
      <c r="G451" s="42">
        <v>301601</v>
      </c>
      <c r="H451" s="42">
        <v>72235</v>
      </c>
      <c r="I451" s="42">
        <v>85908</v>
      </c>
      <c r="J451" s="42">
        <v>255167</v>
      </c>
      <c r="K451" s="42">
        <v>519603</v>
      </c>
      <c r="L451" s="42">
        <v>152552</v>
      </c>
      <c r="M451" s="42">
        <v>1839418</v>
      </c>
      <c r="N451" s="42">
        <v>1518222</v>
      </c>
      <c r="O451" s="42">
        <v>31364</v>
      </c>
      <c r="P451" s="42">
        <v>92858</v>
      </c>
      <c r="Q451" s="42">
        <v>250693</v>
      </c>
      <c r="R451" s="42">
        <v>2012095</v>
      </c>
      <c r="S451" s="43">
        <v>54955</v>
      </c>
      <c r="T451" s="42">
        <v>473065</v>
      </c>
    </row>
    <row r="452" spans="1:20" x14ac:dyDescent="0.3">
      <c r="A452" s="49">
        <v>45498</v>
      </c>
      <c r="B452" s="42">
        <v>38572</v>
      </c>
      <c r="C452" s="42">
        <v>217737</v>
      </c>
      <c r="D452" s="42">
        <v>284375</v>
      </c>
      <c r="E452" s="42">
        <v>333156</v>
      </c>
      <c r="F452" s="42">
        <v>669340</v>
      </c>
      <c r="G452" s="42">
        <v>302429</v>
      </c>
      <c r="H452" s="42">
        <v>71465</v>
      </c>
      <c r="I452" s="42">
        <v>88439</v>
      </c>
      <c r="J452" s="42">
        <v>255007</v>
      </c>
      <c r="K452" s="42">
        <v>537014</v>
      </c>
      <c r="L452" s="42">
        <v>154075</v>
      </c>
      <c r="M452" s="42">
        <v>1854492</v>
      </c>
      <c r="N452" s="42">
        <v>1535035</v>
      </c>
      <c r="O452" s="42">
        <v>30060</v>
      </c>
      <c r="P452" s="42">
        <v>89401</v>
      </c>
      <c r="Q452" s="42">
        <v>249505</v>
      </c>
      <c r="R452" s="42">
        <v>2027847</v>
      </c>
      <c r="S452" s="43">
        <v>61772</v>
      </c>
      <c r="T452" s="42">
        <v>475927</v>
      </c>
    </row>
    <row r="453" spans="1:20" x14ac:dyDescent="0.3">
      <c r="A453" s="49">
        <v>45497</v>
      </c>
      <c r="B453" s="42">
        <v>38466</v>
      </c>
      <c r="C453" s="42">
        <v>226571</v>
      </c>
      <c r="D453" s="42">
        <v>288362</v>
      </c>
      <c r="E453" s="42">
        <v>328577</v>
      </c>
      <c r="F453" s="42">
        <v>671216</v>
      </c>
      <c r="G453" s="42">
        <v>307329</v>
      </c>
      <c r="H453" s="42">
        <v>66369</v>
      </c>
      <c r="I453" s="42">
        <v>91488</v>
      </c>
      <c r="J453" s="42">
        <v>260061</v>
      </c>
      <c r="K453" s="42">
        <v>570941</v>
      </c>
      <c r="L453" s="42">
        <v>156489</v>
      </c>
      <c r="M453" s="42">
        <v>1843077</v>
      </c>
      <c r="N453" s="42">
        <v>1533732</v>
      </c>
      <c r="O453" s="42">
        <v>31369</v>
      </c>
      <c r="P453" s="42">
        <v>91881</v>
      </c>
      <c r="Q453" s="42">
        <v>251181</v>
      </c>
      <c r="R453" s="42">
        <v>2039667</v>
      </c>
      <c r="S453" s="43">
        <v>59924</v>
      </c>
      <c r="T453" s="42">
        <v>482645</v>
      </c>
    </row>
    <row r="454" spans="1:20" x14ac:dyDescent="0.3">
      <c r="A454" s="49">
        <v>45496</v>
      </c>
      <c r="B454" s="42">
        <v>38818</v>
      </c>
      <c r="C454" s="42">
        <v>226258</v>
      </c>
      <c r="D454" s="42">
        <v>289241</v>
      </c>
      <c r="E454" s="42">
        <v>315684</v>
      </c>
      <c r="F454" s="42">
        <v>672022</v>
      </c>
      <c r="G454" s="42">
        <v>307183</v>
      </c>
      <c r="H454" s="42">
        <v>63589</v>
      </c>
      <c r="I454" s="42">
        <v>92633</v>
      </c>
      <c r="J454" s="42">
        <v>254535</v>
      </c>
      <c r="K454" s="42">
        <v>572306</v>
      </c>
      <c r="L454" s="42">
        <v>157106</v>
      </c>
      <c r="M454" s="42">
        <v>1809094</v>
      </c>
      <c r="N454" s="42">
        <v>1532886</v>
      </c>
      <c r="O454" s="42">
        <v>32435</v>
      </c>
      <c r="P454" s="42">
        <v>91047</v>
      </c>
      <c r="Q454" s="42">
        <v>243913</v>
      </c>
      <c r="R454" s="42">
        <v>2047183</v>
      </c>
      <c r="S454" s="43">
        <v>56694</v>
      </c>
      <c r="T454" s="42">
        <v>475957</v>
      </c>
    </row>
    <row r="455" spans="1:20" x14ac:dyDescent="0.3">
      <c r="A455" s="49">
        <v>45495</v>
      </c>
      <c r="B455" s="42">
        <v>38892</v>
      </c>
      <c r="C455" s="42">
        <v>226631</v>
      </c>
      <c r="D455" s="42">
        <v>290246</v>
      </c>
      <c r="E455" s="42">
        <v>309737</v>
      </c>
      <c r="F455" s="42">
        <v>683633</v>
      </c>
      <c r="G455" s="42">
        <v>301950</v>
      </c>
      <c r="H455" s="42">
        <v>60924</v>
      </c>
      <c r="I455" s="42">
        <v>92063</v>
      </c>
      <c r="J455" s="42">
        <v>257038</v>
      </c>
      <c r="K455" s="42">
        <v>585067</v>
      </c>
      <c r="L455" s="42">
        <v>158141</v>
      </c>
      <c r="M455" s="42">
        <v>1805250</v>
      </c>
      <c r="N455" s="42">
        <v>1541793</v>
      </c>
      <c r="O455" s="42">
        <v>33241</v>
      </c>
      <c r="P455" s="42">
        <v>90862</v>
      </c>
      <c r="Q455" s="42">
        <v>249767</v>
      </c>
      <c r="R455" s="42">
        <v>2061435</v>
      </c>
      <c r="S455" s="43">
        <v>57708</v>
      </c>
      <c r="T455" s="42">
        <v>470118</v>
      </c>
    </row>
    <row r="456" spans="1:20" x14ac:dyDescent="0.3">
      <c r="A456" s="49">
        <v>45492</v>
      </c>
      <c r="B456" s="42">
        <v>39569</v>
      </c>
      <c r="C456" s="42">
        <v>226193</v>
      </c>
      <c r="D456" s="42">
        <v>286309</v>
      </c>
      <c r="E456" s="42">
        <v>301734</v>
      </c>
      <c r="F456" s="42">
        <v>677029</v>
      </c>
      <c r="G456" s="42">
        <v>299308</v>
      </c>
      <c r="H456" s="42">
        <v>59726</v>
      </c>
      <c r="I456" s="42">
        <v>92674</v>
      </c>
      <c r="J456" s="42">
        <v>259839</v>
      </c>
      <c r="K456" s="42">
        <v>584673</v>
      </c>
      <c r="L456" s="42">
        <v>159702</v>
      </c>
      <c r="M456" s="42">
        <v>1837768</v>
      </c>
      <c r="N456" s="42">
        <v>1547785</v>
      </c>
      <c r="O456" s="42">
        <v>33559</v>
      </c>
      <c r="P456" s="42">
        <v>92629</v>
      </c>
      <c r="Q456" s="42">
        <v>250090</v>
      </c>
      <c r="R456" s="42">
        <v>2075872</v>
      </c>
      <c r="S456" s="43">
        <v>58481</v>
      </c>
      <c r="T456" s="42">
        <v>476321</v>
      </c>
    </row>
    <row r="457" spans="1:20" x14ac:dyDescent="0.3">
      <c r="A457" s="49">
        <v>45491</v>
      </c>
      <c r="B457" s="42">
        <v>40021</v>
      </c>
      <c r="C457" s="42">
        <v>227312</v>
      </c>
      <c r="D457" s="42">
        <v>285628</v>
      </c>
      <c r="E457" s="42">
        <v>296114</v>
      </c>
      <c r="F457" s="42">
        <v>662648</v>
      </c>
      <c r="G457" s="42">
        <v>303089</v>
      </c>
      <c r="H457" s="42">
        <v>59609</v>
      </c>
      <c r="I457" s="42">
        <v>92228</v>
      </c>
      <c r="J457" s="42">
        <v>257945</v>
      </c>
      <c r="K457" s="42">
        <v>598013</v>
      </c>
      <c r="L457" s="42">
        <v>162601</v>
      </c>
      <c r="M457" s="42">
        <v>1846193</v>
      </c>
      <c r="N457" s="42">
        <v>1554096</v>
      </c>
      <c r="O457" s="42">
        <v>31979</v>
      </c>
      <c r="P457" s="42">
        <v>94984</v>
      </c>
      <c r="Q457" s="42">
        <v>251550</v>
      </c>
      <c r="R457" s="42">
        <v>2076722</v>
      </c>
      <c r="S457" s="43">
        <v>56895</v>
      </c>
      <c r="T457" s="42">
        <v>485294</v>
      </c>
    </row>
    <row r="458" spans="1:20" x14ac:dyDescent="0.3">
      <c r="A458" s="49">
        <v>45490</v>
      </c>
      <c r="B458" s="42">
        <v>39425</v>
      </c>
      <c r="C458" s="42">
        <v>227907</v>
      </c>
      <c r="D458" s="42">
        <v>278586</v>
      </c>
      <c r="E458" s="42">
        <v>284309</v>
      </c>
      <c r="F458" s="42">
        <v>659301</v>
      </c>
      <c r="G458" s="42">
        <v>301200</v>
      </c>
      <c r="H458" s="42">
        <v>57862</v>
      </c>
      <c r="I458" s="42">
        <v>94392</v>
      </c>
      <c r="J458" s="42">
        <v>267126</v>
      </c>
      <c r="K458" s="42">
        <v>592259</v>
      </c>
      <c r="L458" s="42">
        <v>165019</v>
      </c>
      <c r="M458" s="42">
        <v>1835794</v>
      </c>
      <c r="N458" s="42">
        <v>1589330</v>
      </c>
      <c r="O458" s="42">
        <v>31726</v>
      </c>
      <c r="P458" s="42">
        <v>99384</v>
      </c>
      <c r="Q458" s="42">
        <v>255866</v>
      </c>
      <c r="R458" s="42">
        <v>2084165</v>
      </c>
      <c r="S458" s="43">
        <v>58181</v>
      </c>
      <c r="T458" s="42">
        <v>488061</v>
      </c>
    </row>
    <row r="459" spans="1:20" x14ac:dyDescent="0.3">
      <c r="A459" s="49">
        <v>45489</v>
      </c>
      <c r="B459" s="42">
        <v>38651</v>
      </c>
      <c r="C459" s="42">
        <v>230506</v>
      </c>
      <c r="D459" s="42">
        <v>281827</v>
      </c>
      <c r="E459" s="42">
        <v>280941</v>
      </c>
      <c r="F459" s="42">
        <v>650926</v>
      </c>
      <c r="G459" s="42">
        <v>309743</v>
      </c>
      <c r="H459" s="42">
        <v>60953</v>
      </c>
      <c r="I459" s="42">
        <v>98671</v>
      </c>
      <c r="J459" s="42">
        <v>270330</v>
      </c>
      <c r="K459" s="42">
        <v>579862</v>
      </c>
      <c r="L459" s="42">
        <v>166641</v>
      </c>
      <c r="M459" s="42">
        <v>1831212</v>
      </c>
      <c r="N459" s="42">
        <v>1589266</v>
      </c>
      <c r="O459" s="42">
        <v>31183</v>
      </c>
      <c r="P459" s="42">
        <v>99652</v>
      </c>
      <c r="Q459" s="42">
        <v>256571</v>
      </c>
      <c r="R459" s="42">
        <v>2090007</v>
      </c>
      <c r="S459" s="43">
        <v>56688</v>
      </c>
      <c r="T459" s="42">
        <v>471945</v>
      </c>
    </row>
    <row r="460" spans="1:20" x14ac:dyDescent="0.3">
      <c r="A460" s="49">
        <v>45488</v>
      </c>
      <c r="B460" s="42">
        <v>39093</v>
      </c>
      <c r="C460" s="42">
        <v>232894</v>
      </c>
      <c r="D460" s="42">
        <v>270151</v>
      </c>
      <c r="E460" s="42">
        <v>275304</v>
      </c>
      <c r="F460" s="42">
        <v>646292</v>
      </c>
      <c r="G460" s="42">
        <v>316474</v>
      </c>
      <c r="H460" s="42">
        <v>59970</v>
      </c>
      <c r="I460" s="42">
        <v>97556</v>
      </c>
      <c r="J460" s="42">
        <v>272206</v>
      </c>
      <c r="K460" s="42">
        <v>564121</v>
      </c>
      <c r="L460" s="42">
        <v>163381</v>
      </c>
      <c r="M460" s="42">
        <v>1800145</v>
      </c>
      <c r="N460" s="42">
        <v>1586533</v>
      </c>
      <c r="O460" s="42">
        <v>31031</v>
      </c>
      <c r="P460" s="42">
        <v>94606</v>
      </c>
      <c r="Q460" s="42">
        <v>254662</v>
      </c>
      <c r="R460" s="42">
        <v>2085881</v>
      </c>
      <c r="S460" s="43">
        <v>58485</v>
      </c>
      <c r="T460" s="42">
        <v>468023</v>
      </c>
    </row>
    <row r="461" spans="1:20" x14ac:dyDescent="0.3">
      <c r="A461" s="49">
        <v>45485</v>
      </c>
      <c r="B461" s="42">
        <v>40248</v>
      </c>
      <c r="C461" s="42">
        <v>233691</v>
      </c>
      <c r="D461" s="42">
        <v>249656</v>
      </c>
      <c r="E461" s="42">
        <v>264839</v>
      </c>
      <c r="F461" s="42">
        <v>644626</v>
      </c>
      <c r="G461" s="42">
        <v>317634</v>
      </c>
      <c r="H461" s="42">
        <v>58323</v>
      </c>
      <c r="I461" s="42">
        <v>95559</v>
      </c>
      <c r="J461" s="42">
        <v>271834</v>
      </c>
      <c r="K461" s="42">
        <v>549496</v>
      </c>
      <c r="L461" s="42">
        <v>162892</v>
      </c>
      <c r="M461" s="42">
        <v>1792528</v>
      </c>
      <c r="N461" s="42">
        <v>1570405</v>
      </c>
      <c r="O461" s="42">
        <v>29081</v>
      </c>
      <c r="P461" s="42">
        <v>95374</v>
      </c>
      <c r="Q461" s="42">
        <v>259002</v>
      </c>
      <c r="R461" s="42">
        <v>2078774</v>
      </c>
      <c r="S461" s="43">
        <v>58461</v>
      </c>
      <c r="T461" s="42">
        <v>458661</v>
      </c>
    </row>
    <row r="462" spans="1:20" x14ac:dyDescent="0.3">
      <c r="A462" s="49">
        <v>45484</v>
      </c>
      <c r="B462" s="42">
        <v>42236</v>
      </c>
      <c r="C462" s="42">
        <v>227495</v>
      </c>
      <c r="D462" s="42">
        <v>237185</v>
      </c>
      <c r="E462" s="42">
        <v>261034</v>
      </c>
      <c r="F462" s="42">
        <v>644056</v>
      </c>
      <c r="G462" s="42">
        <v>332772</v>
      </c>
      <c r="H462" s="42">
        <v>59290</v>
      </c>
      <c r="I462" s="42">
        <v>94437</v>
      </c>
      <c r="J462" s="42">
        <v>268470</v>
      </c>
      <c r="K462" s="42">
        <v>556967</v>
      </c>
      <c r="L462" s="42">
        <v>165180</v>
      </c>
      <c r="M462" s="42">
        <v>1797320</v>
      </c>
      <c r="N462" s="42">
        <v>1557211</v>
      </c>
      <c r="O462" s="42">
        <v>28388</v>
      </c>
      <c r="P462" s="42">
        <v>90093</v>
      </c>
      <c r="Q462" s="42">
        <v>262908</v>
      </c>
      <c r="R462" s="42">
        <v>2059871</v>
      </c>
      <c r="S462" s="43">
        <v>56930</v>
      </c>
      <c r="T462" s="42">
        <v>448022</v>
      </c>
    </row>
    <row r="463" spans="1:20" x14ac:dyDescent="0.3">
      <c r="A463" s="49">
        <v>45483</v>
      </c>
      <c r="B463" s="42">
        <v>43233</v>
      </c>
      <c r="C463" s="42">
        <v>226449</v>
      </c>
      <c r="D463" s="42">
        <v>227602</v>
      </c>
      <c r="E463" s="42">
        <v>259583</v>
      </c>
      <c r="F463" s="42">
        <v>636701</v>
      </c>
      <c r="G463" s="42">
        <v>348351</v>
      </c>
      <c r="H463" s="42">
        <v>61534</v>
      </c>
      <c r="I463" s="42">
        <v>96039</v>
      </c>
      <c r="J463" s="42">
        <v>269112</v>
      </c>
      <c r="K463" s="42">
        <v>528741</v>
      </c>
      <c r="L463" s="42">
        <v>164014</v>
      </c>
      <c r="M463" s="42">
        <v>1789876</v>
      </c>
      <c r="N463" s="42">
        <v>1556531</v>
      </c>
      <c r="O463" s="42">
        <v>28129</v>
      </c>
      <c r="P463" s="42">
        <v>88780</v>
      </c>
      <c r="Q463" s="42">
        <v>273660</v>
      </c>
      <c r="R463" s="42">
        <v>2067409</v>
      </c>
      <c r="S463" s="43">
        <v>57062</v>
      </c>
      <c r="T463" s="42">
        <v>447956</v>
      </c>
    </row>
    <row r="464" spans="1:20" x14ac:dyDescent="0.3">
      <c r="A464" s="49">
        <v>45482</v>
      </c>
      <c r="B464" s="42">
        <v>43263</v>
      </c>
      <c r="C464" s="42">
        <v>225017</v>
      </c>
      <c r="D464" s="42">
        <v>224179</v>
      </c>
      <c r="E464" s="42">
        <v>257288</v>
      </c>
      <c r="F464" s="42">
        <v>637266</v>
      </c>
      <c r="G464" s="42">
        <v>348954</v>
      </c>
      <c r="H464" s="42">
        <v>59513</v>
      </c>
      <c r="I464" s="42">
        <v>93433</v>
      </c>
      <c r="J464" s="42">
        <v>263869</v>
      </c>
      <c r="K464" s="42">
        <v>516324</v>
      </c>
      <c r="L464" s="42">
        <v>163245</v>
      </c>
      <c r="M464" s="42">
        <v>1767729</v>
      </c>
      <c r="N464" s="42">
        <v>1550344</v>
      </c>
      <c r="O464" s="42">
        <v>28241</v>
      </c>
      <c r="P464" s="42">
        <v>88307</v>
      </c>
      <c r="Q464" s="42">
        <v>264298</v>
      </c>
      <c r="R464" s="42">
        <v>2048220</v>
      </c>
      <c r="S464" s="43">
        <v>61782</v>
      </c>
      <c r="T464" s="42">
        <v>444388</v>
      </c>
    </row>
    <row r="465" spans="1:20" x14ac:dyDescent="0.3">
      <c r="A465" s="49">
        <v>45481</v>
      </c>
      <c r="B465" s="42">
        <v>43445</v>
      </c>
      <c r="C465" s="42">
        <v>225196</v>
      </c>
      <c r="D465" s="42">
        <v>222338</v>
      </c>
      <c r="E465" s="42">
        <v>257465</v>
      </c>
      <c r="F465" s="42">
        <v>636981</v>
      </c>
      <c r="G465" s="42">
        <v>344578</v>
      </c>
      <c r="H465" s="42">
        <v>60415</v>
      </c>
      <c r="I465" s="42">
        <v>93838</v>
      </c>
      <c r="J465" s="42">
        <v>262481</v>
      </c>
      <c r="K465" s="42">
        <v>510067</v>
      </c>
      <c r="L465" s="42">
        <v>162287</v>
      </c>
      <c r="M465" s="42">
        <v>1753330</v>
      </c>
      <c r="N465" s="42">
        <v>1541556</v>
      </c>
      <c r="O465" s="42">
        <v>27786</v>
      </c>
      <c r="P465" s="42">
        <v>88772</v>
      </c>
      <c r="Q465" s="42">
        <v>260956</v>
      </c>
      <c r="R465" s="42">
        <v>2047817</v>
      </c>
      <c r="S465" s="43">
        <v>58740</v>
      </c>
      <c r="T465" s="42">
        <v>460951</v>
      </c>
    </row>
    <row r="466" spans="1:20" x14ac:dyDescent="0.3">
      <c r="A466" s="49">
        <v>45478</v>
      </c>
      <c r="B466" s="42">
        <v>44224</v>
      </c>
      <c r="C466" s="42">
        <v>217295</v>
      </c>
      <c r="D466" s="42">
        <v>205721</v>
      </c>
      <c r="E466" s="42">
        <v>257319</v>
      </c>
      <c r="F466" s="42">
        <v>636027</v>
      </c>
      <c r="G466" s="42">
        <v>343386</v>
      </c>
      <c r="H466" s="42">
        <v>60183</v>
      </c>
      <c r="I466" s="42">
        <v>94871</v>
      </c>
      <c r="J466" s="42">
        <v>262401</v>
      </c>
      <c r="K466" s="42">
        <v>507642</v>
      </c>
      <c r="L466" s="42">
        <v>161730</v>
      </c>
      <c r="M466" s="42">
        <v>1730089</v>
      </c>
      <c r="N466" s="42">
        <v>1527924</v>
      </c>
      <c r="O466" s="42">
        <v>27376</v>
      </c>
      <c r="P466" s="42">
        <v>85881</v>
      </c>
      <c r="Q466" s="42">
        <v>266272</v>
      </c>
      <c r="R466" s="42">
        <v>2054995</v>
      </c>
      <c r="S466" s="43">
        <v>60259</v>
      </c>
      <c r="T466" s="42">
        <v>452321</v>
      </c>
    </row>
    <row r="467" spans="1:20" x14ac:dyDescent="0.3">
      <c r="A467" s="49">
        <v>45477</v>
      </c>
      <c r="B467" s="42">
        <v>44453</v>
      </c>
      <c r="C467" s="42">
        <v>211911</v>
      </c>
      <c r="D467" s="42">
        <v>198766</v>
      </c>
      <c r="E467" s="42">
        <v>264027</v>
      </c>
      <c r="F467" s="42">
        <v>641768</v>
      </c>
      <c r="G467" s="42">
        <v>349018</v>
      </c>
      <c r="H467" s="42">
        <v>61016</v>
      </c>
      <c r="I467" s="42">
        <v>93768</v>
      </c>
      <c r="J467" s="42">
        <v>258505</v>
      </c>
      <c r="K467" s="42">
        <v>472239</v>
      </c>
      <c r="L467" s="42">
        <v>156306</v>
      </c>
      <c r="M467" s="42">
        <v>1714568</v>
      </c>
      <c r="N467" s="42">
        <v>1510432</v>
      </c>
      <c r="O467" s="42">
        <v>26816</v>
      </c>
      <c r="P467" s="42">
        <v>83600</v>
      </c>
      <c r="Q467" s="42">
        <v>256920</v>
      </c>
      <c r="R467" s="42">
        <v>2051283</v>
      </c>
      <c r="S467" s="43">
        <v>55435</v>
      </c>
      <c r="T467" s="42">
        <v>449927</v>
      </c>
    </row>
    <row r="468" spans="1:20" x14ac:dyDescent="0.3">
      <c r="A468" s="49">
        <v>45476</v>
      </c>
      <c r="B468" s="42">
        <v>44496</v>
      </c>
      <c r="C468" s="42">
        <v>211911</v>
      </c>
      <c r="D468" s="42">
        <v>198766</v>
      </c>
      <c r="E468" s="42">
        <v>264027</v>
      </c>
      <c r="F468" s="42">
        <v>641768</v>
      </c>
      <c r="G468" s="42">
        <v>349018</v>
      </c>
      <c r="H468" s="42">
        <v>61016</v>
      </c>
      <c r="I468" s="42">
        <v>93768</v>
      </c>
      <c r="J468" s="42">
        <v>258505</v>
      </c>
      <c r="K468" s="42">
        <v>472239</v>
      </c>
      <c r="L468" s="42">
        <v>156306</v>
      </c>
      <c r="M468" s="42">
        <v>1714568</v>
      </c>
      <c r="N468" s="42">
        <v>1510432</v>
      </c>
      <c r="O468" s="42">
        <v>26816</v>
      </c>
      <c r="P468" s="42">
        <v>83600</v>
      </c>
      <c r="Q468" s="42">
        <v>256920</v>
      </c>
      <c r="R468" s="42">
        <v>2051283</v>
      </c>
      <c r="S468" s="43">
        <v>60707</v>
      </c>
      <c r="T468" s="42">
        <v>449443</v>
      </c>
    </row>
    <row r="469" spans="1:20" x14ac:dyDescent="0.3">
      <c r="A469" s="49">
        <v>45475</v>
      </c>
      <c r="B469" s="42">
        <v>45627</v>
      </c>
      <c r="C469" s="42">
        <v>197799</v>
      </c>
      <c r="D469" s="42">
        <v>198119</v>
      </c>
      <c r="E469" s="42">
        <v>263465</v>
      </c>
      <c r="F469" s="42">
        <v>636895</v>
      </c>
      <c r="G469" s="42">
        <v>349817</v>
      </c>
      <c r="H469" s="42">
        <v>62491</v>
      </c>
      <c r="I469" s="42">
        <v>92286</v>
      </c>
      <c r="J469" s="42">
        <v>256039</v>
      </c>
      <c r="K469" s="42">
        <v>454730</v>
      </c>
      <c r="L469" s="42">
        <v>154724</v>
      </c>
      <c r="M469" s="42">
        <v>1721585</v>
      </c>
      <c r="N469" s="42">
        <v>1508732</v>
      </c>
      <c r="O469" s="42">
        <v>27063</v>
      </c>
      <c r="P469" s="42">
        <v>82128</v>
      </c>
      <c r="Q469" s="42">
        <v>258776</v>
      </c>
      <c r="R469" s="42">
        <v>2037086</v>
      </c>
      <c r="S469" s="43">
        <v>61441</v>
      </c>
      <c r="T469" s="42">
        <v>442608</v>
      </c>
    </row>
    <row r="470" spans="1:20" x14ac:dyDescent="0.3">
      <c r="A470" s="49">
        <v>45474</v>
      </c>
      <c r="B470" s="42">
        <v>45236</v>
      </c>
      <c r="C470" s="42">
        <v>195968</v>
      </c>
      <c r="D470" s="42">
        <v>201568</v>
      </c>
      <c r="E470" s="42">
        <v>270757</v>
      </c>
      <c r="F470" s="42">
        <v>640905</v>
      </c>
      <c r="G470" s="42">
        <v>346582</v>
      </c>
      <c r="H470" s="42">
        <v>63906</v>
      </c>
      <c r="I470" s="42">
        <v>92869</v>
      </c>
      <c r="J470" s="42">
        <v>254925</v>
      </c>
      <c r="K470" s="42">
        <v>451708</v>
      </c>
      <c r="L470" s="42">
        <v>154647</v>
      </c>
      <c r="M470" s="42">
        <v>1734370</v>
      </c>
      <c r="N470" s="42">
        <v>1511229</v>
      </c>
      <c r="O470" s="42">
        <v>30045</v>
      </c>
      <c r="P470" s="42">
        <v>82862</v>
      </c>
      <c r="Q470" s="42">
        <v>245768</v>
      </c>
      <c r="R470" s="42">
        <v>2031035</v>
      </c>
      <c r="S470" s="43">
        <v>60722</v>
      </c>
      <c r="T470" s="42">
        <v>430658</v>
      </c>
    </row>
    <row r="471" spans="1:20" x14ac:dyDescent="0.3">
      <c r="A471" s="49">
        <v>45471</v>
      </c>
      <c r="B471" s="42">
        <v>44597</v>
      </c>
      <c r="C471" s="42">
        <v>193284</v>
      </c>
      <c r="D471" s="42">
        <v>203588</v>
      </c>
      <c r="E471" s="42">
        <v>262921</v>
      </c>
      <c r="F471" s="42">
        <v>639820</v>
      </c>
      <c r="G471" s="42">
        <v>346796</v>
      </c>
      <c r="H471" s="42">
        <v>63879</v>
      </c>
      <c r="I471" s="42">
        <v>89100</v>
      </c>
      <c r="J471" s="42">
        <v>254754</v>
      </c>
      <c r="K471" s="42">
        <v>448354</v>
      </c>
      <c r="L471" s="42">
        <v>155336</v>
      </c>
      <c r="M471" s="42">
        <v>1707775</v>
      </c>
      <c r="N471" s="42">
        <v>1506333</v>
      </c>
      <c r="O471" s="42">
        <v>29027</v>
      </c>
      <c r="P471" s="42">
        <v>85379</v>
      </c>
      <c r="Q471" s="42">
        <v>239092</v>
      </c>
      <c r="R471" s="42">
        <v>2014845</v>
      </c>
      <c r="S471" s="43">
        <v>61592</v>
      </c>
      <c r="T471" s="42">
        <v>427594</v>
      </c>
    </row>
    <row r="472" spans="1:20" x14ac:dyDescent="0.3">
      <c r="A472" s="49">
        <v>45470</v>
      </c>
      <c r="B472" s="42">
        <v>43726</v>
      </c>
      <c r="C472" s="42">
        <v>192152</v>
      </c>
      <c r="D472" s="42">
        <v>206178</v>
      </c>
      <c r="E472" s="42">
        <v>270916</v>
      </c>
      <c r="F472" s="42">
        <v>648826</v>
      </c>
      <c r="G472" s="42">
        <v>347949</v>
      </c>
      <c r="H472" s="42">
        <v>63351</v>
      </c>
      <c r="I472" s="42">
        <v>86326</v>
      </c>
      <c r="J472" s="42">
        <v>257375</v>
      </c>
      <c r="K472" s="42">
        <v>448086</v>
      </c>
      <c r="L472" s="42">
        <v>158558</v>
      </c>
      <c r="M472" s="42">
        <v>1701415</v>
      </c>
      <c r="N472" s="42">
        <v>1488589</v>
      </c>
      <c r="O472" s="42">
        <v>29752</v>
      </c>
      <c r="P472" s="42">
        <v>83691</v>
      </c>
      <c r="Q472" s="42">
        <v>244822</v>
      </c>
      <c r="R472" s="42">
        <v>1990663</v>
      </c>
      <c r="S472" s="43">
        <v>58996</v>
      </c>
      <c r="T472" s="42">
        <v>418599</v>
      </c>
    </row>
    <row r="473" spans="1:20" x14ac:dyDescent="0.3">
      <c r="A473" s="49">
        <v>45469</v>
      </c>
      <c r="B473" s="42">
        <v>44143</v>
      </c>
      <c r="C473" s="42">
        <v>192580</v>
      </c>
      <c r="D473" s="42">
        <v>210146</v>
      </c>
      <c r="E473" s="42">
        <v>276511</v>
      </c>
      <c r="F473" s="42">
        <v>652038</v>
      </c>
      <c r="G473" s="42">
        <v>346734</v>
      </c>
      <c r="H473" s="42">
        <v>63642</v>
      </c>
      <c r="I473" s="42">
        <v>85484</v>
      </c>
      <c r="J473" s="42">
        <v>254989</v>
      </c>
      <c r="K473" s="42">
        <v>442290</v>
      </c>
      <c r="L473" s="42">
        <v>160331</v>
      </c>
      <c r="M473" s="42">
        <v>1683783</v>
      </c>
      <c r="N473" s="42">
        <v>1481276</v>
      </c>
      <c r="O473" s="42">
        <v>29805</v>
      </c>
      <c r="P473" s="42">
        <v>84321</v>
      </c>
      <c r="Q473" s="42">
        <v>247692</v>
      </c>
      <c r="R473" s="42">
        <v>1985578</v>
      </c>
      <c r="S473" s="43">
        <v>61009</v>
      </c>
      <c r="T473" s="42">
        <v>414685</v>
      </c>
    </row>
    <row r="474" spans="1:20" x14ac:dyDescent="0.3">
      <c r="A474" s="49">
        <v>45468</v>
      </c>
      <c r="B474" s="42">
        <v>43147</v>
      </c>
      <c r="C474" s="42">
        <v>181071</v>
      </c>
      <c r="D474" s="42">
        <v>207697</v>
      </c>
      <c r="E474" s="42">
        <v>278437</v>
      </c>
      <c r="F474" s="42">
        <v>650087</v>
      </c>
      <c r="G474" s="42">
        <v>340237</v>
      </c>
      <c r="H474" s="42">
        <v>60495</v>
      </c>
      <c r="I474" s="42">
        <v>84204</v>
      </c>
      <c r="J474" s="42">
        <v>255809</v>
      </c>
      <c r="K474" s="42">
        <v>452190</v>
      </c>
      <c r="L474" s="42">
        <v>166470</v>
      </c>
      <c r="M474" s="42">
        <v>1680601</v>
      </c>
      <c r="N474" s="42">
        <v>1466177</v>
      </c>
      <c r="O474" s="42">
        <v>30171</v>
      </c>
      <c r="P474" s="42">
        <v>84823</v>
      </c>
      <c r="Q474" s="42">
        <v>246417</v>
      </c>
      <c r="R474" s="42">
        <v>1976080</v>
      </c>
      <c r="S474" s="43">
        <v>59774</v>
      </c>
      <c r="T474" s="42">
        <v>506194</v>
      </c>
    </row>
    <row r="475" spans="1:20" x14ac:dyDescent="0.3">
      <c r="A475" s="49">
        <v>45467</v>
      </c>
      <c r="B475" s="42">
        <v>43228</v>
      </c>
      <c r="C475" s="42">
        <v>177858</v>
      </c>
      <c r="D475" s="42">
        <v>206349</v>
      </c>
      <c r="E475" s="42">
        <v>277538</v>
      </c>
      <c r="F475" s="42">
        <v>651861</v>
      </c>
      <c r="G475" s="42">
        <v>337181</v>
      </c>
      <c r="H475" s="42">
        <v>60450</v>
      </c>
      <c r="I475" s="42">
        <v>84124</v>
      </c>
      <c r="J475" s="42">
        <v>265088</v>
      </c>
      <c r="K475" s="42">
        <v>453353</v>
      </c>
      <c r="L475" s="42">
        <v>173099</v>
      </c>
      <c r="M475" s="42">
        <v>1690972</v>
      </c>
      <c r="N475" s="42">
        <v>1478615</v>
      </c>
      <c r="O475" s="42">
        <v>30131</v>
      </c>
      <c r="P475" s="42">
        <v>84351</v>
      </c>
      <c r="Q475" s="42">
        <v>243775</v>
      </c>
      <c r="R475" s="42">
        <v>1985436</v>
      </c>
      <c r="S475" s="43">
        <v>60139</v>
      </c>
      <c r="T475" s="42">
        <v>507679</v>
      </c>
    </row>
    <row r="476" spans="1:20" x14ac:dyDescent="0.3">
      <c r="A476" s="49">
        <v>45464</v>
      </c>
      <c r="B476" s="42">
        <v>43202</v>
      </c>
      <c r="C476" s="42">
        <v>176901</v>
      </c>
      <c r="D476" s="42">
        <v>209729</v>
      </c>
      <c r="E476" s="42">
        <v>281134</v>
      </c>
      <c r="F476" s="42">
        <v>652043</v>
      </c>
      <c r="G476" s="42">
        <v>334590</v>
      </c>
      <c r="H476" s="42">
        <v>59027</v>
      </c>
      <c r="I476" s="42">
        <v>84508</v>
      </c>
      <c r="J476" s="42">
        <v>265851</v>
      </c>
      <c r="K476" s="42">
        <v>453535</v>
      </c>
      <c r="L476" s="42">
        <v>174725</v>
      </c>
      <c r="M476" s="42">
        <v>1677101</v>
      </c>
      <c r="N476" s="42">
        <v>1461124</v>
      </c>
      <c r="O476" s="42">
        <v>30889</v>
      </c>
      <c r="P476" s="42">
        <v>106869</v>
      </c>
      <c r="Q476" s="42">
        <v>314340</v>
      </c>
      <c r="R476" s="42">
        <v>2581874</v>
      </c>
      <c r="S476" s="43">
        <v>59083</v>
      </c>
      <c r="T476" s="42">
        <v>529318</v>
      </c>
    </row>
    <row r="477" spans="1:20" x14ac:dyDescent="0.3">
      <c r="A477" s="49">
        <v>45463</v>
      </c>
      <c r="B477" s="42">
        <v>42301</v>
      </c>
      <c r="C477" s="42">
        <v>176247</v>
      </c>
      <c r="D477" s="42">
        <v>207072</v>
      </c>
      <c r="E477" s="42">
        <v>284237</v>
      </c>
      <c r="F477" s="42">
        <v>654598</v>
      </c>
      <c r="G477" s="42">
        <v>323834</v>
      </c>
      <c r="H477" s="42">
        <v>58981</v>
      </c>
      <c r="I477" s="42">
        <v>86885</v>
      </c>
      <c r="J477" s="42">
        <v>265774</v>
      </c>
      <c r="K477" s="42">
        <v>457423</v>
      </c>
      <c r="L477" s="42">
        <v>175578</v>
      </c>
      <c r="M477" s="42">
        <v>1688099</v>
      </c>
      <c r="N477" s="42">
        <v>1457890</v>
      </c>
      <c r="O477" s="42">
        <v>31166</v>
      </c>
      <c r="P477" s="42">
        <v>110063</v>
      </c>
      <c r="Q477" s="42">
        <v>318669</v>
      </c>
      <c r="R477" s="42">
        <v>2606689</v>
      </c>
      <c r="S477" s="43">
        <v>83832</v>
      </c>
      <c r="T477" s="42">
        <v>530788</v>
      </c>
    </row>
    <row r="478" spans="1:20" x14ac:dyDescent="0.3">
      <c r="A478" s="49">
        <v>45461</v>
      </c>
      <c r="B478" s="42">
        <v>40364</v>
      </c>
      <c r="C478" s="42">
        <v>212888</v>
      </c>
      <c r="D478" s="42">
        <v>306865</v>
      </c>
      <c r="E478" s="42">
        <v>351458</v>
      </c>
      <c r="F478" s="42">
        <v>801091</v>
      </c>
      <c r="G478" s="42">
        <v>378964</v>
      </c>
      <c r="H478" s="42">
        <v>79406</v>
      </c>
      <c r="I478" s="42">
        <v>118561</v>
      </c>
      <c r="J478" s="42">
        <v>265935</v>
      </c>
      <c r="K478" s="42">
        <v>444345</v>
      </c>
      <c r="L478" s="42">
        <v>176605</v>
      </c>
      <c r="M478" s="42">
        <v>1677538</v>
      </c>
      <c r="N478" s="42">
        <v>1451261</v>
      </c>
      <c r="O478" s="42">
        <v>30627</v>
      </c>
      <c r="P478" s="42">
        <v>114233</v>
      </c>
      <c r="Q478" s="42">
        <v>334035</v>
      </c>
      <c r="R478" s="42">
        <v>2595590</v>
      </c>
      <c r="S478" s="43">
        <v>102823</v>
      </c>
      <c r="T478" s="42">
        <v>504407</v>
      </c>
    </row>
    <row r="479" spans="1:20" x14ac:dyDescent="0.3">
      <c r="A479" s="49">
        <v>45460</v>
      </c>
      <c r="B479" s="42">
        <v>40237</v>
      </c>
      <c r="C479" s="42">
        <v>213172</v>
      </c>
      <c r="D479" s="42">
        <v>307422</v>
      </c>
      <c r="E479" s="42">
        <v>353511</v>
      </c>
      <c r="F479" s="42">
        <v>805785</v>
      </c>
      <c r="G479" s="42">
        <v>373436</v>
      </c>
      <c r="H479" s="42">
        <v>78588</v>
      </c>
      <c r="I479" s="42">
        <v>118557</v>
      </c>
      <c r="J479" s="42">
        <v>266548</v>
      </c>
      <c r="K479" s="42">
        <v>439211</v>
      </c>
      <c r="L479" s="42">
        <v>176357</v>
      </c>
      <c r="M479" s="42">
        <v>1705408</v>
      </c>
      <c r="N479" s="42">
        <v>1447637</v>
      </c>
      <c r="O479" s="42">
        <v>30283</v>
      </c>
      <c r="P479" s="42">
        <v>109008</v>
      </c>
      <c r="Q479" s="42">
        <v>310506</v>
      </c>
      <c r="R479" s="42">
        <v>2483757</v>
      </c>
      <c r="S479" s="43">
        <v>94198</v>
      </c>
      <c r="T479" s="42">
        <v>470380</v>
      </c>
    </row>
    <row r="480" spans="1:20" x14ac:dyDescent="0.3">
      <c r="A480" s="49">
        <v>45457</v>
      </c>
      <c r="B480" s="42">
        <v>40156</v>
      </c>
      <c r="C480" s="42">
        <v>214006</v>
      </c>
      <c r="D480" s="42">
        <v>312076</v>
      </c>
      <c r="E480" s="42">
        <v>373307</v>
      </c>
      <c r="F480" s="42">
        <v>798746</v>
      </c>
      <c r="G480" s="42">
        <v>368758</v>
      </c>
      <c r="H480" s="42">
        <v>77302</v>
      </c>
      <c r="I480" s="42">
        <v>118394</v>
      </c>
      <c r="J480" s="42">
        <v>265106</v>
      </c>
      <c r="K480" s="42">
        <v>442050</v>
      </c>
      <c r="L480" s="42">
        <v>177753</v>
      </c>
      <c r="M480" s="42">
        <v>1727520</v>
      </c>
      <c r="N480" s="42">
        <v>1450738</v>
      </c>
      <c r="O480" s="42">
        <v>29561</v>
      </c>
      <c r="P480" s="42">
        <v>107063</v>
      </c>
      <c r="Q480" s="42">
        <v>286687</v>
      </c>
      <c r="R480" s="42">
        <v>2297123</v>
      </c>
      <c r="S480" s="43">
        <v>79673</v>
      </c>
      <c r="T480" s="42">
        <v>458886</v>
      </c>
    </row>
    <row r="481" spans="1:20" x14ac:dyDescent="0.3">
      <c r="A481" s="49">
        <v>45456</v>
      </c>
      <c r="B481" s="42">
        <v>53914</v>
      </c>
      <c r="C481" s="42">
        <v>215581</v>
      </c>
      <c r="D481" s="42">
        <v>302537</v>
      </c>
      <c r="E481" s="42">
        <v>347415</v>
      </c>
      <c r="F481" s="42">
        <v>782289</v>
      </c>
      <c r="G481" s="42">
        <v>360441</v>
      </c>
      <c r="H481" s="42">
        <v>79735</v>
      </c>
      <c r="I481" s="42">
        <v>123801</v>
      </c>
      <c r="J481" s="42">
        <v>265920</v>
      </c>
      <c r="K481" s="42">
        <v>433946</v>
      </c>
      <c r="L481" s="42">
        <v>179000</v>
      </c>
      <c r="M481" s="42">
        <v>1767236</v>
      </c>
      <c r="N481" s="42">
        <v>1456288</v>
      </c>
      <c r="O481" s="42">
        <v>29727</v>
      </c>
      <c r="P481" s="42">
        <v>105245</v>
      </c>
      <c r="Q481" s="42">
        <v>269282</v>
      </c>
      <c r="R481" s="42">
        <v>2260056</v>
      </c>
      <c r="S481" s="43">
        <v>74190</v>
      </c>
      <c r="T481" s="42">
        <v>465996</v>
      </c>
    </row>
    <row r="482" spans="1:20" x14ac:dyDescent="0.3">
      <c r="A482" s="49">
        <v>45455</v>
      </c>
      <c r="B482" s="42">
        <v>43966</v>
      </c>
      <c r="C482" s="42">
        <v>224465</v>
      </c>
      <c r="D482" s="42">
        <v>301356</v>
      </c>
      <c r="E482" s="42">
        <v>295332</v>
      </c>
      <c r="F482" s="42">
        <v>741614</v>
      </c>
      <c r="G482" s="42">
        <v>325399</v>
      </c>
      <c r="H482" s="42">
        <v>69179</v>
      </c>
      <c r="I482" s="42">
        <v>121342</v>
      </c>
      <c r="J482" s="42">
        <v>265662</v>
      </c>
      <c r="K482" s="42">
        <v>436563</v>
      </c>
      <c r="L482" s="42">
        <v>177407</v>
      </c>
      <c r="M482" s="42">
        <v>1765064</v>
      </c>
      <c r="N482" s="42">
        <v>1443769</v>
      </c>
      <c r="O482" s="42">
        <v>29294</v>
      </c>
      <c r="P482" s="42">
        <v>102283</v>
      </c>
      <c r="Q482" s="42">
        <v>259270</v>
      </c>
      <c r="R482" s="42">
        <v>2272726</v>
      </c>
      <c r="S482" s="43">
        <v>69578</v>
      </c>
      <c r="T482" s="42">
        <v>465993</v>
      </c>
    </row>
    <row r="483" spans="1:20" x14ac:dyDescent="0.3">
      <c r="A483" s="49">
        <v>45454</v>
      </c>
      <c r="B483" s="42">
        <v>38327</v>
      </c>
      <c r="C483" s="42">
        <v>212796</v>
      </c>
      <c r="D483" s="42">
        <v>275487</v>
      </c>
      <c r="E483" s="42">
        <v>307387</v>
      </c>
      <c r="F483" s="42">
        <v>712894</v>
      </c>
      <c r="G483" s="42">
        <v>319274</v>
      </c>
      <c r="H483" s="42">
        <v>65785</v>
      </c>
      <c r="I483" s="42">
        <v>101556</v>
      </c>
      <c r="J483" s="42">
        <v>270090</v>
      </c>
      <c r="K483" s="42">
        <v>436857</v>
      </c>
      <c r="L483" s="42">
        <v>176036</v>
      </c>
      <c r="M483" s="42">
        <v>1755642</v>
      </c>
      <c r="N483" s="42">
        <v>1453510</v>
      </c>
      <c r="O483" s="42">
        <v>30503</v>
      </c>
      <c r="P483" s="42">
        <v>105519</v>
      </c>
      <c r="Q483" s="42">
        <v>258002</v>
      </c>
      <c r="R483" s="42">
        <v>2266096</v>
      </c>
      <c r="S483" s="43">
        <v>68768</v>
      </c>
      <c r="T483" s="42">
        <v>468752</v>
      </c>
    </row>
    <row r="484" spans="1:20" x14ac:dyDescent="0.3">
      <c r="A484" s="49">
        <v>45453</v>
      </c>
      <c r="B484" s="42">
        <v>37855</v>
      </c>
      <c r="C484" s="42">
        <v>207705</v>
      </c>
      <c r="D484" s="42">
        <v>276148</v>
      </c>
      <c r="E484" s="42">
        <v>308306</v>
      </c>
      <c r="F484" s="42">
        <v>698442</v>
      </c>
      <c r="G484" s="42">
        <v>312316</v>
      </c>
      <c r="H484" s="42">
        <v>61509</v>
      </c>
      <c r="I484" s="42">
        <v>101063</v>
      </c>
      <c r="J484" s="42">
        <v>276359</v>
      </c>
      <c r="K484" s="42">
        <v>435003</v>
      </c>
      <c r="L484" s="42">
        <v>179023</v>
      </c>
      <c r="M484" s="42">
        <v>1785234</v>
      </c>
      <c r="N484" s="42">
        <v>1446828</v>
      </c>
      <c r="O484" s="42">
        <v>31466</v>
      </c>
      <c r="P484" s="42">
        <v>106661</v>
      </c>
      <c r="Q484" s="42">
        <v>254264</v>
      </c>
      <c r="R484" s="42">
        <v>2239181</v>
      </c>
      <c r="S484" s="43">
        <v>68810</v>
      </c>
      <c r="T484" s="42">
        <v>461476</v>
      </c>
    </row>
    <row r="485" spans="1:20" x14ac:dyDescent="0.3">
      <c r="A485" s="49">
        <v>45450</v>
      </c>
      <c r="B485" s="42">
        <v>39122</v>
      </c>
      <c r="C485" s="42">
        <v>211038</v>
      </c>
      <c r="D485" s="42">
        <v>272929</v>
      </c>
      <c r="E485" s="42">
        <v>300079</v>
      </c>
      <c r="F485" s="42">
        <v>690935</v>
      </c>
      <c r="G485" s="42">
        <v>317204</v>
      </c>
      <c r="H485" s="42">
        <v>58702</v>
      </c>
      <c r="I485" s="42">
        <v>95392</v>
      </c>
      <c r="J485" s="42">
        <v>282443</v>
      </c>
      <c r="K485" s="42">
        <v>441808</v>
      </c>
      <c r="L485" s="42">
        <v>178645</v>
      </c>
      <c r="M485" s="42">
        <v>1807183</v>
      </c>
      <c r="N485" s="42">
        <v>1466281</v>
      </c>
      <c r="O485" s="42">
        <v>31396</v>
      </c>
      <c r="P485" s="42">
        <v>105350</v>
      </c>
      <c r="Q485" s="42">
        <v>251855</v>
      </c>
      <c r="R485" s="42">
        <v>2208710</v>
      </c>
      <c r="S485" s="43">
        <v>68213</v>
      </c>
      <c r="T485" s="42">
        <v>461180</v>
      </c>
    </row>
    <row r="486" spans="1:20" x14ac:dyDescent="0.3">
      <c r="A486" s="49">
        <v>45449</v>
      </c>
      <c r="B486" s="42">
        <v>38009</v>
      </c>
      <c r="C486" s="42">
        <v>199977</v>
      </c>
      <c r="D486" s="42">
        <v>275043</v>
      </c>
      <c r="E486" s="42">
        <v>278294</v>
      </c>
      <c r="F486" s="42">
        <v>684145</v>
      </c>
      <c r="G486" s="42">
        <v>312603</v>
      </c>
      <c r="H486" s="42">
        <v>58006</v>
      </c>
      <c r="I486" s="42">
        <v>98067</v>
      </c>
      <c r="J486" s="42">
        <v>284802</v>
      </c>
      <c r="K486" s="42">
        <v>456354</v>
      </c>
      <c r="L486" s="42">
        <v>180588</v>
      </c>
      <c r="M486" s="42">
        <v>1822701</v>
      </c>
      <c r="N486" s="42">
        <v>1478233</v>
      </c>
      <c r="O486" s="42">
        <v>31626</v>
      </c>
      <c r="P486" s="42">
        <v>103075</v>
      </c>
      <c r="Q486" s="42">
        <v>253139</v>
      </c>
      <c r="R486" s="42">
        <v>2217585</v>
      </c>
      <c r="S486" s="43">
        <v>67793</v>
      </c>
      <c r="T486" s="42">
        <v>469252</v>
      </c>
    </row>
    <row r="487" spans="1:20" x14ac:dyDescent="0.3">
      <c r="A487" s="49">
        <v>45448</v>
      </c>
      <c r="B487" s="42">
        <v>38184</v>
      </c>
      <c r="C487" s="42">
        <v>197941</v>
      </c>
      <c r="D487" s="42">
        <v>267122</v>
      </c>
      <c r="E487" s="42">
        <v>275241</v>
      </c>
      <c r="F487" s="42">
        <v>678553</v>
      </c>
      <c r="G487" s="42">
        <v>307327</v>
      </c>
      <c r="H487" s="42">
        <v>56394</v>
      </c>
      <c r="I487" s="42">
        <v>98489</v>
      </c>
      <c r="J487" s="42">
        <v>286545</v>
      </c>
      <c r="K487" s="42">
        <v>453409</v>
      </c>
      <c r="L487" s="42">
        <v>179993</v>
      </c>
      <c r="M487" s="42">
        <v>1816641</v>
      </c>
      <c r="N487" s="42">
        <v>1480894</v>
      </c>
      <c r="O487" s="42">
        <v>31537</v>
      </c>
      <c r="P487" s="42">
        <v>100291</v>
      </c>
      <c r="Q487" s="42">
        <v>257251</v>
      </c>
      <c r="R487" s="42">
        <v>2211828</v>
      </c>
      <c r="S487" s="43">
        <v>67696</v>
      </c>
      <c r="T487" s="42">
        <v>469014</v>
      </c>
    </row>
    <row r="488" spans="1:20" x14ac:dyDescent="0.3">
      <c r="A488" s="49">
        <v>45447</v>
      </c>
      <c r="B488" s="42">
        <v>38645</v>
      </c>
      <c r="C488" s="42">
        <v>199796</v>
      </c>
      <c r="D488" s="42">
        <v>267750</v>
      </c>
      <c r="E488" s="42">
        <v>265761</v>
      </c>
      <c r="F488" s="42">
        <v>671736</v>
      </c>
      <c r="G488" s="42">
        <v>303009</v>
      </c>
      <c r="H488" s="42">
        <v>54758</v>
      </c>
      <c r="I488" s="42">
        <v>98815</v>
      </c>
      <c r="J488" s="42">
        <v>283719</v>
      </c>
      <c r="K488" s="42">
        <v>447488</v>
      </c>
      <c r="L488" s="42">
        <v>179854</v>
      </c>
      <c r="M488" s="42">
        <v>1814253</v>
      </c>
      <c r="N488" s="42">
        <v>1475789</v>
      </c>
      <c r="O488" s="42">
        <v>31086</v>
      </c>
      <c r="P488" s="42">
        <v>100634</v>
      </c>
      <c r="Q488" s="42">
        <v>246536</v>
      </c>
      <c r="R488" s="42">
        <v>2160026</v>
      </c>
      <c r="S488" s="43">
        <v>70536</v>
      </c>
      <c r="T488" s="42">
        <v>466995</v>
      </c>
    </row>
    <row r="489" spans="1:20" x14ac:dyDescent="0.3">
      <c r="A489" s="49">
        <v>45446</v>
      </c>
      <c r="B489" s="42">
        <v>39436</v>
      </c>
      <c r="C489" s="42">
        <v>192404</v>
      </c>
      <c r="D489" s="42">
        <v>268520</v>
      </c>
      <c r="E489" s="42">
        <v>261623</v>
      </c>
      <c r="F489" s="42">
        <v>671347</v>
      </c>
      <c r="G489" s="42">
        <v>305171</v>
      </c>
      <c r="H489" s="42">
        <v>53448</v>
      </c>
      <c r="I489" s="42">
        <v>100048</v>
      </c>
      <c r="J489" s="42">
        <v>288858</v>
      </c>
      <c r="K489" s="42">
        <v>455086</v>
      </c>
      <c r="L489" s="42">
        <v>181898</v>
      </c>
      <c r="M489" s="42">
        <v>1824241</v>
      </c>
      <c r="N489" s="42">
        <v>1486935</v>
      </c>
      <c r="O489" s="42">
        <v>30706</v>
      </c>
      <c r="P489" s="42">
        <v>101274</v>
      </c>
      <c r="Q489" s="42">
        <v>250293</v>
      </c>
      <c r="R489" s="42">
        <v>2157636</v>
      </c>
      <c r="S489" s="43">
        <v>68653</v>
      </c>
      <c r="T489" s="42">
        <v>466618</v>
      </c>
    </row>
    <row r="490" spans="1:20" x14ac:dyDescent="0.3">
      <c r="A490" s="49">
        <v>45443</v>
      </c>
      <c r="B490" s="42">
        <v>41101</v>
      </c>
      <c r="C490" s="42">
        <v>190243</v>
      </c>
      <c r="D490" s="42">
        <v>262734</v>
      </c>
      <c r="E490" s="42">
        <v>262985</v>
      </c>
      <c r="F490" s="42">
        <v>668869</v>
      </c>
      <c r="G490" s="42">
        <v>319920</v>
      </c>
      <c r="H490" s="42">
        <v>50908</v>
      </c>
      <c r="I490" s="42">
        <v>100045</v>
      </c>
      <c r="J490" s="42">
        <v>288215</v>
      </c>
      <c r="K490" s="42">
        <v>459251</v>
      </c>
      <c r="L490" s="42">
        <v>180434</v>
      </c>
      <c r="M490" s="42">
        <v>1799542</v>
      </c>
      <c r="N490" s="42">
        <v>1495281</v>
      </c>
      <c r="O490" s="42">
        <v>29434</v>
      </c>
      <c r="P490" s="42">
        <v>101512</v>
      </c>
      <c r="Q490" s="42">
        <v>256033</v>
      </c>
      <c r="R490" s="42">
        <v>2149184</v>
      </c>
      <c r="S490" s="43">
        <v>67994</v>
      </c>
      <c r="T490" s="42">
        <v>472793</v>
      </c>
    </row>
    <row r="491" spans="1:20" x14ac:dyDescent="0.3">
      <c r="A491" s="49">
        <v>45442</v>
      </c>
      <c r="B491" s="42">
        <v>40550</v>
      </c>
      <c r="C491" s="42">
        <v>192974</v>
      </c>
      <c r="D491" s="42">
        <v>264379</v>
      </c>
      <c r="E491" s="42">
        <v>257372</v>
      </c>
      <c r="F491" s="42">
        <v>662761</v>
      </c>
      <c r="G491" s="42">
        <v>319337</v>
      </c>
      <c r="H491" s="42">
        <v>50855</v>
      </c>
      <c r="I491" s="42">
        <v>100884</v>
      </c>
      <c r="J491" s="42">
        <v>291441</v>
      </c>
      <c r="K491" s="42">
        <v>480039</v>
      </c>
      <c r="L491" s="42">
        <v>184465</v>
      </c>
      <c r="M491" s="42">
        <v>1816170</v>
      </c>
      <c r="N491" s="42">
        <v>1486587</v>
      </c>
      <c r="O491" s="42">
        <v>30025</v>
      </c>
      <c r="P491" s="42">
        <v>100586</v>
      </c>
      <c r="Q491" s="42">
        <v>256720</v>
      </c>
      <c r="R491" s="42">
        <v>2190349</v>
      </c>
      <c r="S491" s="43">
        <v>66932</v>
      </c>
      <c r="T491" s="42">
        <v>467293</v>
      </c>
    </row>
    <row r="492" spans="1:20" x14ac:dyDescent="0.3">
      <c r="A492" s="49">
        <v>45441</v>
      </c>
      <c r="B492" s="42">
        <v>41652</v>
      </c>
      <c r="C492" s="42">
        <v>195149</v>
      </c>
      <c r="D492" s="42">
        <v>270659</v>
      </c>
      <c r="E492" s="42">
        <v>264100</v>
      </c>
      <c r="F492" s="42">
        <v>666112</v>
      </c>
      <c r="G492" s="42">
        <v>337466</v>
      </c>
      <c r="H492" s="42">
        <v>56295</v>
      </c>
      <c r="I492" s="42">
        <v>100877</v>
      </c>
      <c r="J492" s="42">
        <v>293546</v>
      </c>
      <c r="K492" s="42">
        <v>475191</v>
      </c>
      <c r="L492" s="42">
        <v>186877</v>
      </c>
      <c r="M492" s="42">
        <v>1810148</v>
      </c>
      <c r="N492" s="42">
        <v>1491083</v>
      </c>
      <c r="O492" s="42">
        <v>29531</v>
      </c>
      <c r="P492" s="42">
        <v>100565</v>
      </c>
      <c r="Q492" s="42">
        <v>257304</v>
      </c>
      <c r="R492" s="42">
        <v>2182210</v>
      </c>
      <c r="S492" s="43">
        <v>68052</v>
      </c>
      <c r="T492" s="42">
        <v>464709</v>
      </c>
    </row>
    <row r="493" spans="1:20" x14ac:dyDescent="0.3">
      <c r="A493" s="49">
        <v>45440</v>
      </c>
      <c r="B493" s="42">
        <v>40108</v>
      </c>
      <c r="C493" s="42">
        <v>193678</v>
      </c>
      <c r="D493" s="42">
        <v>268749</v>
      </c>
      <c r="E493" s="42">
        <v>264401</v>
      </c>
      <c r="F493" s="42">
        <v>664864</v>
      </c>
      <c r="G493" s="42">
        <v>325231</v>
      </c>
      <c r="H493" s="42">
        <v>57525</v>
      </c>
      <c r="I493" s="42">
        <v>100381</v>
      </c>
      <c r="J493" s="42">
        <v>298839</v>
      </c>
      <c r="K493" s="42">
        <v>485430</v>
      </c>
      <c r="L493" s="42">
        <v>184846</v>
      </c>
      <c r="M493" s="42">
        <v>1833461</v>
      </c>
      <c r="N493" s="42">
        <v>1501651</v>
      </c>
      <c r="O493" s="42">
        <v>30255</v>
      </c>
      <c r="P493" s="42">
        <v>97243</v>
      </c>
      <c r="Q493" s="42">
        <v>254317</v>
      </c>
      <c r="R493" s="42">
        <v>2179731</v>
      </c>
      <c r="S493" s="43">
        <v>67049</v>
      </c>
      <c r="T493" s="42">
        <v>468815</v>
      </c>
    </row>
    <row r="494" spans="1:20" x14ac:dyDescent="0.3">
      <c r="A494" s="49">
        <v>45439</v>
      </c>
      <c r="B494" s="42">
        <v>40061</v>
      </c>
      <c r="C494" s="42">
        <v>192412</v>
      </c>
      <c r="D494" s="42">
        <v>246920</v>
      </c>
      <c r="E494" s="42">
        <v>269293</v>
      </c>
      <c r="F494" s="42">
        <v>658216</v>
      </c>
      <c r="G494" s="42">
        <v>318980</v>
      </c>
      <c r="H494" s="42">
        <v>54479</v>
      </c>
      <c r="I494" s="42">
        <v>99540</v>
      </c>
      <c r="J494" s="42">
        <v>299833</v>
      </c>
      <c r="K494" s="42">
        <v>497913</v>
      </c>
      <c r="L494" s="42">
        <v>184448</v>
      </c>
      <c r="M494" s="42">
        <v>1823776</v>
      </c>
      <c r="N494" s="42">
        <v>1525699</v>
      </c>
      <c r="O494" s="42">
        <v>30434</v>
      </c>
      <c r="P494" s="42">
        <v>98453</v>
      </c>
      <c r="Q494" s="42">
        <v>255143</v>
      </c>
      <c r="R494" s="42">
        <v>2168000</v>
      </c>
      <c r="S494" s="43">
        <v>62998</v>
      </c>
      <c r="T494" s="42">
        <v>465989</v>
      </c>
    </row>
    <row r="495" spans="1:20" x14ac:dyDescent="0.3">
      <c r="A495" s="49">
        <v>45436</v>
      </c>
      <c r="B495" s="42">
        <v>39906</v>
      </c>
      <c r="C495" s="42">
        <v>192412</v>
      </c>
      <c r="D495" s="42">
        <v>246920</v>
      </c>
      <c r="E495" s="42">
        <v>269293</v>
      </c>
      <c r="F495" s="42">
        <v>658216</v>
      </c>
      <c r="G495" s="42">
        <v>318980</v>
      </c>
      <c r="H495" s="42">
        <v>54479</v>
      </c>
      <c r="I495" s="42">
        <v>99540</v>
      </c>
      <c r="J495" s="42">
        <v>299833</v>
      </c>
      <c r="K495" s="42">
        <v>497913</v>
      </c>
      <c r="L495" s="42">
        <v>184448</v>
      </c>
      <c r="M495" s="42">
        <v>1823776</v>
      </c>
      <c r="N495" s="42">
        <v>1525699</v>
      </c>
      <c r="O495" s="42">
        <v>30434</v>
      </c>
      <c r="P495" s="42">
        <v>98453</v>
      </c>
      <c r="Q495" s="42">
        <v>255143</v>
      </c>
      <c r="R495" s="42">
        <v>2168000</v>
      </c>
      <c r="S495" s="43">
        <v>65921</v>
      </c>
      <c r="T495" s="42">
        <v>464396</v>
      </c>
    </row>
    <row r="496" spans="1:20" x14ac:dyDescent="0.3">
      <c r="A496" s="49">
        <v>45435</v>
      </c>
      <c r="B496" s="42">
        <v>41795</v>
      </c>
      <c r="C496" s="42">
        <v>194784</v>
      </c>
      <c r="D496" s="42">
        <v>241570</v>
      </c>
      <c r="E496" s="42">
        <v>273696</v>
      </c>
      <c r="F496" s="42">
        <v>654333</v>
      </c>
      <c r="G496" s="42">
        <v>318669</v>
      </c>
      <c r="H496" s="42">
        <v>53972</v>
      </c>
      <c r="I496" s="42">
        <v>97251</v>
      </c>
      <c r="J496" s="42">
        <v>304066</v>
      </c>
      <c r="K496" s="42">
        <v>505665</v>
      </c>
      <c r="L496" s="42">
        <v>184732</v>
      </c>
      <c r="M496" s="42">
        <v>1808902</v>
      </c>
      <c r="N496" s="42">
        <v>1531067</v>
      </c>
      <c r="O496" s="42">
        <v>29743</v>
      </c>
      <c r="P496" s="42">
        <v>99093</v>
      </c>
      <c r="Q496" s="42">
        <v>249117</v>
      </c>
      <c r="R496" s="42">
        <v>2155298</v>
      </c>
      <c r="S496" s="43">
        <v>66718</v>
      </c>
      <c r="T496" s="42">
        <v>463543</v>
      </c>
    </row>
    <row r="497" spans="1:20" x14ac:dyDescent="0.3">
      <c r="A497" s="49">
        <v>45434</v>
      </c>
      <c r="B497" s="42">
        <v>41853</v>
      </c>
      <c r="C497" s="42">
        <v>195321</v>
      </c>
      <c r="D497" s="42">
        <v>228372</v>
      </c>
      <c r="E497" s="42">
        <v>239005</v>
      </c>
      <c r="F497" s="42">
        <v>653662</v>
      </c>
      <c r="G497" s="42">
        <v>306696</v>
      </c>
      <c r="H497" s="42">
        <v>51155</v>
      </c>
      <c r="I497" s="42">
        <v>95527</v>
      </c>
      <c r="J497" s="42">
        <v>305311</v>
      </c>
      <c r="K497" s="42">
        <v>514669</v>
      </c>
      <c r="L497" s="42">
        <v>184912</v>
      </c>
      <c r="M497" s="42">
        <v>1800727</v>
      </c>
      <c r="N497" s="42">
        <v>1548312</v>
      </c>
      <c r="O497" s="42">
        <v>30713</v>
      </c>
      <c r="P497" s="42">
        <v>99102</v>
      </c>
      <c r="Q497" s="42">
        <v>253817</v>
      </c>
      <c r="R497" s="42">
        <v>2147274</v>
      </c>
      <c r="S497" s="43">
        <v>63625</v>
      </c>
      <c r="T497" s="42">
        <v>463321</v>
      </c>
    </row>
    <row r="498" spans="1:20" x14ac:dyDescent="0.3">
      <c r="A498" s="49">
        <v>45433</v>
      </c>
      <c r="B498" s="42">
        <v>39920</v>
      </c>
      <c r="C498" s="42">
        <v>196609</v>
      </c>
      <c r="D498" s="42">
        <v>223976</v>
      </c>
      <c r="E498" s="42">
        <v>234491</v>
      </c>
      <c r="F498" s="42">
        <v>653081</v>
      </c>
      <c r="G498" s="42">
        <v>301315</v>
      </c>
      <c r="H498" s="42">
        <v>49105</v>
      </c>
      <c r="I498" s="42">
        <v>94270</v>
      </c>
      <c r="J498" s="42">
        <v>303409</v>
      </c>
      <c r="K498" s="42">
        <v>530591</v>
      </c>
      <c r="L498" s="42">
        <v>186945</v>
      </c>
      <c r="M498" s="42">
        <v>1784152</v>
      </c>
      <c r="N498" s="42">
        <v>1529956</v>
      </c>
      <c r="O498" s="42">
        <v>30694</v>
      </c>
      <c r="P498" s="42">
        <v>101346</v>
      </c>
      <c r="Q498" s="42">
        <v>249754</v>
      </c>
      <c r="R498" s="42">
        <v>2148201</v>
      </c>
      <c r="S498" s="43">
        <v>63041</v>
      </c>
      <c r="T498" s="42">
        <v>461757</v>
      </c>
    </row>
    <row r="499" spans="1:20" x14ac:dyDescent="0.3">
      <c r="A499" s="49">
        <v>45432</v>
      </c>
      <c r="B499" s="42">
        <v>40029</v>
      </c>
      <c r="C499" s="42">
        <v>199075</v>
      </c>
      <c r="D499" s="42">
        <v>221854</v>
      </c>
      <c r="E499" s="42">
        <v>228896</v>
      </c>
      <c r="F499" s="42">
        <v>649912</v>
      </c>
      <c r="G499" s="42">
        <v>297236</v>
      </c>
      <c r="H499" s="42">
        <v>49889</v>
      </c>
      <c r="I499" s="42">
        <v>93382</v>
      </c>
      <c r="J499" s="42">
        <v>301295</v>
      </c>
      <c r="K499" s="42">
        <v>527782</v>
      </c>
      <c r="L499" s="42">
        <v>188345</v>
      </c>
      <c r="M499" s="42">
        <v>1773292</v>
      </c>
      <c r="N499" s="42">
        <v>1550335</v>
      </c>
      <c r="O499" s="42">
        <v>31182</v>
      </c>
      <c r="P499" s="42">
        <v>102965</v>
      </c>
      <c r="Q499" s="42">
        <v>248665</v>
      </c>
      <c r="R499" s="42">
        <v>2129139</v>
      </c>
      <c r="S499" s="43">
        <v>62209</v>
      </c>
      <c r="T499" s="42">
        <v>464002</v>
      </c>
    </row>
    <row r="500" spans="1:20" x14ac:dyDescent="0.3">
      <c r="A500" s="49">
        <v>45429</v>
      </c>
      <c r="B500" s="42">
        <v>39787</v>
      </c>
      <c r="C500" s="42">
        <v>198550</v>
      </c>
      <c r="D500" s="42">
        <v>225151</v>
      </c>
      <c r="E500" s="42">
        <v>231651</v>
      </c>
      <c r="F500" s="42">
        <v>656270</v>
      </c>
      <c r="G500" s="42">
        <v>291581</v>
      </c>
      <c r="H500" s="42">
        <v>49995</v>
      </c>
      <c r="I500" s="42">
        <v>92796</v>
      </c>
      <c r="J500" s="42">
        <v>306839</v>
      </c>
      <c r="K500" s="42">
        <v>538790</v>
      </c>
      <c r="L500" s="42">
        <v>189145</v>
      </c>
      <c r="M500" s="42">
        <v>1769119</v>
      </c>
      <c r="N500" s="42">
        <v>1560791</v>
      </c>
      <c r="O500" s="42">
        <v>29964</v>
      </c>
      <c r="P500" s="42">
        <v>99947</v>
      </c>
      <c r="Q500" s="42">
        <v>249862</v>
      </c>
      <c r="R500" s="42">
        <v>2124028</v>
      </c>
      <c r="S500" s="43">
        <v>65573</v>
      </c>
      <c r="T500" s="42">
        <v>466505</v>
      </c>
    </row>
    <row r="501" spans="1:20" x14ac:dyDescent="0.3">
      <c r="A501" s="49">
        <v>45428</v>
      </c>
      <c r="B501" s="42">
        <v>40441</v>
      </c>
      <c r="C501" s="42">
        <v>198220</v>
      </c>
      <c r="D501" s="42">
        <v>223361</v>
      </c>
      <c r="E501" s="42">
        <v>228790</v>
      </c>
      <c r="F501" s="42">
        <v>656134</v>
      </c>
      <c r="G501" s="42">
        <v>292391</v>
      </c>
      <c r="H501" s="42">
        <v>50603</v>
      </c>
      <c r="I501" s="42">
        <v>92254</v>
      </c>
      <c r="J501" s="42">
        <v>300271</v>
      </c>
      <c r="K501" s="42">
        <v>528847</v>
      </c>
      <c r="L501" s="42">
        <v>178300</v>
      </c>
      <c r="M501" s="42">
        <v>1767870</v>
      </c>
      <c r="N501" s="42">
        <v>1561090</v>
      </c>
      <c r="O501" s="42">
        <v>28863</v>
      </c>
      <c r="P501" s="42">
        <v>100257</v>
      </c>
      <c r="Q501" s="42">
        <v>248655</v>
      </c>
      <c r="R501" s="42">
        <v>2131645</v>
      </c>
      <c r="S501" s="43">
        <v>67364</v>
      </c>
      <c r="T501" s="42">
        <v>463870</v>
      </c>
    </row>
    <row r="502" spans="1:20" x14ac:dyDescent="0.3">
      <c r="A502" s="49">
        <v>45427</v>
      </c>
      <c r="B502" s="42">
        <v>40791</v>
      </c>
      <c r="C502" s="42">
        <v>199658</v>
      </c>
      <c r="D502" s="42">
        <v>219102</v>
      </c>
      <c r="E502" s="42">
        <v>219073</v>
      </c>
      <c r="F502" s="42">
        <v>654429</v>
      </c>
      <c r="G502" s="42">
        <v>294672</v>
      </c>
      <c r="H502" s="42">
        <v>52619</v>
      </c>
      <c r="I502" s="42">
        <v>91399</v>
      </c>
      <c r="J502" s="42">
        <v>301356</v>
      </c>
      <c r="K502" s="42">
        <v>532275</v>
      </c>
      <c r="L502" s="42">
        <v>175409</v>
      </c>
      <c r="M502" s="42">
        <v>1786691</v>
      </c>
      <c r="N502" s="42">
        <v>1550965</v>
      </c>
      <c r="O502" s="42">
        <v>29231</v>
      </c>
      <c r="P502" s="42">
        <v>99804</v>
      </c>
      <c r="Q502" s="42">
        <v>253920</v>
      </c>
      <c r="R502" s="42">
        <v>2132674</v>
      </c>
      <c r="S502" s="43">
        <v>65096</v>
      </c>
      <c r="T502" s="42">
        <v>462012</v>
      </c>
    </row>
    <row r="503" spans="1:20" x14ac:dyDescent="0.3">
      <c r="A503" s="49">
        <v>45426</v>
      </c>
      <c r="B503" s="42">
        <v>42817</v>
      </c>
      <c r="C503" s="42">
        <v>202207</v>
      </c>
      <c r="D503" s="42">
        <v>224157</v>
      </c>
      <c r="E503" s="42">
        <v>220840</v>
      </c>
      <c r="F503" s="42">
        <v>658080</v>
      </c>
      <c r="G503" s="42">
        <v>300442</v>
      </c>
      <c r="H503" s="42">
        <v>55640</v>
      </c>
      <c r="I503" s="42">
        <v>90701</v>
      </c>
      <c r="J503" s="42">
        <v>316141</v>
      </c>
      <c r="K503" s="42">
        <v>522952</v>
      </c>
      <c r="L503" s="42">
        <v>171371</v>
      </c>
      <c r="M503" s="42">
        <v>1787763</v>
      </c>
      <c r="N503" s="42">
        <v>1546190</v>
      </c>
      <c r="O503" s="42">
        <v>27077</v>
      </c>
      <c r="P503" s="42">
        <v>99207</v>
      </c>
      <c r="Q503" s="42">
        <v>248611</v>
      </c>
      <c r="R503" s="42">
        <v>2081097</v>
      </c>
      <c r="S503" s="43">
        <v>65024</v>
      </c>
      <c r="T503" s="42">
        <v>460174</v>
      </c>
    </row>
    <row r="504" spans="1:20" x14ac:dyDescent="0.3">
      <c r="A504" s="49">
        <v>45425</v>
      </c>
      <c r="B504" s="42">
        <v>42936</v>
      </c>
      <c r="C504" s="42">
        <v>202920</v>
      </c>
      <c r="D504" s="42">
        <v>219605</v>
      </c>
      <c r="E504" s="42">
        <v>223208</v>
      </c>
      <c r="F504" s="42">
        <v>649822</v>
      </c>
      <c r="G504" s="42">
        <v>300890</v>
      </c>
      <c r="H504" s="42">
        <v>55765</v>
      </c>
      <c r="I504" s="42">
        <v>90863</v>
      </c>
      <c r="J504" s="42">
        <v>316999</v>
      </c>
      <c r="K504" s="42">
        <v>522331</v>
      </c>
      <c r="L504" s="42">
        <v>168370</v>
      </c>
      <c r="M504" s="42">
        <v>1796313</v>
      </c>
      <c r="N504" s="42">
        <v>1561973</v>
      </c>
      <c r="O504" s="42">
        <v>27425</v>
      </c>
      <c r="P504" s="42">
        <v>99546</v>
      </c>
      <c r="Q504" s="42">
        <v>243672</v>
      </c>
      <c r="R504" s="42">
        <v>2061222</v>
      </c>
      <c r="S504" s="43">
        <v>66455</v>
      </c>
      <c r="T504" s="42">
        <v>463451</v>
      </c>
    </row>
    <row r="505" spans="1:20" x14ac:dyDescent="0.3">
      <c r="A505" s="49">
        <v>45422</v>
      </c>
      <c r="B505" s="42">
        <v>42610</v>
      </c>
      <c r="C505" s="42">
        <v>200641</v>
      </c>
      <c r="D505" s="42">
        <v>217410</v>
      </c>
      <c r="E505" s="42">
        <v>220242</v>
      </c>
      <c r="F505" s="42">
        <v>649851</v>
      </c>
      <c r="G505" s="42">
        <v>299050</v>
      </c>
      <c r="H505" s="42">
        <v>55281</v>
      </c>
      <c r="I505" s="42">
        <v>91435</v>
      </c>
      <c r="J505" s="42">
        <v>312002</v>
      </c>
      <c r="K505" s="42">
        <v>529367</v>
      </c>
      <c r="L505" s="42">
        <v>167555</v>
      </c>
      <c r="M505" s="42">
        <v>1823881</v>
      </c>
      <c r="N505" s="42">
        <v>1551581</v>
      </c>
      <c r="O505" s="42">
        <v>26240</v>
      </c>
      <c r="P505" s="42">
        <v>102024</v>
      </c>
      <c r="Q505" s="42">
        <v>241735</v>
      </c>
      <c r="R505" s="42">
        <v>2052966</v>
      </c>
      <c r="S505" s="43">
        <v>69149</v>
      </c>
      <c r="T505" s="42">
        <v>465495</v>
      </c>
    </row>
    <row r="506" spans="1:20" x14ac:dyDescent="0.3">
      <c r="A506" s="49">
        <v>45421</v>
      </c>
      <c r="B506" s="42">
        <v>42987</v>
      </c>
      <c r="C506" s="42">
        <v>203526</v>
      </c>
      <c r="D506" s="42">
        <v>217385</v>
      </c>
      <c r="E506" s="42">
        <v>220060</v>
      </c>
      <c r="F506" s="42">
        <v>652966</v>
      </c>
      <c r="G506" s="42">
        <v>301228</v>
      </c>
      <c r="H506" s="42">
        <v>56286</v>
      </c>
      <c r="I506" s="42">
        <v>92075</v>
      </c>
      <c r="J506" s="42">
        <v>306001</v>
      </c>
      <c r="K506" s="42">
        <v>539556</v>
      </c>
      <c r="L506" s="42">
        <v>167322</v>
      </c>
      <c r="M506" s="42">
        <v>1819816</v>
      </c>
      <c r="N506" s="42">
        <v>1560015</v>
      </c>
      <c r="O506" s="42">
        <v>26641</v>
      </c>
      <c r="P506" s="42">
        <v>102000</v>
      </c>
      <c r="Q506" s="42">
        <v>241785</v>
      </c>
      <c r="R506" s="42">
        <v>2052509</v>
      </c>
      <c r="S506" s="43">
        <v>70066</v>
      </c>
      <c r="T506" s="42">
        <v>464750</v>
      </c>
    </row>
    <row r="507" spans="1:20" x14ac:dyDescent="0.3">
      <c r="A507" s="49">
        <v>45420</v>
      </c>
      <c r="B507" s="42">
        <v>43334</v>
      </c>
      <c r="C507" s="42">
        <v>205086</v>
      </c>
      <c r="D507" s="42">
        <v>220677</v>
      </c>
      <c r="E507" s="42">
        <v>220839</v>
      </c>
      <c r="F507" s="42">
        <v>652770</v>
      </c>
      <c r="G507" s="42">
        <v>300224</v>
      </c>
      <c r="H507" s="42">
        <v>56438</v>
      </c>
      <c r="I507" s="42">
        <v>93143</v>
      </c>
      <c r="J507" s="42">
        <v>301528</v>
      </c>
      <c r="K507" s="42">
        <v>526888</v>
      </c>
      <c r="L507" s="42">
        <v>162170</v>
      </c>
      <c r="M507" s="42">
        <v>1814439</v>
      </c>
      <c r="N507" s="42">
        <v>1558363</v>
      </c>
      <c r="O507" s="42">
        <v>26010</v>
      </c>
      <c r="P507" s="42">
        <v>95728</v>
      </c>
      <c r="Q507" s="42">
        <v>239698</v>
      </c>
      <c r="R507" s="42">
        <v>2033610</v>
      </c>
      <c r="S507" s="43">
        <v>68227</v>
      </c>
      <c r="T507" s="42">
        <v>468752</v>
      </c>
    </row>
    <row r="508" spans="1:20" x14ac:dyDescent="0.3">
      <c r="A508" s="49">
        <v>45419</v>
      </c>
      <c r="B508" s="42">
        <v>42962</v>
      </c>
      <c r="C508" s="42">
        <v>209670</v>
      </c>
      <c r="D508" s="42">
        <v>223730</v>
      </c>
      <c r="E508" s="42">
        <v>216708</v>
      </c>
      <c r="F508" s="42">
        <v>654804</v>
      </c>
      <c r="G508" s="42">
        <v>299859</v>
      </c>
      <c r="H508" s="42">
        <v>55822</v>
      </c>
      <c r="I508" s="42">
        <v>94645</v>
      </c>
      <c r="J508" s="42">
        <v>300392</v>
      </c>
      <c r="K508" s="42">
        <v>529835</v>
      </c>
      <c r="L508" s="42">
        <v>161868</v>
      </c>
      <c r="M508" s="42">
        <v>1836765</v>
      </c>
      <c r="N508" s="42">
        <v>1560152</v>
      </c>
      <c r="O508" s="42">
        <v>26155</v>
      </c>
      <c r="P508" s="42">
        <v>92752</v>
      </c>
      <c r="Q508" s="42">
        <v>235162</v>
      </c>
      <c r="R508" s="42">
        <v>2030975</v>
      </c>
      <c r="S508" s="43">
        <v>67816</v>
      </c>
      <c r="T508" s="42">
        <v>472349</v>
      </c>
    </row>
    <row r="509" spans="1:20" x14ac:dyDescent="0.3">
      <c r="A509" s="49">
        <v>45418</v>
      </c>
      <c r="B509" s="42">
        <v>42483</v>
      </c>
      <c r="C509" s="42">
        <v>217428</v>
      </c>
      <c r="D509" s="42">
        <v>226872</v>
      </c>
      <c r="E509" s="42">
        <v>210197</v>
      </c>
      <c r="F509" s="42">
        <v>653044</v>
      </c>
      <c r="G509" s="42">
        <v>303178</v>
      </c>
      <c r="H509" s="42">
        <v>55792</v>
      </c>
      <c r="I509" s="42">
        <v>95708</v>
      </c>
      <c r="J509" s="42">
        <v>299719</v>
      </c>
      <c r="K509" s="42">
        <v>530335</v>
      </c>
      <c r="L509" s="42">
        <v>163894</v>
      </c>
      <c r="M509" s="42">
        <v>1853619</v>
      </c>
      <c r="N509" s="42">
        <v>1569283</v>
      </c>
      <c r="O509" s="42">
        <v>25711</v>
      </c>
      <c r="P509" s="42">
        <v>92089</v>
      </c>
      <c r="Q509" s="42">
        <v>237463</v>
      </c>
      <c r="R509" s="42">
        <v>2033547</v>
      </c>
      <c r="S509" s="43">
        <v>65703</v>
      </c>
      <c r="T509" s="42">
        <v>475552</v>
      </c>
    </row>
    <row r="510" spans="1:20" x14ac:dyDescent="0.3">
      <c r="A510" s="49">
        <v>45415</v>
      </c>
      <c r="B510" s="42">
        <v>43386</v>
      </c>
      <c r="C510" s="42">
        <v>216936</v>
      </c>
      <c r="D510" s="42">
        <v>224884</v>
      </c>
      <c r="E510" s="42">
        <v>210452</v>
      </c>
      <c r="F510" s="42">
        <v>656620</v>
      </c>
      <c r="G510" s="42">
        <v>308897</v>
      </c>
      <c r="H510" s="42">
        <v>56566</v>
      </c>
      <c r="I510" s="42">
        <v>97062</v>
      </c>
      <c r="J510" s="42">
        <v>301587</v>
      </c>
      <c r="K510" s="42">
        <v>525542</v>
      </c>
      <c r="L510" s="42">
        <v>162838</v>
      </c>
      <c r="M510" s="42">
        <v>1838422</v>
      </c>
      <c r="N510" s="42">
        <v>1568876</v>
      </c>
      <c r="O510" s="42">
        <v>25613</v>
      </c>
      <c r="P510" s="42">
        <v>93304</v>
      </c>
      <c r="Q510" s="42">
        <v>239141</v>
      </c>
      <c r="R510" s="42">
        <v>2019947</v>
      </c>
      <c r="S510" s="43">
        <v>67207</v>
      </c>
      <c r="T510" s="42">
        <v>480835</v>
      </c>
    </row>
    <row r="511" spans="1:20" x14ac:dyDescent="0.3">
      <c r="A511" s="49">
        <v>45414</v>
      </c>
      <c r="B511" s="42">
        <v>46848</v>
      </c>
      <c r="C511" s="42">
        <v>219480</v>
      </c>
      <c r="D511" s="42">
        <v>226856</v>
      </c>
      <c r="E511" s="42">
        <v>213829</v>
      </c>
      <c r="F511" s="42">
        <v>652697</v>
      </c>
      <c r="G511" s="42">
        <v>328720</v>
      </c>
      <c r="H511" s="42">
        <v>60390</v>
      </c>
      <c r="I511" s="42">
        <v>98252</v>
      </c>
      <c r="J511" s="42">
        <v>297663</v>
      </c>
      <c r="K511" s="42">
        <v>526097</v>
      </c>
      <c r="L511" s="42">
        <v>165202</v>
      </c>
      <c r="M511" s="42">
        <v>1834325</v>
      </c>
      <c r="N511" s="42">
        <v>1581019</v>
      </c>
      <c r="O511" s="42">
        <v>24826</v>
      </c>
      <c r="P511" s="42">
        <v>93883</v>
      </c>
      <c r="Q511" s="42">
        <v>238529</v>
      </c>
      <c r="R511" s="42">
        <v>2009091</v>
      </c>
      <c r="S511" s="43">
        <v>67984</v>
      </c>
      <c r="T511" s="42">
        <v>475690</v>
      </c>
    </row>
    <row r="512" spans="1:20" x14ac:dyDescent="0.3">
      <c r="A512" s="49">
        <v>45413</v>
      </c>
      <c r="B512" s="42">
        <v>47055</v>
      </c>
      <c r="C512" s="42">
        <v>222737</v>
      </c>
      <c r="D512" s="42">
        <v>233146</v>
      </c>
      <c r="E512" s="42">
        <v>216583</v>
      </c>
      <c r="F512" s="42">
        <v>650348</v>
      </c>
      <c r="G512" s="42">
        <v>337372</v>
      </c>
      <c r="H512" s="42">
        <v>60784</v>
      </c>
      <c r="I512" s="42">
        <v>98587</v>
      </c>
      <c r="J512" s="42">
        <v>296441</v>
      </c>
      <c r="K512" s="42">
        <v>522588</v>
      </c>
      <c r="L512" s="42">
        <v>164995</v>
      </c>
      <c r="M512" s="42">
        <v>1828853</v>
      </c>
      <c r="N512" s="42">
        <v>1587270</v>
      </c>
      <c r="O512" s="42">
        <v>24408</v>
      </c>
      <c r="P512" s="42">
        <v>92444</v>
      </c>
      <c r="Q512" s="42">
        <v>242956</v>
      </c>
      <c r="R512" s="42">
        <v>2007504</v>
      </c>
      <c r="S512" s="43">
        <v>68593</v>
      </c>
      <c r="T512" s="42">
        <v>474316</v>
      </c>
    </row>
    <row r="513" spans="1:20" x14ac:dyDescent="0.3">
      <c r="A513" s="49">
        <v>45412</v>
      </c>
      <c r="B513" s="42">
        <v>48784</v>
      </c>
      <c r="C513" s="42">
        <v>224573</v>
      </c>
      <c r="D513" s="42">
        <v>235610</v>
      </c>
      <c r="E513" s="42">
        <v>211555</v>
      </c>
      <c r="F513" s="42">
        <v>652297</v>
      </c>
      <c r="G513" s="42">
        <v>334848</v>
      </c>
      <c r="H513" s="42">
        <v>58811</v>
      </c>
      <c r="I513" s="42">
        <v>98926</v>
      </c>
      <c r="J513" s="42">
        <v>293492</v>
      </c>
      <c r="K513" s="42">
        <v>519791</v>
      </c>
      <c r="L513" s="42">
        <v>166315</v>
      </c>
      <c r="M513" s="42">
        <v>1794542</v>
      </c>
      <c r="N513" s="42">
        <v>1559471</v>
      </c>
      <c r="O513" s="42">
        <v>24797</v>
      </c>
      <c r="P513" s="42">
        <v>89960</v>
      </c>
      <c r="Q513" s="42">
        <v>253154</v>
      </c>
      <c r="R513" s="42">
        <v>2006204</v>
      </c>
      <c r="S513" s="43">
        <v>68593</v>
      </c>
      <c r="T513" s="42">
        <v>474752</v>
      </c>
    </row>
    <row r="514" spans="1:20" x14ac:dyDescent="0.3">
      <c r="A514" s="49">
        <v>45411</v>
      </c>
      <c r="B514" s="42">
        <v>48321</v>
      </c>
      <c r="C514" s="42">
        <v>225064</v>
      </c>
      <c r="D514" s="42">
        <v>238473</v>
      </c>
      <c r="E514" s="42">
        <v>209749</v>
      </c>
      <c r="F514" s="42">
        <v>652837</v>
      </c>
      <c r="G514" s="42">
        <v>345191</v>
      </c>
      <c r="H514" s="42">
        <v>56403</v>
      </c>
      <c r="I514" s="42">
        <v>97991</v>
      </c>
      <c r="J514" s="42">
        <v>297419</v>
      </c>
      <c r="K514" s="42">
        <v>524852</v>
      </c>
      <c r="L514" s="42">
        <v>169739</v>
      </c>
      <c r="M514" s="42">
        <v>1791254</v>
      </c>
      <c r="N514" s="42">
        <v>1550023</v>
      </c>
      <c r="O514" s="42">
        <v>27117</v>
      </c>
      <c r="P514" s="42">
        <v>88906</v>
      </c>
      <c r="Q514" s="42">
        <v>250250</v>
      </c>
      <c r="R514" s="42">
        <v>2015094</v>
      </c>
      <c r="S514" s="43">
        <v>66239</v>
      </c>
      <c r="T514" s="42">
        <v>479118</v>
      </c>
    </row>
    <row r="515" spans="1:20" x14ac:dyDescent="0.3">
      <c r="A515" s="49">
        <v>45408</v>
      </c>
      <c r="B515" s="42">
        <v>46274</v>
      </c>
      <c r="C515" s="42">
        <v>227369</v>
      </c>
      <c r="D515" s="42">
        <v>239399</v>
      </c>
      <c r="E515" s="42">
        <v>211625</v>
      </c>
      <c r="F515" s="42">
        <v>653790</v>
      </c>
      <c r="G515" s="42">
        <v>364084</v>
      </c>
      <c r="H515" s="42">
        <v>57042</v>
      </c>
      <c r="I515" s="42">
        <v>97285</v>
      </c>
      <c r="J515" s="42">
        <v>293582</v>
      </c>
      <c r="K515" s="42">
        <v>521317</v>
      </c>
      <c r="L515" s="42">
        <v>169094</v>
      </c>
      <c r="M515" s="42">
        <v>1806621</v>
      </c>
      <c r="N515" s="42">
        <v>1547109</v>
      </c>
      <c r="O515" s="42">
        <v>27256</v>
      </c>
      <c r="P515" s="42">
        <v>87956</v>
      </c>
      <c r="Q515" s="42">
        <v>249256</v>
      </c>
      <c r="R515" s="42">
        <v>2029740</v>
      </c>
      <c r="S515" s="43">
        <v>68196</v>
      </c>
      <c r="T515" s="42">
        <v>477550</v>
      </c>
    </row>
    <row r="516" spans="1:20" x14ac:dyDescent="0.3">
      <c r="A516" s="49">
        <v>45407</v>
      </c>
      <c r="B516" s="42">
        <v>45880</v>
      </c>
      <c r="C516" s="42">
        <v>231616</v>
      </c>
      <c r="D516" s="42">
        <v>243379</v>
      </c>
      <c r="E516" s="42">
        <v>218934</v>
      </c>
      <c r="F516" s="42">
        <v>660961</v>
      </c>
      <c r="G516" s="42">
        <v>358406</v>
      </c>
      <c r="H516" s="42">
        <v>56566</v>
      </c>
      <c r="I516" s="42">
        <v>97322</v>
      </c>
      <c r="J516" s="42">
        <v>297243</v>
      </c>
      <c r="K516" s="42">
        <v>520914</v>
      </c>
      <c r="L516" s="42">
        <v>170266</v>
      </c>
      <c r="M516" s="42">
        <v>1776521</v>
      </c>
      <c r="N516" s="42">
        <v>1530364</v>
      </c>
      <c r="O516" s="42">
        <v>27313</v>
      </c>
      <c r="P516" s="42">
        <v>89400</v>
      </c>
      <c r="Q516" s="42">
        <v>256479</v>
      </c>
      <c r="R516" s="42">
        <v>2074396</v>
      </c>
      <c r="S516" s="43">
        <v>70202</v>
      </c>
      <c r="T516" s="42">
        <v>485306</v>
      </c>
    </row>
    <row r="517" spans="1:20" x14ac:dyDescent="0.3">
      <c r="A517" s="49">
        <v>45406</v>
      </c>
      <c r="B517" s="42">
        <v>46036</v>
      </c>
      <c r="C517" s="42">
        <v>235889</v>
      </c>
      <c r="D517" s="42">
        <v>243224</v>
      </c>
      <c r="E517" s="42">
        <v>222512</v>
      </c>
      <c r="F517" s="42">
        <v>665938</v>
      </c>
      <c r="G517" s="42">
        <v>348735</v>
      </c>
      <c r="H517" s="42">
        <v>57153</v>
      </c>
      <c r="I517" s="42">
        <v>97022</v>
      </c>
      <c r="J517" s="42">
        <v>309895</v>
      </c>
      <c r="K517" s="42">
        <v>517590</v>
      </c>
      <c r="L517" s="42">
        <v>173045</v>
      </c>
      <c r="M517" s="42">
        <v>1777586</v>
      </c>
      <c r="N517" s="42">
        <v>1547849</v>
      </c>
      <c r="O517" s="42">
        <v>28164</v>
      </c>
      <c r="P517" s="42">
        <v>89321</v>
      </c>
      <c r="Q517" s="42">
        <v>254382</v>
      </c>
      <c r="R517" s="42">
        <v>2062542</v>
      </c>
      <c r="S517" s="43">
        <v>65493</v>
      </c>
      <c r="T517" s="42">
        <v>485217</v>
      </c>
    </row>
    <row r="518" spans="1:20" x14ac:dyDescent="0.3">
      <c r="A518" s="49">
        <v>45405</v>
      </c>
      <c r="B518" s="42">
        <v>45725</v>
      </c>
      <c r="C518" s="42">
        <v>239278</v>
      </c>
      <c r="D518" s="42">
        <v>242821</v>
      </c>
      <c r="E518" s="42">
        <v>226747</v>
      </c>
      <c r="F518" s="42">
        <v>665771</v>
      </c>
      <c r="G518" s="42">
        <v>336167</v>
      </c>
      <c r="H518" s="42">
        <v>58570</v>
      </c>
      <c r="I518" s="42">
        <v>96029</v>
      </c>
      <c r="J518" s="42">
        <v>308479</v>
      </c>
      <c r="K518" s="42">
        <v>516249</v>
      </c>
      <c r="L518" s="42">
        <v>175740</v>
      </c>
      <c r="M518" s="42">
        <v>1765266</v>
      </c>
      <c r="N518" s="42">
        <v>1542979</v>
      </c>
      <c r="O518" s="42">
        <v>27932</v>
      </c>
      <c r="P518" s="42">
        <v>90835</v>
      </c>
      <c r="Q518" s="42">
        <v>256222</v>
      </c>
      <c r="R518" s="42">
        <v>2067890</v>
      </c>
      <c r="S518" s="43">
        <v>67825</v>
      </c>
      <c r="T518" s="42">
        <v>479761</v>
      </c>
    </row>
    <row r="519" spans="1:20" x14ac:dyDescent="0.3">
      <c r="A519" s="49">
        <v>45404</v>
      </c>
      <c r="B519" s="42">
        <v>46335</v>
      </c>
      <c r="C519" s="42">
        <v>242608</v>
      </c>
      <c r="D519" s="42">
        <v>243084</v>
      </c>
      <c r="E519" s="42">
        <v>230393</v>
      </c>
      <c r="F519" s="42">
        <v>670098</v>
      </c>
      <c r="G519" s="42">
        <v>335610</v>
      </c>
      <c r="H519" s="42">
        <v>59611</v>
      </c>
      <c r="I519" s="42">
        <v>95987</v>
      </c>
      <c r="J519" s="42">
        <v>309080</v>
      </c>
      <c r="K519" s="42">
        <v>514937</v>
      </c>
      <c r="L519" s="42">
        <v>174134</v>
      </c>
      <c r="M519" s="42">
        <v>1752767</v>
      </c>
      <c r="N519" s="42">
        <v>1547778</v>
      </c>
      <c r="O519" s="42">
        <v>27797</v>
      </c>
      <c r="P519" s="42">
        <v>92990</v>
      </c>
      <c r="Q519" s="42">
        <v>261739</v>
      </c>
      <c r="R519" s="42">
        <v>2104093</v>
      </c>
      <c r="S519" s="43">
        <v>66668</v>
      </c>
      <c r="T519" s="42">
        <v>483737</v>
      </c>
    </row>
    <row r="520" spans="1:20" x14ac:dyDescent="0.3">
      <c r="A520" s="49">
        <v>45401</v>
      </c>
      <c r="B520" s="42">
        <v>45744</v>
      </c>
      <c r="C520" s="42">
        <v>241451</v>
      </c>
      <c r="D520" s="42">
        <v>238246</v>
      </c>
      <c r="E520" s="42">
        <v>231885</v>
      </c>
      <c r="F520" s="42">
        <v>670912</v>
      </c>
      <c r="G520" s="42">
        <v>335242</v>
      </c>
      <c r="H520" s="42">
        <v>59913</v>
      </c>
      <c r="I520" s="42">
        <v>93407</v>
      </c>
      <c r="J520" s="42">
        <v>309868</v>
      </c>
      <c r="K520" s="42">
        <v>520391</v>
      </c>
      <c r="L520" s="42">
        <v>179762</v>
      </c>
      <c r="M520" s="42">
        <v>1771873</v>
      </c>
      <c r="N520" s="42">
        <v>1568262</v>
      </c>
      <c r="O520" s="42">
        <v>28261</v>
      </c>
      <c r="P520" s="42">
        <v>95431</v>
      </c>
      <c r="Q520" s="42">
        <v>268110</v>
      </c>
      <c r="R520" s="42">
        <v>2102565</v>
      </c>
      <c r="S520" s="43">
        <v>69646</v>
      </c>
      <c r="T520" s="42">
        <v>481262</v>
      </c>
    </row>
    <row r="521" spans="1:20" x14ac:dyDescent="0.3">
      <c r="A521" s="49">
        <v>45400</v>
      </c>
      <c r="B521" s="42">
        <v>45860</v>
      </c>
      <c r="C521" s="42">
        <v>237566</v>
      </c>
      <c r="D521" s="42">
        <v>233029</v>
      </c>
      <c r="E521" s="42">
        <v>236567</v>
      </c>
      <c r="F521" s="42">
        <v>665052</v>
      </c>
      <c r="G521" s="42">
        <v>339608</v>
      </c>
      <c r="H521" s="42">
        <v>59516</v>
      </c>
      <c r="I521" s="42">
        <v>94010</v>
      </c>
      <c r="J521" s="42">
        <v>308386</v>
      </c>
      <c r="K521" s="42">
        <v>520484</v>
      </c>
      <c r="L521" s="42">
        <v>178712</v>
      </c>
      <c r="M521" s="42">
        <v>1792505</v>
      </c>
      <c r="N521" s="42">
        <v>1581652</v>
      </c>
      <c r="O521" s="42">
        <v>29326</v>
      </c>
      <c r="P521" s="42">
        <v>94517</v>
      </c>
      <c r="Q521" s="42">
        <v>263656</v>
      </c>
      <c r="R521" s="42">
        <v>2100254</v>
      </c>
      <c r="S521" s="43">
        <v>69231</v>
      </c>
      <c r="T521" s="42">
        <v>480510</v>
      </c>
    </row>
    <row r="522" spans="1:20" x14ac:dyDescent="0.3">
      <c r="A522" s="49">
        <v>45399</v>
      </c>
      <c r="B522" s="42">
        <v>45160</v>
      </c>
      <c r="C522" s="42">
        <v>240486</v>
      </c>
      <c r="D522" s="42">
        <v>229875</v>
      </c>
      <c r="E522" s="42">
        <v>237859</v>
      </c>
      <c r="F522" s="42">
        <v>668348</v>
      </c>
      <c r="G522" s="42">
        <v>334242</v>
      </c>
      <c r="H522" s="42">
        <v>61206</v>
      </c>
      <c r="I522" s="42">
        <v>94305</v>
      </c>
      <c r="J522" s="42">
        <v>304463</v>
      </c>
      <c r="K522" s="42">
        <v>515463</v>
      </c>
      <c r="L522" s="42">
        <v>176266</v>
      </c>
      <c r="M522" s="42">
        <v>1813172</v>
      </c>
      <c r="N522" s="42">
        <v>1586492</v>
      </c>
      <c r="O522" s="42">
        <v>28811</v>
      </c>
      <c r="P522" s="42">
        <v>95024</v>
      </c>
      <c r="Q522" s="42">
        <v>257193</v>
      </c>
      <c r="R522" s="42">
        <v>2088152</v>
      </c>
      <c r="S522" s="43">
        <v>70090</v>
      </c>
      <c r="T522" s="42">
        <v>481114</v>
      </c>
    </row>
    <row r="523" spans="1:20" x14ac:dyDescent="0.3">
      <c r="A523" s="49">
        <v>45398</v>
      </c>
      <c r="B523" s="42">
        <v>44069</v>
      </c>
      <c r="C523" s="42">
        <v>235404</v>
      </c>
      <c r="D523" s="42">
        <v>230494</v>
      </c>
      <c r="E523" s="42">
        <v>237526</v>
      </c>
      <c r="F523" s="42">
        <v>659253</v>
      </c>
      <c r="G523" s="42">
        <v>332614</v>
      </c>
      <c r="H523" s="42">
        <v>62857</v>
      </c>
      <c r="I523" s="42">
        <v>93411</v>
      </c>
      <c r="J523" s="42">
        <v>299220</v>
      </c>
      <c r="K523" s="42">
        <v>517193</v>
      </c>
      <c r="L523" s="42">
        <v>175784</v>
      </c>
      <c r="M523" s="42">
        <v>1799606</v>
      </c>
      <c r="N523" s="42">
        <v>1582452</v>
      </c>
      <c r="O523" s="42">
        <v>29526</v>
      </c>
      <c r="P523" s="42">
        <v>93614</v>
      </c>
      <c r="Q523" s="42">
        <v>255698</v>
      </c>
      <c r="R523" s="42">
        <v>2100522</v>
      </c>
      <c r="S523" s="43">
        <v>73611</v>
      </c>
      <c r="T523" s="42">
        <v>479102</v>
      </c>
    </row>
    <row r="524" spans="1:20" x14ac:dyDescent="0.3">
      <c r="A524" s="49">
        <v>45397</v>
      </c>
      <c r="B524" s="42">
        <v>43236</v>
      </c>
      <c r="C524" s="42">
        <v>226565</v>
      </c>
      <c r="D524" s="42">
        <v>227246</v>
      </c>
      <c r="E524" s="42">
        <v>232060</v>
      </c>
      <c r="F524" s="42">
        <v>659606</v>
      </c>
      <c r="G524" s="42">
        <v>332488</v>
      </c>
      <c r="H524" s="42">
        <v>60696</v>
      </c>
      <c r="I524" s="42">
        <v>93560</v>
      </c>
      <c r="J524" s="42">
        <v>300316</v>
      </c>
      <c r="K524" s="42">
        <v>513150</v>
      </c>
      <c r="L524" s="42">
        <v>176605</v>
      </c>
      <c r="M524" s="42">
        <v>1800696</v>
      </c>
      <c r="N524" s="42">
        <v>1584767</v>
      </c>
      <c r="O524" s="42">
        <v>29260</v>
      </c>
      <c r="P524" s="42">
        <v>96549</v>
      </c>
      <c r="Q524" s="42">
        <v>257219</v>
      </c>
      <c r="R524" s="42">
        <v>2102305</v>
      </c>
      <c r="S524" s="43">
        <v>72309</v>
      </c>
      <c r="T524" s="42">
        <v>486309</v>
      </c>
    </row>
    <row r="525" spans="1:20" x14ac:dyDescent="0.3">
      <c r="A525" s="49">
        <v>45394</v>
      </c>
      <c r="B525" s="42">
        <v>42072</v>
      </c>
      <c r="C525" s="42">
        <v>215282</v>
      </c>
      <c r="D525" s="42">
        <v>226406</v>
      </c>
      <c r="E525" s="42">
        <v>228591</v>
      </c>
      <c r="F525" s="42">
        <v>665227</v>
      </c>
      <c r="G525" s="42">
        <v>328678</v>
      </c>
      <c r="H525" s="42">
        <v>60233</v>
      </c>
      <c r="I525" s="42">
        <v>92242</v>
      </c>
      <c r="J525" s="42">
        <v>298337</v>
      </c>
      <c r="K525" s="42">
        <v>513870</v>
      </c>
      <c r="L525" s="42">
        <v>174962</v>
      </c>
      <c r="M525" s="42">
        <v>1802163</v>
      </c>
      <c r="N525" s="42">
        <v>1577334</v>
      </c>
      <c r="O525" s="42">
        <v>29739</v>
      </c>
      <c r="P525" s="42">
        <v>94148</v>
      </c>
      <c r="Q525" s="42">
        <v>253687</v>
      </c>
      <c r="R525" s="42">
        <v>2096265</v>
      </c>
      <c r="S525" s="43">
        <v>70225</v>
      </c>
      <c r="T525" s="42">
        <v>468849</v>
      </c>
    </row>
    <row r="526" spans="1:20" x14ac:dyDescent="0.3">
      <c r="A526" s="49">
        <v>45393</v>
      </c>
      <c r="B526" s="42">
        <v>42296</v>
      </c>
      <c r="C526" s="42">
        <v>207866</v>
      </c>
      <c r="D526" s="42">
        <v>225722</v>
      </c>
      <c r="E526" s="42">
        <v>222192</v>
      </c>
      <c r="F526" s="42">
        <v>655211</v>
      </c>
      <c r="G526" s="42">
        <v>335056</v>
      </c>
      <c r="H526" s="42">
        <v>57075</v>
      </c>
      <c r="I526" s="42">
        <v>92106</v>
      </c>
      <c r="J526" s="42">
        <v>298003</v>
      </c>
      <c r="K526" s="42">
        <v>523277</v>
      </c>
      <c r="L526" s="42">
        <v>178881</v>
      </c>
      <c r="M526" s="42">
        <v>1798505</v>
      </c>
      <c r="N526" s="42">
        <v>1575446</v>
      </c>
      <c r="O526" s="42">
        <v>29902</v>
      </c>
      <c r="P526" s="42">
        <v>94782</v>
      </c>
      <c r="Q526" s="42">
        <v>262460</v>
      </c>
      <c r="R526" s="42">
        <v>2080752</v>
      </c>
      <c r="S526" s="43">
        <v>70785</v>
      </c>
      <c r="T526" s="42">
        <v>467397</v>
      </c>
    </row>
    <row r="527" spans="1:20" x14ac:dyDescent="0.3">
      <c r="A527" s="49">
        <v>45392</v>
      </c>
      <c r="B527" s="42">
        <v>42920</v>
      </c>
      <c r="C527" s="42">
        <v>210211</v>
      </c>
      <c r="D527" s="42">
        <v>230454</v>
      </c>
      <c r="E527" s="42">
        <v>211701</v>
      </c>
      <c r="F527" s="42">
        <v>654229</v>
      </c>
      <c r="G527" s="42">
        <v>336173</v>
      </c>
      <c r="H527" s="42">
        <v>56758</v>
      </c>
      <c r="I527" s="42">
        <v>93387</v>
      </c>
      <c r="J527" s="42">
        <v>298750</v>
      </c>
      <c r="K527" s="42">
        <v>505601</v>
      </c>
      <c r="L527" s="42">
        <v>175072</v>
      </c>
      <c r="M527" s="42">
        <v>1779526</v>
      </c>
      <c r="N527" s="42">
        <v>1556332</v>
      </c>
      <c r="O527" s="42">
        <v>29322</v>
      </c>
      <c r="P527" s="42">
        <v>92522</v>
      </c>
      <c r="Q527" s="42">
        <v>256271</v>
      </c>
      <c r="R527" s="42">
        <v>2088161</v>
      </c>
      <c r="S527" s="43">
        <v>71056</v>
      </c>
      <c r="T527" s="42">
        <v>465734</v>
      </c>
    </row>
    <row r="528" spans="1:20" x14ac:dyDescent="0.3">
      <c r="A528" s="49">
        <v>45391</v>
      </c>
      <c r="B528" s="42">
        <v>40448</v>
      </c>
      <c r="C528" s="42">
        <v>208938</v>
      </c>
      <c r="D528" s="42">
        <v>211286</v>
      </c>
      <c r="E528" s="42">
        <v>192964</v>
      </c>
      <c r="F528" s="42">
        <v>643496</v>
      </c>
      <c r="G528" s="42">
        <v>324479</v>
      </c>
      <c r="H528" s="42">
        <v>56260</v>
      </c>
      <c r="I528" s="42">
        <v>90833</v>
      </c>
      <c r="J528" s="42">
        <v>301181</v>
      </c>
      <c r="K528" s="42">
        <v>505214</v>
      </c>
      <c r="L528" s="42">
        <v>174397</v>
      </c>
      <c r="M528" s="42">
        <v>1762094</v>
      </c>
      <c r="N528" s="42">
        <v>1550045</v>
      </c>
      <c r="O528" s="42">
        <v>29074</v>
      </c>
      <c r="P528" s="42">
        <v>92484</v>
      </c>
      <c r="Q528" s="42">
        <v>260430</v>
      </c>
      <c r="R528" s="42">
        <v>2091937</v>
      </c>
      <c r="S528" s="43">
        <v>70035</v>
      </c>
      <c r="T528" s="42">
        <v>472587</v>
      </c>
    </row>
    <row r="529" spans="1:20" x14ac:dyDescent="0.3">
      <c r="A529" s="49">
        <v>45390</v>
      </c>
      <c r="B529" s="42">
        <v>38635</v>
      </c>
      <c r="C529" s="42">
        <v>212036</v>
      </c>
      <c r="D529" s="42">
        <v>213423</v>
      </c>
      <c r="E529" s="42">
        <v>192846</v>
      </c>
      <c r="F529" s="42">
        <v>647020</v>
      </c>
      <c r="G529" s="42">
        <v>325238</v>
      </c>
      <c r="H529" s="42">
        <v>56061</v>
      </c>
      <c r="I529" s="42">
        <v>90253</v>
      </c>
      <c r="J529" s="42">
        <v>308168</v>
      </c>
      <c r="K529" s="42">
        <v>503537</v>
      </c>
      <c r="L529" s="42">
        <v>174695</v>
      </c>
      <c r="M529" s="42">
        <v>1750497</v>
      </c>
      <c r="N529" s="42">
        <v>1563196</v>
      </c>
      <c r="O529" s="42">
        <v>29481</v>
      </c>
      <c r="P529" s="42">
        <v>91554</v>
      </c>
      <c r="Q529" s="42">
        <v>261747</v>
      </c>
      <c r="R529" s="42">
        <v>2100254</v>
      </c>
      <c r="S529" s="43">
        <v>67283</v>
      </c>
      <c r="T529" s="42">
        <v>474303</v>
      </c>
    </row>
    <row r="530" spans="1:20" x14ac:dyDescent="0.3">
      <c r="A530" s="49">
        <v>45387</v>
      </c>
      <c r="B530" s="42">
        <v>38480</v>
      </c>
      <c r="C530" s="42">
        <v>213089</v>
      </c>
      <c r="D530" s="42">
        <v>210079</v>
      </c>
      <c r="E530" s="42">
        <v>192109</v>
      </c>
      <c r="F530" s="42">
        <v>652065</v>
      </c>
      <c r="G530" s="42">
        <v>319896</v>
      </c>
      <c r="H530" s="42">
        <v>56730</v>
      </c>
      <c r="I530" s="42">
        <v>88827</v>
      </c>
      <c r="J530" s="42">
        <v>299389</v>
      </c>
      <c r="K530" s="42">
        <v>509247</v>
      </c>
      <c r="L530" s="42">
        <v>174986</v>
      </c>
      <c r="M530" s="42">
        <v>1768900</v>
      </c>
      <c r="N530" s="42">
        <v>1581924</v>
      </c>
      <c r="O530" s="42">
        <v>28882</v>
      </c>
      <c r="P530" s="42">
        <v>91430</v>
      </c>
      <c r="Q530" s="42">
        <v>261262</v>
      </c>
      <c r="R530" s="42">
        <v>2110724</v>
      </c>
      <c r="S530" s="43">
        <v>73027</v>
      </c>
      <c r="T530" s="42">
        <v>472737</v>
      </c>
    </row>
    <row r="531" spans="1:20" x14ac:dyDescent="0.3">
      <c r="A531" s="49">
        <v>45386</v>
      </c>
      <c r="B531" s="48">
        <v>37086</v>
      </c>
      <c r="C531" s="42">
        <v>220739</v>
      </c>
      <c r="D531" s="42">
        <v>214225</v>
      </c>
      <c r="E531" s="42">
        <v>188740</v>
      </c>
      <c r="F531" s="42">
        <v>662340</v>
      </c>
      <c r="G531" s="42">
        <v>317881</v>
      </c>
      <c r="H531" s="42">
        <v>57147</v>
      </c>
      <c r="I531" s="42">
        <v>89851</v>
      </c>
      <c r="J531" s="42">
        <v>301518</v>
      </c>
      <c r="K531" s="42">
        <v>499257</v>
      </c>
      <c r="L531" s="42">
        <v>172686</v>
      </c>
      <c r="M531" s="42">
        <v>1783343</v>
      </c>
      <c r="N531" s="42">
        <v>1603512</v>
      </c>
      <c r="O531" s="42">
        <v>29458</v>
      </c>
      <c r="P531" s="42">
        <v>94013</v>
      </c>
      <c r="Q531" s="42">
        <v>261686</v>
      </c>
      <c r="R531" s="42">
        <v>2091717</v>
      </c>
      <c r="S531" s="43">
        <v>70344</v>
      </c>
      <c r="T531" s="42">
        <v>482667</v>
      </c>
    </row>
    <row r="532" spans="1:20" x14ac:dyDescent="0.3">
      <c r="A532" s="49">
        <v>45385</v>
      </c>
      <c r="B532" s="48">
        <v>37568</v>
      </c>
      <c r="C532" s="42">
        <v>221393</v>
      </c>
      <c r="D532" s="42">
        <v>215647</v>
      </c>
      <c r="E532" s="42">
        <v>193789</v>
      </c>
      <c r="F532" s="42">
        <v>673661</v>
      </c>
      <c r="G532" s="42">
        <v>319658</v>
      </c>
      <c r="H532" s="42">
        <v>58831</v>
      </c>
      <c r="I532" s="42">
        <v>88926</v>
      </c>
      <c r="J532" s="42">
        <v>302130</v>
      </c>
      <c r="K532" s="42">
        <v>499606</v>
      </c>
      <c r="L532" s="42">
        <v>171379</v>
      </c>
      <c r="M532" s="42">
        <v>1763209</v>
      </c>
      <c r="N532" s="42">
        <v>1589343</v>
      </c>
      <c r="O532" s="42">
        <v>29528</v>
      </c>
      <c r="P532" s="42">
        <v>93521</v>
      </c>
      <c r="Q532" s="42">
        <v>257531</v>
      </c>
      <c r="R532" s="42">
        <v>2090359</v>
      </c>
      <c r="S532" s="43">
        <v>73398</v>
      </c>
      <c r="T532" s="42">
        <v>484211</v>
      </c>
    </row>
    <row r="533" spans="1:20" x14ac:dyDescent="0.3">
      <c r="A533" s="49">
        <v>45384</v>
      </c>
      <c r="B533" s="48">
        <v>38130</v>
      </c>
      <c r="C533" s="42">
        <v>224894</v>
      </c>
      <c r="D533" s="42">
        <v>219176</v>
      </c>
      <c r="E533" s="42">
        <v>197171</v>
      </c>
      <c r="F533" s="42">
        <v>682768</v>
      </c>
      <c r="G533" s="42">
        <v>316809</v>
      </c>
      <c r="H533" s="42">
        <v>61732</v>
      </c>
      <c r="I533" s="42">
        <v>87108</v>
      </c>
      <c r="J533" s="42">
        <v>293955</v>
      </c>
      <c r="K533" s="42">
        <v>500045</v>
      </c>
      <c r="L533" s="42">
        <v>166823</v>
      </c>
      <c r="M533" s="42">
        <v>1757685</v>
      </c>
      <c r="N533" s="42">
        <v>1590071</v>
      </c>
      <c r="O533" s="42">
        <v>29745</v>
      </c>
      <c r="P533" s="42">
        <v>93520</v>
      </c>
      <c r="Q533" s="42">
        <v>259439</v>
      </c>
      <c r="R533" s="42">
        <v>2089222</v>
      </c>
      <c r="S533" s="43">
        <v>79896</v>
      </c>
      <c r="T533" s="42">
        <v>481431</v>
      </c>
    </row>
    <row r="534" spans="1:20" x14ac:dyDescent="0.3">
      <c r="A534" s="49">
        <v>45383</v>
      </c>
      <c r="B534" s="48">
        <v>35638</v>
      </c>
      <c r="C534" s="42">
        <v>225240</v>
      </c>
      <c r="D534" s="42">
        <v>217775</v>
      </c>
      <c r="E534" s="42">
        <v>198146</v>
      </c>
      <c r="F534" s="42">
        <v>680901</v>
      </c>
      <c r="G534" s="42">
        <v>319789</v>
      </c>
      <c r="H534" s="42">
        <v>61067</v>
      </c>
      <c r="I534" s="42">
        <v>87314</v>
      </c>
      <c r="J534" s="42">
        <v>291953</v>
      </c>
      <c r="K534" s="42">
        <v>498778</v>
      </c>
      <c r="L534" s="42">
        <v>161753</v>
      </c>
      <c r="M534" s="42">
        <v>1763616</v>
      </c>
      <c r="N534" s="42">
        <v>1584401</v>
      </c>
      <c r="O534" s="42">
        <v>32083</v>
      </c>
      <c r="P534" s="42">
        <v>95106</v>
      </c>
      <c r="Q534" s="42">
        <v>260863</v>
      </c>
      <c r="R534" s="42">
        <v>2121172</v>
      </c>
      <c r="S534" s="43">
        <v>72249</v>
      </c>
      <c r="T534" s="42">
        <v>479199</v>
      </c>
    </row>
    <row r="535" spans="1:20" x14ac:dyDescent="0.3">
      <c r="A535" s="49">
        <v>45379</v>
      </c>
      <c r="B535" s="48">
        <v>33340</v>
      </c>
      <c r="C535" s="42">
        <v>220597</v>
      </c>
      <c r="D535" s="42">
        <v>210294</v>
      </c>
      <c r="E535" s="42">
        <v>193376</v>
      </c>
      <c r="F535" s="42">
        <v>661664</v>
      </c>
      <c r="G535" s="42">
        <v>304851</v>
      </c>
      <c r="H535" s="42">
        <v>58451</v>
      </c>
      <c r="I535" s="42">
        <v>85721</v>
      </c>
      <c r="J535" s="42">
        <v>285383</v>
      </c>
      <c r="K535" s="42">
        <v>507408</v>
      </c>
      <c r="L535" s="42">
        <v>160095</v>
      </c>
      <c r="M535" s="42">
        <v>1775492</v>
      </c>
      <c r="N535" s="42">
        <v>1587702</v>
      </c>
      <c r="O535" s="42">
        <v>31768</v>
      </c>
      <c r="P535" s="42">
        <v>96586</v>
      </c>
      <c r="Q535" s="42">
        <v>261568</v>
      </c>
      <c r="R535" s="42">
        <v>2124236</v>
      </c>
      <c r="S535" s="43">
        <v>72249</v>
      </c>
      <c r="T535" s="42">
        <v>477758</v>
      </c>
    </row>
    <row r="536" spans="1:20" x14ac:dyDescent="0.3">
      <c r="A536" s="49">
        <v>45378</v>
      </c>
      <c r="B536" s="48">
        <v>32712</v>
      </c>
      <c r="C536" s="42">
        <v>218536</v>
      </c>
      <c r="D536" s="42">
        <v>207848</v>
      </c>
      <c r="E536" s="42">
        <v>193573</v>
      </c>
      <c r="F536" s="42">
        <v>656743</v>
      </c>
      <c r="G536" s="42">
        <v>297734</v>
      </c>
      <c r="H536" s="42">
        <v>54166</v>
      </c>
      <c r="I536" s="42">
        <v>83013</v>
      </c>
      <c r="J536" s="42">
        <v>282461</v>
      </c>
      <c r="K536" s="42">
        <v>500741</v>
      </c>
      <c r="L536" s="42">
        <v>160525</v>
      </c>
      <c r="M536" s="42">
        <v>1770367</v>
      </c>
      <c r="N536" s="42">
        <v>1574893</v>
      </c>
      <c r="O536" s="42">
        <v>31584</v>
      </c>
      <c r="P536" s="42">
        <v>95034</v>
      </c>
      <c r="Q536" s="42">
        <v>259395</v>
      </c>
      <c r="R536" s="42">
        <v>2149818</v>
      </c>
      <c r="S536" s="43">
        <v>73247</v>
      </c>
      <c r="T536" s="42">
        <v>477812</v>
      </c>
    </row>
    <row r="537" spans="1:20" x14ac:dyDescent="0.3">
      <c r="A537" s="49">
        <v>45377</v>
      </c>
      <c r="B537" s="48">
        <v>31997</v>
      </c>
      <c r="C537" s="42">
        <v>218982</v>
      </c>
      <c r="D537" s="42">
        <v>203109</v>
      </c>
      <c r="E537" s="42">
        <v>190995</v>
      </c>
      <c r="F537" s="42">
        <v>657300</v>
      </c>
      <c r="G537" s="42">
        <v>305701</v>
      </c>
      <c r="H537" s="42">
        <v>53416</v>
      </c>
      <c r="I537" s="42">
        <v>80460</v>
      </c>
      <c r="J537" s="42">
        <v>280731</v>
      </c>
      <c r="K537" s="42">
        <v>503642</v>
      </c>
      <c r="L537" s="42">
        <v>160327</v>
      </c>
      <c r="M537" s="42">
        <v>1775565</v>
      </c>
      <c r="N537" s="42">
        <v>1543743</v>
      </c>
      <c r="O537" s="42">
        <v>31238</v>
      </c>
      <c r="P537" s="42">
        <v>92741</v>
      </c>
      <c r="Q537" s="42">
        <v>254474</v>
      </c>
      <c r="R537" s="42">
        <v>2110848</v>
      </c>
      <c r="S537" s="43">
        <v>71606</v>
      </c>
      <c r="T537" s="42">
        <v>476207</v>
      </c>
    </row>
    <row r="538" spans="1:20" x14ac:dyDescent="0.3">
      <c r="A538" s="49">
        <v>45376</v>
      </c>
      <c r="B538" s="48">
        <v>31512</v>
      </c>
      <c r="C538" s="42">
        <v>221552</v>
      </c>
      <c r="D538" s="42">
        <v>204452</v>
      </c>
      <c r="E538" s="42">
        <v>194309</v>
      </c>
      <c r="F538" s="42">
        <v>657867</v>
      </c>
      <c r="G538" s="42">
        <v>305367</v>
      </c>
      <c r="H538" s="42">
        <v>52869</v>
      </c>
      <c r="I538" s="42">
        <v>80006</v>
      </c>
      <c r="J538" s="42">
        <v>282006</v>
      </c>
      <c r="K538" s="42">
        <v>515458</v>
      </c>
      <c r="L538" s="42">
        <v>160251</v>
      </c>
      <c r="M538" s="42">
        <v>1762514</v>
      </c>
      <c r="N538" s="42">
        <v>1533900</v>
      </c>
      <c r="O538" s="42">
        <v>32071</v>
      </c>
      <c r="P538" s="42">
        <v>94774</v>
      </c>
      <c r="Q538" s="42">
        <v>255296</v>
      </c>
      <c r="R538" s="42">
        <v>2087859</v>
      </c>
      <c r="S538" s="43">
        <v>69533</v>
      </c>
      <c r="T538" s="42">
        <v>476008</v>
      </c>
    </row>
    <row r="539" spans="1:20" x14ac:dyDescent="0.3">
      <c r="A539" s="49">
        <v>45373</v>
      </c>
      <c r="B539" s="48">
        <v>30826</v>
      </c>
      <c r="C539" s="42">
        <v>220931</v>
      </c>
      <c r="D539" s="42">
        <v>205993</v>
      </c>
      <c r="E539" s="42">
        <v>193886</v>
      </c>
      <c r="F539" s="42">
        <v>658782</v>
      </c>
      <c r="G539" s="42">
        <v>305271</v>
      </c>
      <c r="H539" s="42">
        <v>52545</v>
      </c>
      <c r="I539" s="42">
        <v>80948</v>
      </c>
      <c r="J539" s="42">
        <v>279186</v>
      </c>
      <c r="K539" s="42">
        <v>528410</v>
      </c>
      <c r="L539" s="42">
        <v>159038</v>
      </c>
      <c r="M539" s="42">
        <v>1743003</v>
      </c>
      <c r="N539" s="42">
        <v>1547153</v>
      </c>
      <c r="O539" s="42">
        <v>31301</v>
      </c>
      <c r="P539" s="42">
        <v>96824</v>
      </c>
      <c r="Q539" s="42">
        <v>253366</v>
      </c>
      <c r="R539" s="42">
        <v>2079410</v>
      </c>
      <c r="S539" s="43">
        <v>69858</v>
      </c>
      <c r="T539" s="42">
        <v>471331</v>
      </c>
    </row>
    <row r="540" spans="1:20" x14ac:dyDescent="0.3">
      <c r="A540" s="49">
        <v>45372</v>
      </c>
      <c r="B540" s="48">
        <v>26537</v>
      </c>
      <c r="C540" s="42">
        <v>219576</v>
      </c>
      <c r="D540" s="42">
        <v>204769</v>
      </c>
      <c r="E540" s="42">
        <v>178631</v>
      </c>
      <c r="F540" s="42">
        <v>658360</v>
      </c>
      <c r="G540" s="42">
        <v>310236</v>
      </c>
      <c r="H540" s="42">
        <v>50673</v>
      </c>
      <c r="I540" s="42">
        <v>79705</v>
      </c>
      <c r="J540" s="42">
        <v>271120</v>
      </c>
      <c r="K540" s="42">
        <v>538677</v>
      </c>
      <c r="L540" s="42">
        <v>159536</v>
      </c>
      <c r="M540" s="42">
        <v>1736560</v>
      </c>
      <c r="N540" s="42">
        <v>1551190</v>
      </c>
      <c r="O540" s="42">
        <v>32301</v>
      </c>
      <c r="P540" s="42">
        <v>101424</v>
      </c>
      <c r="Q540" s="42">
        <v>252106</v>
      </c>
      <c r="R540" s="42">
        <v>2087319</v>
      </c>
      <c r="S540" s="43">
        <v>70761</v>
      </c>
      <c r="T540" s="42">
        <v>476024</v>
      </c>
    </row>
    <row r="541" spans="1:20" x14ac:dyDescent="0.3">
      <c r="A541" s="49">
        <v>45371</v>
      </c>
      <c r="B541" s="48">
        <v>24805</v>
      </c>
      <c r="C541" s="42">
        <v>224437</v>
      </c>
      <c r="D541" s="42">
        <v>197079</v>
      </c>
      <c r="E541" s="42">
        <v>182389</v>
      </c>
      <c r="F541" s="42">
        <v>660271</v>
      </c>
      <c r="G541" s="42">
        <v>397782</v>
      </c>
      <c r="H541" s="42">
        <v>50262</v>
      </c>
      <c r="I541" s="42">
        <v>72456</v>
      </c>
      <c r="J541" s="42">
        <v>271456</v>
      </c>
      <c r="K541" s="42">
        <v>537614</v>
      </c>
      <c r="L541" s="42">
        <v>156670</v>
      </c>
      <c r="M541" s="42">
        <v>1724148</v>
      </c>
      <c r="N541" s="42">
        <v>1570652</v>
      </c>
      <c r="O541" s="42">
        <v>34087</v>
      </c>
      <c r="P541" s="42">
        <v>95557</v>
      </c>
      <c r="Q541" s="42">
        <v>250968</v>
      </c>
      <c r="R541" s="42">
        <v>2103749</v>
      </c>
      <c r="S541" s="43">
        <v>69413</v>
      </c>
      <c r="T541" s="42">
        <v>579790</v>
      </c>
    </row>
    <row r="542" spans="1:20" x14ac:dyDescent="0.3">
      <c r="A542" s="49">
        <v>45370</v>
      </c>
      <c r="B542" s="5">
        <v>23819</v>
      </c>
      <c r="C542" s="42">
        <v>287955</v>
      </c>
      <c r="D542" s="42">
        <v>239218</v>
      </c>
      <c r="E542" s="42">
        <v>230592</v>
      </c>
      <c r="F542" s="42">
        <v>760190</v>
      </c>
      <c r="G542" s="42">
        <v>394528</v>
      </c>
      <c r="H542" s="42">
        <v>63124</v>
      </c>
      <c r="I542" s="42">
        <v>95120</v>
      </c>
      <c r="J542" s="42">
        <v>269690</v>
      </c>
      <c r="K542" s="42">
        <v>535047</v>
      </c>
      <c r="L542" s="42">
        <v>153154</v>
      </c>
      <c r="M542" s="42">
        <v>1713716</v>
      </c>
      <c r="N542" s="42">
        <v>1590503</v>
      </c>
      <c r="O542" s="42">
        <v>33196</v>
      </c>
      <c r="P542" s="42">
        <v>93851</v>
      </c>
      <c r="Q542" s="42">
        <v>250194</v>
      </c>
      <c r="R542" s="42">
        <v>2094749</v>
      </c>
      <c r="S542" s="43">
        <v>68124</v>
      </c>
      <c r="T542" s="42">
        <v>576262</v>
      </c>
    </row>
    <row r="543" spans="1:20" x14ac:dyDescent="0.3">
      <c r="A543" s="49">
        <v>45369</v>
      </c>
      <c r="B543" s="5">
        <v>22905</v>
      </c>
      <c r="C543" s="42">
        <v>279425</v>
      </c>
      <c r="D543" s="42">
        <v>241380</v>
      </c>
      <c r="E543" s="42">
        <v>222385</v>
      </c>
      <c r="F543" s="42">
        <v>760143</v>
      </c>
      <c r="G543" s="42">
        <v>364277</v>
      </c>
      <c r="H543" s="42">
        <v>59201</v>
      </c>
      <c r="I543" s="42">
        <v>93610</v>
      </c>
      <c r="J543" s="42">
        <v>269291</v>
      </c>
      <c r="K543" s="42">
        <v>539420</v>
      </c>
      <c r="L543" s="42">
        <v>151389</v>
      </c>
      <c r="M543" s="42">
        <v>1714969</v>
      </c>
      <c r="N543" s="42">
        <v>1608585</v>
      </c>
      <c r="O543" s="42">
        <v>32666</v>
      </c>
      <c r="P543" s="42">
        <v>91105</v>
      </c>
      <c r="Q543" s="42">
        <v>252685</v>
      </c>
      <c r="R543" s="42">
        <v>2064185</v>
      </c>
      <c r="S543" s="43">
        <v>66587</v>
      </c>
      <c r="T543" s="42">
        <v>579445</v>
      </c>
    </row>
    <row r="544" spans="1:20" x14ac:dyDescent="0.3">
      <c r="A544" s="49">
        <v>45366</v>
      </c>
      <c r="B544" s="48">
        <v>24550</v>
      </c>
      <c r="C544" s="42">
        <v>275896</v>
      </c>
      <c r="D544" s="42">
        <v>241377</v>
      </c>
      <c r="E544" s="42">
        <v>232300</v>
      </c>
      <c r="F544" s="42">
        <v>759151</v>
      </c>
      <c r="G544" s="42">
        <v>362074</v>
      </c>
      <c r="H544" s="42">
        <v>57293</v>
      </c>
      <c r="I544" s="42">
        <v>90646</v>
      </c>
      <c r="J544" s="42">
        <v>264030</v>
      </c>
      <c r="K544" s="42">
        <v>535274</v>
      </c>
      <c r="L544" s="42">
        <v>150497</v>
      </c>
      <c r="M544" s="42">
        <v>1713219</v>
      </c>
      <c r="N544" s="42">
        <v>1615040</v>
      </c>
      <c r="O544" s="42">
        <v>32394</v>
      </c>
      <c r="P544" s="42">
        <v>113753</v>
      </c>
      <c r="Q544" s="42">
        <v>336533</v>
      </c>
      <c r="R544" s="42">
        <v>2716219</v>
      </c>
      <c r="S544" s="43">
        <v>71481</v>
      </c>
      <c r="T544" s="42">
        <v>564693</v>
      </c>
    </row>
    <row r="545" spans="1:20" x14ac:dyDescent="0.3">
      <c r="A545" s="49">
        <v>45365</v>
      </c>
      <c r="B545" s="48">
        <v>25831</v>
      </c>
      <c r="C545" s="42">
        <v>275014</v>
      </c>
      <c r="D545" s="42">
        <v>248494</v>
      </c>
      <c r="E545" s="42">
        <v>227429</v>
      </c>
      <c r="F545" s="42">
        <v>766054</v>
      </c>
      <c r="G545" s="42">
        <v>353552</v>
      </c>
      <c r="H545" s="42">
        <v>57252</v>
      </c>
      <c r="I545" s="42">
        <v>92935</v>
      </c>
      <c r="J545" s="42">
        <v>256364</v>
      </c>
      <c r="K545" s="42">
        <v>539571</v>
      </c>
      <c r="L545" s="42">
        <v>148533</v>
      </c>
      <c r="M545" s="42">
        <v>1715257</v>
      </c>
      <c r="N545" s="42">
        <v>1617506</v>
      </c>
      <c r="O545" s="42">
        <v>32034</v>
      </c>
      <c r="P545" s="42">
        <v>114897</v>
      </c>
      <c r="Q545" s="42">
        <v>328910</v>
      </c>
      <c r="R545" s="42">
        <v>2719178</v>
      </c>
      <c r="S545" s="43">
        <v>93670</v>
      </c>
      <c r="T545" s="42">
        <v>553438</v>
      </c>
    </row>
    <row r="546" spans="1:20" x14ac:dyDescent="0.3">
      <c r="A546" s="49">
        <v>45364</v>
      </c>
      <c r="B546" s="48">
        <v>27212</v>
      </c>
      <c r="C546" s="42">
        <v>263820</v>
      </c>
      <c r="D546" s="42">
        <v>259293</v>
      </c>
      <c r="E546" s="42">
        <v>201821</v>
      </c>
      <c r="F546" s="42">
        <v>736864</v>
      </c>
      <c r="G546" s="42">
        <v>329083</v>
      </c>
      <c r="H546" s="42">
        <v>59942</v>
      </c>
      <c r="I546" s="42">
        <v>93649</v>
      </c>
      <c r="J546" s="42">
        <v>247180</v>
      </c>
      <c r="K546" s="42">
        <v>540654</v>
      </c>
      <c r="L546" s="42">
        <v>147424</v>
      </c>
      <c r="M546" s="42">
        <v>1711885</v>
      </c>
      <c r="N546" s="42">
        <v>1625020</v>
      </c>
      <c r="O546" s="42">
        <v>31002</v>
      </c>
      <c r="P546" s="42">
        <v>117777</v>
      </c>
      <c r="Q546" s="42">
        <v>323087</v>
      </c>
      <c r="R546" s="42">
        <v>2694313</v>
      </c>
      <c r="S546" s="43">
        <v>106089</v>
      </c>
      <c r="T546" s="42">
        <v>547284</v>
      </c>
    </row>
    <row r="547" spans="1:20" x14ac:dyDescent="0.3">
      <c r="A547" s="49">
        <v>45363</v>
      </c>
      <c r="B547" s="48">
        <v>26365</v>
      </c>
      <c r="C547" s="42">
        <v>229723</v>
      </c>
      <c r="D547" s="42">
        <v>277702</v>
      </c>
      <c r="E547" s="42">
        <v>193223</v>
      </c>
      <c r="F547" s="42">
        <v>717720</v>
      </c>
      <c r="G547" s="42">
        <v>325675</v>
      </c>
      <c r="H547" s="42">
        <v>52711</v>
      </c>
      <c r="I547" s="42">
        <v>82442</v>
      </c>
      <c r="J547" s="42">
        <v>219445</v>
      </c>
      <c r="K547" s="42">
        <v>516057</v>
      </c>
      <c r="L547" s="42">
        <v>144534</v>
      </c>
      <c r="M547" s="42">
        <v>1718985</v>
      </c>
      <c r="N547" s="42">
        <v>1595652</v>
      </c>
      <c r="O547" s="42">
        <v>30398</v>
      </c>
      <c r="P547" s="42">
        <v>112366</v>
      </c>
      <c r="Q547" s="42">
        <v>331912</v>
      </c>
      <c r="R547" s="42">
        <v>2678339</v>
      </c>
      <c r="S547" s="43">
        <v>112227</v>
      </c>
      <c r="T547" s="42">
        <v>528971</v>
      </c>
    </row>
    <row r="548" spans="1:20" x14ac:dyDescent="0.3">
      <c r="A548" s="49">
        <v>45362</v>
      </c>
      <c r="B548" s="48">
        <v>26013</v>
      </c>
      <c r="C548" s="42">
        <v>227690</v>
      </c>
      <c r="D548" s="42">
        <v>260806</v>
      </c>
      <c r="E548" s="42">
        <v>187856</v>
      </c>
      <c r="F548" s="42">
        <v>725487</v>
      </c>
      <c r="G548" s="42">
        <v>316131</v>
      </c>
      <c r="H548" s="42">
        <v>51441</v>
      </c>
      <c r="I548" s="42">
        <v>74920</v>
      </c>
      <c r="J548" s="42">
        <v>214820</v>
      </c>
      <c r="K548" s="42">
        <v>529474</v>
      </c>
      <c r="L548" s="42">
        <v>145248</v>
      </c>
      <c r="M548" s="42">
        <v>1714062</v>
      </c>
      <c r="N548" s="42">
        <v>1579770</v>
      </c>
      <c r="O548" s="42">
        <v>30205</v>
      </c>
      <c r="P548" s="42">
        <v>101203</v>
      </c>
      <c r="Q548" s="42">
        <v>329489</v>
      </c>
      <c r="R548" s="42">
        <v>2566721</v>
      </c>
      <c r="S548" s="43">
        <v>96070</v>
      </c>
      <c r="T548" s="42">
        <v>518534</v>
      </c>
    </row>
    <row r="549" spans="1:20" x14ac:dyDescent="0.3">
      <c r="A549" s="49">
        <v>45359</v>
      </c>
      <c r="B549" s="48">
        <v>26382</v>
      </c>
      <c r="C549" s="42">
        <v>223125</v>
      </c>
      <c r="D549" s="42">
        <v>254982</v>
      </c>
      <c r="E549" s="42">
        <v>181681</v>
      </c>
      <c r="F549" s="42">
        <v>707277</v>
      </c>
      <c r="G549" s="42">
        <v>310609</v>
      </c>
      <c r="H549" s="42">
        <v>47699</v>
      </c>
      <c r="I549" s="42">
        <v>75493</v>
      </c>
      <c r="J549" s="42">
        <v>212082</v>
      </c>
      <c r="K549" s="42">
        <v>534119</v>
      </c>
      <c r="L549" s="42">
        <v>142481</v>
      </c>
      <c r="M549" s="42">
        <v>1700141</v>
      </c>
      <c r="N549" s="42">
        <v>1565773</v>
      </c>
      <c r="O549" s="42">
        <v>28899</v>
      </c>
      <c r="P549" s="42">
        <v>102057</v>
      </c>
      <c r="Q549" s="42">
        <v>300602</v>
      </c>
      <c r="R549" s="42">
        <v>2449415</v>
      </c>
      <c r="S549" s="43">
        <v>78677</v>
      </c>
      <c r="T549" s="42">
        <v>517143</v>
      </c>
    </row>
    <row r="550" spans="1:20" x14ac:dyDescent="0.3">
      <c r="A550" s="49">
        <v>45358</v>
      </c>
      <c r="B550" s="48">
        <v>27932</v>
      </c>
      <c r="C550" s="42">
        <v>228791</v>
      </c>
      <c r="D550" s="42">
        <v>239392</v>
      </c>
      <c r="E550" s="42">
        <v>178388</v>
      </c>
      <c r="F550" s="42">
        <v>708097</v>
      </c>
      <c r="G550" s="42">
        <v>317200</v>
      </c>
      <c r="H550" s="42">
        <v>49651</v>
      </c>
      <c r="I550" s="42">
        <v>74146</v>
      </c>
      <c r="J550" s="42">
        <v>210647</v>
      </c>
      <c r="K550" s="42">
        <v>506927</v>
      </c>
      <c r="L550" s="42">
        <v>144228</v>
      </c>
      <c r="M550" s="42">
        <v>1693412</v>
      </c>
      <c r="N550" s="42">
        <v>1561009</v>
      </c>
      <c r="O550" s="42">
        <v>28530</v>
      </c>
      <c r="P550" s="42">
        <v>98310</v>
      </c>
      <c r="Q550" s="42">
        <v>303280</v>
      </c>
      <c r="R550" s="42">
        <v>2391389</v>
      </c>
      <c r="S550" s="43">
        <v>80268</v>
      </c>
      <c r="T550" s="42">
        <v>519348</v>
      </c>
    </row>
    <row r="551" spans="1:20" x14ac:dyDescent="0.3">
      <c r="A551" s="49">
        <v>45357</v>
      </c>
      <c r="B551" s="48">
        <v>28420</v>
      </c>
      <c r="C551" s="42">
        <v>233251</v>
      </c>
      <c r="D551" s="42">
        <v>227246</v>
      </c>
      <c r="E551" s="42">
        <v>181273</v>
      </c>
      <c r="F551" s="42">
        <v>706873</v>
      </c>
      <c r="G551" s="42">
        <v>316861</v>
      </c>
      <c r="H551" s="42">
        <v>48201</v>
      </c>
      <c r="I551" s="42">
        <v>75554</v>
      </c>
      <c r="J551" s="42">
        <v>205035</v>
      </c>
      <c r="K551" s="42">
        <v>487332</v>
      </c>
      <c r="L551" s="42">
        <v>141744</v>
      </c>
      <c r="M551" s="42">
        <v>1667506</v>
      </c>
      <c r="N551" s="42">
        <v>1537227</v>
      </c>
      <c r="O551" s="42">
        <v>28277</v>
      </c>
      <c r="P551" s="42">
        <v>97003</v>
      </c>
      <c r="Q551" s="42">
        <v>294997</v>
      </c>
      <c r="R551" s="42">
        <v>2379976</v>
      </c>
      <c r="S551" s="43">
        <v>73896</v>
      </c>
      <c r="T551" s="42">
        <v>516540</v>
      </c>
    </row>
    <row r="552" spans="1:20" x14ac:dyDescent="0.3">
      <c r="A552" s="49">
        <v>45356</v>
      </c>
      <c r="B552" s="48">
        <v>28450</v>
      </c>
      <c r="C552" s="42">
        <v>234196</v>
      </c>
      <c r="D552" s="42">
        <v>221726</v>
      </c>
      <c r="E552" s="42">
        <v>183697</v>
      </c>
      <c r="F552" s="42">
        <v>707108</v>
      </c>
      <c r="G552" s="42">
        <v>314586</v>
      </c>
      <c r="H552" s="42">
        <v>50123</v>
      </c>
      <c r="I552" s="42">
        <v>76166</v>
      </c>
      <c r="J552" s="42">
        <v>198561</v>
      </c>
      <c r="K552" s="42">
        <v>471616</v>
      </c>
      <c r="L552" s="42">
        <v>141026</v>
      </c>
      <c r="M552" s="42">
        <v>1642519</v>
      </c>
      <c r="N552" s="42">
        <v>1533317</v>
      </c>
      <c r="O552" s="42">
        <v>27747</v>
      </c>
      <c r="P552" s="42">
        <v>99156</v>
      </c>
      <c r="Q552" s="42">
        <v>289047</v>
      </c>
      <c r="R552" s="42">
        <v>2377697</v>
      </c>
      <c r="S552" s="43">
        <v>74214</v>
      </c>
      <c r="T552" s="42">
        <v>518963</v>
      </c>
    </row>
    <row r="553" spans="1:20" x14ac:dyDescent="0.3">
      <c r="A553" s="49">
        <v>45355</v>
      </c>
      <c r="B553" s="48">
        <v>28768</v>
      </c>
      <c r="C553" s="42">
        <v>218134</v>
      </c>
      <c r="D553" s="42">
        <v>219789</v>
      </c>
      <c r="E553" s="42">
        <v>182148</v>
      </c>
      <c r="F553" s="42">
        <v>710824</v>
      </c>
      <c r="G553" s="42">
        <v>312843</v>
      </c>
      <c r="H553" s="42">
        <v>46771</v>
      </c>
      <c r="I553" s="42">
        <v>74385</v>
      </c>
      <c r="J553" s="42">
        <v>197138</v>
      </c>
      <c r="K553" s="42">
        <v>467693</v>
      </c>
      <c r="L553" s="42">
        <v>143353</v>
      </c>
      <c r="M553" s="42">
        <v>1622921</v>
      </c>
      <c r="N553" s="42">
        <v>1515495</v>
      </c>
      <c r="O553" s="42">
        <v>27965</v>
      </c>
      <c r="P553" s="42">
        <v>101755</v>
      </c>
      <c r="Q553" s="42">
        <v>299269</v>
      </c>
      <c r="R553" s="42">
        <v>2374143</v>
      </c>
      <c r="S553" s="43">
        <v>73094</v>
      </c>
      <c r="T553" s="42">
        <v>514839</v>
      </c>
    </row>
    <row r="554" spans="1:20" x14ac:dyDescent="0.3">
      <c r="A554" s="49">
        <v>45352</v>
      </c>
      <c r="B554" s="48">
        <v>28661</v>
      </c>
      <c r="C554" s="42">
        <v>217928</v>
      </c>
      <c r="D554" s="42">
        <v>212097</v>
      </c>
      <c r="E554" s="42">
        <v>178624</v>
      </c>
      <c r="F554" s="42">
        <v>713830</v>
      </c>
      <c r="G554" s="42">
        <v>307794</v>
      </c>
      <c r="H554" s="42">
        <v>46648</v>
      </c>
      <c r="I554" s="42">
        <v>74731</v>
      </c>
      <c r="J554" s="42">
        <v>192235</v>
      </c>
      <c r="K554" s="42">
        <v>454383</v>
      </c>
      <c r="L554" s="42">
        <v>143210</v>
      </c>
      <c r="M554" s="42">
        <v>1634686</v>
      </c>
      <c r="N554" s="42">
        <v>1505914</v>
      </c>
      <c r="O554" s="42">
        <v>26741</v>
      </c>
      <c r="P554" s="42">
        <v>101898</v>
      </c>
      <c r="Q554" s="42">
        <v>307790</v>
      </c>
      <c r="R554" s="42">
        <v>2373842</v>
      </c>
      <c r="S554" s="43">
        <v>78763</v>
      </c>
      <c r="T554" s="42">
        <v>515015</v>
      </c>
    </row>
    <row r="555" spans="1:20" x14ac:dyDescent="0.3">
      <c r="A555" s="49">
        <v>45351</v>
      </c>
      <c r="B555" s="48">
        <v>28918</v>
      </c>
      <c r="C555" s="42">
        <v>217253</v>
      </c>
      <c r="D555" s="42">
        <v>209765</v>
      </c>
      <c r="E555" s="42">
        <v>175303</v>
      </c>
      <c r="F555" s="42">
        <v>715655</v>
      </c>
      <c r="G555" s="42">
        <v>308375</v>
      </c>
      <c r="H555" s="42">
        <v>47802</v>
      </c>
      <c r="I555" s="42">
        <v>71204</v>
      </c>
      <c r="J555" s="42">
        <v>190765</v>
      </c>
      <c r="K555" s="42">
        <v>424082</v>
      </c>
      <c r="L555" s="42">
        <v>142861</v>
      </c>
      <c r="M555" s="42">
        <v>1614907</v>
      </c>
      <c r="N555" s="42">
        <v>1495975</v>
      </c>
      <c r="O555" s="42">
        <v>25513</v>
      </c>
      <c r="P555" s="42">
        <v>101718</v>
      </c>
      <c r="Q555" s="42">
        <v>296613</v>
      </c>
      <c r="R555" s="42">
        <v>2346816</v>
      </c>
      <c r="S555" s="43">
        <v>77154</v>
      </c>
      <c r="T555" s="42">
        <v>513213</v>
      </c>
    </row>
    <row r="556" spans="1:20" x14ac:dyDescent="0.3">
      <c r="A556" s="49">
        <v>45350</v>
      </c>
      <c r="B556" s="48">
        <v>29158</v>
      </c>
      <c r="C556" s="42">
        <v>215397</v>
      </c>
      <c r="D556" s="42">
        <v>209354</v>
      </c>
      <c r="E556" s="42">
        <v>172420</v>
      </c>
      <c r="F556" s="42">
        <v>714658</v>
      </c>
      <c r="G556" s="42">
        <v>310320</v>
      </c>
      <c r="H556" s="42">
        <v>47287</v>
      </c>
      <c r="I556" s="42">
        <v>65196</v>
      </c>
      <c r="J556" s="42">
        <v>189775</v>
      </c>
      <c r="K556" s="42">
        <v>411689</v>
      </c>
      <c r="L556" s="42">
        <v>146515</v>
      </c>
      <c r="M556" s="42">
        <v>1631474</v>
      </c>
      <c r="N556" s="42">
        <v>1486779</v>
      </c>
      <c r="O556" s="42">
        <v>24242</v>
      </c>
      <c r="P556" s="42">
        <v>102835</v>
      </c>
      <c r="Q556" s="42">
        <v>290127</v>
      </c>
      <c r="R556" s="42">
        <v>2335298</v>
      </c>
      <c r="S556" s="43">
        <v>74213</v>
      </c>
      <c r="T556" s="42">
        <v>511518</v>
      </c>
    </row>
    <row r="557" spans="1:20" x14ac:dyDescent="0.3">
      <c r="A557" s="49">
        <v>45349</v>
      </c>
      <c r="B557" s="48">
        <v>29549</v>
      </c>
      <c r="C557" s="42">
        <v>204992</v>
      </c>
      <c r="D557" s="42">
        <v>210828</v>
      </c>
      <c r="E557" s="42">
        <v>166484</v>
      </c>
      <c r="F557" s="42">
        <v>715545</v>
      </c>
      <c r="G557" s="42">
        <v>309633</v>
      </c>
      <c r="H557" s="42">
        <v>48463</v>
      </c>
      <c r="I557" s="42">
        <v>65207</v>
      </c>
      <c r="J557" s="42">
        <v>189805</v>
      </c>
      <c r="K557" s="42">
        <v>411195</v>
      </c>
      <c r="L557" s="42">
        <v>144382</v>
      </c>
      <c r="M557" s="42">
        <v>1658921</v>
      </c>
      <c r="N557" s="42">
        <v>1500882</v>
      </c>
      <c r="O557" s="42">
        <v>25229</v>
      </c>
      <c r="P557" s="42">
        <v>104051</v>
      </c>
      <c r="Q557" s="42">
        <v>288075</v>
      </c>
      <c r="R557" s="42">
        <v>2344340</v>
      </c>
      <c r="S557" s="43">
        <v>74213</v>
      </c>
      <c r="T557" s="42">
        <v>507573</v>
      </c>
    </row>
    <row r="558" spans="1:20" x14ac:dyDescent="0.3">
      <c r="A558" s="49">
        <v>45348</v>
      </c>
      <c r="B558" s="48">
        <v>29938</v>
      </c>
      <c r="C558" s="42">
        <v>204790</v>
      </c>
      <c r="D558" s="42">
        <v>209972</v>
      </c>
      <c r="E558" s="42">
        <v>163508</v>
      </c>
      <c r="F558" s="42">
        <v>718455</v>
      </c>
      <c r="G558" s="42">
        <v>316514</v>
      </c>
      <c r="H558" s="42">
        <v>49372</v>
      </c>
      <c r="I558" s="42">
        <v>64314</v>
      </c>
      <c r="J558" s="42">
        <v>191285</v>
      </c>
      <c r="K558" s="42">
        <v>410324</v>
      </c>
      <c r="L558" s="42">
        <v>145766</v>
      </c>
      <c r="M558" s="42">
        <v>1657740</v>
      </c>
      <c r="N558" s="42">
        <v>1498403</v>
      </c>
      <c r="O558" s="42">
        <v>26908</v>
      </c>
      <c r="P558" s="42">
        <v>106080</v>
      </c>
      <c r="Q558" s="42">
        <v>285463</v>
      </c>
      <c r="R558" s="42">
        <v>2344316</v>
      </c>
      <c r="S558" s="43">
        <v>70367</v>
      </c>
      <c r="T558" s="42">
        <v>496301</v>
      </c>
    </row>
    <row r="559" spans="1:20" x14ac:dyDescent="0.3">
      <c r="A559" s="49">
        <v>45345</v>
      </c>
      <c r="B559" s="48">
        <v>30185</v>
      </c>
      <c r="C559" s="42">
        <v>204681</v>
      </c>
      <c r="D559" s="42">
        <v>207646</v>
      </c>
      <c r="E559" s="42">
        <v>160863</v>
      </c>
      <c r="F559" s="42">
        <v>714990</v>
      </c>
      <c r="G559" s="42">
        <v>313905</v>
      </c>
      <c r="H559" s="42">
        <v>49629</v>
      </c>
      <c r="I559" s="42">
        <v>63723</v>
      </c>
      <c r="J559" s="42">
        <v>200572</v>
      </c>
      <c r="K559" s="42">
        <v>413724</v>
      </c>
      <c r="L559" s="42">
        <v>145644</v>
      </c>
      <c r="M559" s="42">
        <v>1650842</v>
      </c>
      <c r="N559" s="42">
        <v>1540200</v>
      </c>
      <c r="O559" s="42">
        <v>25676</v>
      </c>
      <c r="P559" s="42">
        <v>105857</v>
      </c>
      <c r="Q559" s="42">
        <v>286029</v>
      </c>
      <c r="R559" s="42">
        <v>2362423</v>
      </c>
      <c r="S559" s="43">
        <v>74139</v>
      </c>
      <c r="T559" s="42">
        <v>503407</v>
      </c>
    </row>
    <row r="560" spans="1:20" x14ac:dyDescent="0.3">
      <c r="A560" s="49">
        <v>45344</v>
      </c>
      <c r="B560" s="48">
        <v>30422</v>
      </c>
      <c r="C560" s="42">
        <v>208466</v>
      </c>
      <c r="D560" s="42">
        <v>202320</v>
      </c>
      <c r="E560" s="42">
        <v>160972</v>
      </c>
      <c r="F560" s="42">
        <v>722217</v>
      </c>
      <c r="G560" s="42">
        <v>315545</v>
      </c>
      <c r="H560" s="42">
        <v>46794</v>
      </c>
      <c r="I560" s="42">
        <v>62774</v>
      </c>
      <c r="J560" s="42">
        <v>204380</v>
      </c>
      <c r="K560" s="42">
        <v>408043</v>
      </c>
      <c r="L560" s="42">
        <v>145906</v>
      </c>
      <c r="M560" s="42">
        <v>1643709</v>
      </c>
      <c r="N560" s="42">
        <v>1542220</v>
      </c>
      <c r="O560" s="42">
        <v>25969</v>
      </c>
      <c r="P560" s="42">
        <v>106972</v>
      </c>
      <c r="Q560" s="42">
        <v>296287</v>
      </c>
      <c r="R560" s="42">
        <v>2352472</v>
      </c>
      <c r="S560" s="43">
        <v>81145</v>
      </c>
      <c r="T560" s="42">
        <v>499652</v>
      </c>
    </row>
    <row r="561" spans="1:20" x14ac:dyDescent="0.3">
      <c r="A561" s="49">
        <v>45343</v>
      </c>
      <c r="B561" s="48">
        <v>29902</v>
      </c>
      <c r="C561" s="42">
        <v>209791</v>
      </c>
      <c r="D561" s="42">
        <v>198214</v>
      </c>
      <c r="E561" s="42">
        <v>159350</v>
      </c>
      <c r="F561" s="42">
        <v>717583</v>
      </c>
      <c r="G561" s="42">
        <v>313082</v>
      </c>
      <c r="H561" s="42">
        <v>43079</v>
      </c>
      <c r="I561" s="42">
        <v>60532</v>
      </c>
      <c r="J561" s="42">
        <v>212422</v>
      </c>
      <c r="K561" s="42">
        <v>407169</v>
      </c>
      <c r="L561" s="42">
        <v>146395</v>
      </c>
      <c r="M561" s="42">
        <v>1664556</v>
      </c>
      <c r="N561" s="42">
        <v>1546854</v>
      </c>
      <c r="O561" s="42">
        <v>25681</v>
      </c>
      <c r="P561" s="42">
        <v>102256</v>
      </c>
      <c r="Q561" s="42">
        <v>286248</v>
      </c>
      <c r="R561" s="42">
        <v>2308679</v>
      </c>
      <c r="S561" s="43">
        <v>72950</v>
      </c>
      <c r="T561" s="42">
        <v>505652</v>
      </c>
    </row>
    <row r="562" spans="1:20" x14ac:dyDescent="0.3">
      <c r="A562" s="49">
        <v>45342</v>
      </c>
      <c r="B562" s="48">
        <v>29958</v>
      </c>
      <c r="C562" s="42">
        <v>205834</v>
      </c>
      <c r="D562" s="42">
        <v>201231</v>
      </c>
      <c r="E562" s="42">
        <v>157666</v>
      </c>
      <c r="F562" s="42">
        <v>723125</v>
      </c>
      <c r="G562" s="42">
        <v>306136</v>
      </c>
      <c r="H562" s="42">
        <v>40950</v>
      </c>
      <c r="I562" s="42">
        <v>60030</v>
      </c>
      <c r="J562" s="42">
        <v>229777</v>
      </c>
      <c r="K562" s="42">
        <v>407063</v>
      </c>
      <c r="L562" s="42">
        <v>146584</v>
      </c>
      <c r="M562" s="42">
        <v>1662234</v>
      </c>
      <c r="N562" s="42">
        <v>1592460</v>
      </c>
      <c r="O562" s="42">
        <v>25530</v>
      </c>
      <c r="P562" s="42">
        <v>102374</v>
      </c>
      <c r="Q562" s="42">
        <v>287130</v>
      </c>
      <c r="R562" s="42">
        <v>2322953</v>
      </c>
      <c r="S562" s="43">
        <v>71100</v>
      </c>
      <c r="T562" s="42">
        <v>503300</v>
      </c>
    </row>
    <row r="563" spans="1:20" x14ac:dyDescent="0.3">
      <c r="A563" s="7">
        <v>45338</v>
      </c>
      <c r="B563" s="48">
        <v>32264</v>
      </c>
      <c r="C563" s="42">
        <v>202488</v>
      </c>
      <c r="D563" s="42">
        <v>193962</v>
      </c>
      <c r="E563" s="42">
        <v>156699</v>
      </c>
      <c r="F563" s="42">
        <v>727489</v>
      </c>
      <c r="G563" s="42">
        <v>301960</v>
      </c>
      <c r="H563" s="42">
        <v>39442</v>
      </c>
      <c r="I563" s="42">
        <v>58773</v>
      </c>
      <c r="J563" s="42">
        <v>240107</v>
      </c>
      <c r="K563" s="42">
        <v>406999</v>
      </c>
      <c r="L563" s="42">
        <v>153220</v>
      </c>
      <c r="M563" s="42">
        <v>1665402</v>
      </c>
      <c r="N563" s="42">
        <v>1611795</v>
      </c>
      <c r="O563" s="42">
        <v>25728</v>
      </c>
      <c r="P563" s="42">
        <v>102975</v>
      </c>
      <c r="Q563" s="42">
        <v>288200</v>
      </c>
      <c r="R563" s="42">
        <v>2342156</v>
      </c>
      <c r="S563" s="43">
        <v>74943</v>
      </c>
      <c r="T563" s="42">
        <v>506742</v>
      </c>
    </row>
    <row r="564" spans="1:20" x14ac:dyDescent="0.3">
      <c r="A564" s="7">
        <v>45337</v>
      </c>
      <c r="B564" s="42">
        <v>31447</v>
      </c>
      <c r="C564" s="42">
        <v>203320</v>
      </c>
      <c r="D564" s="42">
        <v>193701</v>
      </c>
      <c r="E564" s="42">
        <v>156584</v>
      </c>
      <c r="F564" s="42">
        <v>729885</v>
      </c>
      <c r="G564" s="42">
        <v>297191</v>
      </c>
      <c r="H564" s="42">
        <v>40923</v>
      </c>
      <c r="I564" s="42">
        <v>58108</v>
      </c>
      <c r="J564" s="42">
        <v>253587</v>
      </c>
      <c r="K564" s="42">
        <v>412454</v>
      </c>
      <c r="L564" s="42">
        <v>150643</v>
      </c>
      <c r="M564" s="42">
        <v>1684822</v>
      </c>
      <c r="N564" s="42">
        <v>1611826</v>
      </c>
      <c r="O564" s="42">
        <v>25655</v>
      </c>
      <c r="P564" s="42">
        <v>104329</v>
      </c>
      <c r="Q564" s="42">
        <v>288380</v>
      </c>
      <c r="R564" s="42">
        <v>2350753</v>
      </c>
      <c r="S564" s="43">
        <v>73536</v>
      </c>
      <c r="T564" s="42">
        <v>504977</v>
      </c>
    </row>
    <row r="565" spans="1:20" x14ac:dyDescent="0.3">
      <c r="A565" s="7">
        <v>45336</v>
      </c>
      <c r="B565" s="42">
        <v>32142</v>
      </c>
      <c r="C565" s="42">
        <v>201885</v>
      </c>
      <c r="D565" s="42">
        <v>196168</v>
      </c>
      <c r="E565" s="42">
        <v>157700</v>
      </c>
      <c r="F565" s="42">
        <v>736313</v>
      </c>
      <c r="G565" s="42">
        <v>303962</v>
      </c>
      <c r="H565" s="42">
        <v>41051</v>
      </c>
      <c r="I565" s="42">
        <v>58022</v>
      </c>
      <c r="J565" s="42">
        <v>256206</v>
      </c>
      <c r="K565" s="42">
        <v>419172</v>
      </c>
      <c r="L565" s="42">
        <v>151749</v>
      </c>
      <c r="M565" s="42">
        <v>1674004</v>
      </c>
      <c r="N565" s="42">
        <v>1586991</v>
      </c>
      <c r="O565" s="42">
        <v>25601</v>
      </c>
      <c r="P565" s="42">
        <v>102286</v>
      </c>
      <c r="Q565" s="42">
        <v>296091</v>
      </c>
      <c r="R565" s="42">
        <v>2329603</v>
      </c>
      <c r="S565" s="43">
        <v>72271</v>
      </c>
      <c r="T565" s="42">
        <v>487847</v>
      </c>
    </row>
    <row r="566" spans="1:20" x14ac:dyDescent="0.3">
      <c r="A566" s="7">
        <v>45335</v>
      </c>
      <c r="B566" s="42">
        <v>32227</v>
      </c>
      <c r="C566" s="42">
        <v>199485</v>
      </c>
      <c r="D566" s="42">
        <v>199070</v>
      </c>
      <c r="E566" s="42">
        <v>161519</v>
      </c>
      <c r="F566" s="42">
        <v>740105</v>
      </c>
      <c r="G566" s="42">
        <v>304592</v>
      </c>
      <c r="H566" s="42">
        <v>41827</v>
      </c>
      <c r="I566" s="42">
        <v>55069</v>
      </c>
      <c r="J566" s="42">
        <v>257761</v>
      </c>
      <c r="K566" s="42">
        <v>420812</v>
      </c>
      <c r="L566" s="42">
        <v>152544</v>
      </c>
      <c r="M566" s="42">
        <v>1715857</v>
      </c>
      <c r="N566" s="42">
        <v>1554063</v>
      </c>
      <c r="O566" s="42">
        <v>24769</v>
      </c>
      <c r="P566" s="42">
        <v>103437</v>
      </c>
      <c r="Q566" s="42">
        <v>295946</v>
      </c>
      <c r="R566" s="42">
        <v>2338964</v>
      </c>
      <c r="S566" s="43">
        <v>73083</v>
      </c>
      <c r="T566" s="42">
        <v>485028</v>
      </c>
    </row>
    <row r="567" spans="1:20" x14ac:dyDescent="0.3">
      <c r="A567" s="7">
        <v>45334</v>
      </c>
      <c r="B567" s="42">
        <v>29492</v>
      </c>
      <c r="C567" s="42">
        <v>187961</v>
      </c>
      <c r="D567" s="42">
        <v>194864</v>
      </c>
      <c r="E567" s="42">
        <v>157318</v>
      </c>
      <c r="F567" s="42">
        <v>732735</v>
      </c>
      <c r="G567" s="42">
        <v>285338</v>
      </c>
      <c r="H567" s="42">
        <v>40733</v>
      </c>
      <c r="I567" s="42">
        <v>52346</v>
      </c>
      <c r="J567" s="42">
        <v>256807</v>
      </c>
      <c r="K567" s="42">
        <v>417298</v>
      </c>
      <c r="L567" s="42">
        <v>146762</v>
      </c>
      <c r="M567" s="42">
        <v>1753960</v>
      </c>
      <c r="N567" s="42">
        <v>1533393</v>
      </c>
      <c r="O567" s="42">
        <v>24839</v>
      </c>
      <c r="P567" s="42">
        <v>109381</v>
      </c>
      <c r="Q567" s="42">
        <v>303521</v>
      </c>
      <c r="R567" s="42">
        <v>2378434</v>
      </c>
      <c r="S567" s="43">
        <v>71400</v>
      </c>
      <c r="T567" s="42">
        <v>482644</v>
      </c>
    </row>
    <row r="568" spans="1:20" x14ac:dyDescent="0.3">
      <c r="A568" s="7">
        <v>45331</v>
      </c>
      <c r="B568" s="42">
        <v>29045</v>
      </c>
      <c r="C568" s="42">
        <v>184753</v>
      </c>
      <c r="D568" s="42">
        <v>193384</v>
      </c>
      <c r="E568" s="42">
        <v>157471</v>
      </c>
      <c r="F568" s="42">
        <v>733484</v>
      </c>
      <c r="G568" s="42">
        <v>280011</v>
      </c>
      <c r="H568" s="42">
        <v>40606</v>
      </c>
      <c r="I568" s="42">
        <v>49590</v>
      </c>
      <c r="J568" s="42">
        <v>262259</v>
      </c>
      <c r="K568" s="42">
        <v>417607</v>
      </c>
      <c r="L568" s="42">
        <v>147002</v>
      </c>
      <c r="M568" s="42">
        <v>1777106</v>
      </c>
      <c r="N568" s="42">
        <v>1516849</v>
      </c>
      <c r="O568" s="42">
        <v>24110</v>
      </c>
      <c r="P568" s="42">
        <v>107031</v>
      </c>
      <c r="Q568" s="42">
        <v>308119</v>
      </c>
      <c r="R568" s="42">
        <v>2365936</v>
      </c>
      <c r="S568" s="43">
        <v>73223</v>
      </c>
      <c r="T568" s="42">
        <v>479790</v>
      </c>
    </row>
    <row r="569" spans="1:20" x14ac:dyDescent="0.3">
      <c r="A569" s="7">
        <v>45330</v>
      </c>
      <c r="B569" s="48">
        <v>29039</v>
      </c>
      <c r="C569" s="42">
        <v>185191</v>
      </c>
      <c r="D569" s="42">
        <v>193216</v>
      </c>
      <c r="E569" s="42">
        <v>157002</v>
      </c>
      <c r="F569" s="42">
        <v>734605</v>
      </c>
      <c r="G569" s="42">
        <v>276600</v>
      </c>
      <c r="H569" s="42">
        <v>39680</v>
      </c>
      <c r="I569" s="42">
        <v>49618</v>
      </c>
      <c r="J569" s="42">
        <v>259540</v>
      </c>
      <c r="K569" s="42">
        <v>420398</v>
      </c>
      <c r="L569" s="42">
        <v>148280</v>
      </c>
      <c r="M569" s="42">
        <v>1797128</v>
      </c>
      <c r="N569" s="42">
        <v>1521891</v>
      </c>
      <c r="O569" s="42">
        <v>23094</v>
      </c>
      <c r="P569" s="42">
        <v>108365</v>
      </c>
      <c r="Q569" s="42">
        <v>299697</v>
      </c>
      <c r="R569" s="42">
        <v>2335774</v>
      </c>
      <c r="S569" s="43">
        <v>72629</v>
      </c>
      <c r="T569" s="42">
        <v>482474</v>
      </c>
    </row>
    <row r="570" spans="1:20" x14ac:dyDescent="0.3">
      <c r="A570" s="7">
        <v>45329</v>
      </c>
      <c r="B570" s="48">
        <v>28517</v>
      </c>
      <c r="C570" s="42">
        <v>179916</v>
      </c>
      <c r="D570" s="42">
        <v>195017</v>
      </c>
      <c r="E570" s="42">
        <v>157936</v>
      </c>
      <c r="F570" s="42">
        <v>732142</v>
      </c>
      <c r="G570" s="42">
        <v>258701</v>
      </c>
      <c r="H570" s="42">
        <v>38167</v>
      </c>
      <c r="I570" s="42">
        <v>49455</v>
      </c>
      <c r="J570" s="42">
        <v>252996</v>
      </c>
      <c r="K570" s="42">
        <v>421429</v>
      </c>
      <c r="L570" s="42">
        <v>148564</v>
      </c>
      <c r="M570" s="42">
        <v>1795633</v>
      </c>
      <c r="N570" s="42">
        <v>1528311</v>
      </c>
      <c r="O570" s="42">
        <v>21893</v>
      </c>
      <c r="P570" s="42">
        <v>108156</v>
      </c>
      <c r="Q570" s="42">
        <v>297478</v>
      </c>
      <c r="R570" s="42">
        <v>2332037</v>
      </c>
      <c r="S570" s="43">
        <v>72665</v>
      </c>
      <c r="T570" s="42">
        <v>485242</v>
      </c>
    </row>
    <row r="571" spans="1:20" x14ac:dyDescent="0.3">
      <c r="A571" s="7">
        <v>45328</v>
      </c>
      <c r="B571" s="48">
        <v>29202</v>
      </c>
      <c r="C571" s="42">
        <v>180793</v>
      </c>
      <c r="D571" s="42">
        <v>199246</v>
      </c>
      <c r="E571" s="42">
        <v>160118</v>
      </c>
      <c r="F571" s="42">
        <v>731991</v>
      </c>
      <c r="G571" s="42">
        <v>259542</v>
      </c>
      <c r="H571" s="42">
        <v>39305</v>
      </c>
      <c r="I571" s="42">
        <v>49919</v>
      </c>
      <c r="J571" s="42">
        <v>245784</v>
      </c>
      <c r="K571" s="42">
        <v>419121</v>
      </c>
      <c r="L571" s="42">
        <v>147333</v>
      </c>
      <c r="M571" s="42">
        <v>1808220</v>
      </c>
      <c r="N571" s="42">
        <v>1533041</v>
      </c>
      <c r="O571" s="42">
        <v>20897</v>
      </c>
      <c r="P571" s="42">
        <v>104421</v>
      </c>
      <c r="Q571" s="42">
        <v>285062</v>
      </c>
      <c r="R571" s="42">
        <v>2297385</v>
      </c>
      <c r="S571" s="43">
        <v>74611</v>
      </c>
      <c r="T571" s="42">
        <v>484088</v>
      </c>
    </row>
    <row r="572" spans="1:20" x14ac:dyDescent="0.3">
      <c r="A572" s="7">
        <v>45327</v>
      </c>
      <c r="B572" s="48">
        <v>30221</v>
      </c>
      <c r="C572" s="42">
        <v>172321</v>
      </c>
      <c r="D572" s="42">
        <v>204278</v>
      </c>
      <c r="E572" s="42">
        <v>161521</v>
      </c>
      <c r="F572" s="42">
        <v>731541</v>
      </c>
      <c r="G572" s="42">
        <v>260973</v>
      </c>
      <c r="H572" s="42">
        <v>37790</v>
      </c>
      <c r="I572" s="42">
        <v>49168</v>
      </c>
      <c r="J572" s="42">
        <v>241315</v>
      </c>
      <c r="K572" s="42">
        <v>418029</v>
      </c>
      <c r="L572" s="42">
        <v>144442</v>
      </c>
      <c r="M572" s="42">
        <v>1806577</v>
      </c>
      <c r="N572" s="42">
        <v>1510264</v>
      </c>
      <c r="O572" s="42">
        <v>19974</v>
      </c>
      <c r="P572" s="42">
        <v>103171</v>
      </c>
      <c r="Q572" s="42">
        <v>286568</v>
      </c>
      <c r="R572" s="42">
        <v>2302295</v>
      </c>
      <c r="S572" s="43">
        <v>68856</v>
      </c>
      <c r="T572" s="42">
        <v>496367</v>
      </c>
    </row>
    <row r="573" spans="1:20" x14ac:dyDescent="0.3">
      <c r="A573" s="7">
        <v>45324</v>
      </c>
      <c r="B573" s="48">
        <v>27327</v>
      </c>
      <c r="C573" s="42">
        <v>169300</v>
      </c>
      <c r="D573" s="42">
        <v>202582</v>
      </c>
      <c r="E573" s="42">
        <v>160007</v>
      </c>
      <c r="F573" s="42">
        <v>732029</v>
      </c>
      <c r="G573" s="42">
        <v>263707</v>
      </c>
      <c r="H573" s="42">
        <v>37160</v>
      </c>
      <c r="I573" s="42">
        <v>48674</v>
      </c>
      <c r="J573" s="42">
        <v>227190</v>
      </c>
      <c r="K573" s="42">
        <v>419923</v>
      </c>
      <c r="L573" s="42">
        <v>139548</v>
      </c>
      <c r="M573" s="42">
        <v>1791151</v>
      </c>
      <c r="N573" s="42">
        <v>1498352</v>
      </c>
      <c r="O573" s="42">
        <v>20574</v>
      </c>
      <c r="P573" s="42">
        <v>107029</v>
      </c>
      <c r="Q573" s="42">
        <v>286421</v>
      </c>
      <c r="R573" s="42">
        <v>2303848</v>
      </c>
      <c r="S573" s="43">
        <v>69662</v>
      </c>
      <c r="T573" s="42">
        <v>510247</v>
      </c>
    </row>
    <row r="574" spans="1:20" x14ac:dyDescent="0.3">
      <c r="A574" s="7">
        <v>45323</v>
      </c>
      <c r="B574" s="48">
        <v>25403</v>
      </c>
      <c r="C574" s="42">
        <v>169832</v>
      </c>
      <c r="D574" s="42">
        <v>192187</v>
      </c>
      <c r="E574" s="42">
        <v>159942</v>
      </c>
      <c r="F574" s="42">
        <v>724323</v>
      </c>
      <c r="G574" s="42">
        <v>240874</v>
      </c>
      <c r="H574" s="42">
        <v>36244</v>
      </c>
      <c r="I574" s="42">
        <v>47949</v>
      </c>
      <c r="J574" s="42">
        <v>223925</v>
      </c>
      <c r="K574" s="42">
        <v>430036</v>
      </c>
      <c r="L574" s="42">
        <v>137141</v>
      </c>
      <c r="M574" s="42">
        <v>1776101</v>
      </c>
      <c r="N574" s="42">
        <v>1485227</v>
      </c>
      <c r="O574" s="42">
        <v>20571</v>
      </c>
      <c r="P574" s="42">
        <v>106247</v>
      </c>
      <c r="Q574" s="42">
        <v>286674</v>
      </c>
      <c r="R574" s="42">
        <v>2300732</v>
      </c>
      <c r="S574" s="43">
        <v>71929</v>
      </c>
      <c r="T574" s="42">
        <v>515851</v>
      </c>
    </row>
    <row r="575" spans="1:20" x14ac:dyDescent="0.3">
      <c r="A575" s="7">
        <v>45322</v>
      </c>
      <c r="B575" s="48">
        <v>25465</v>
      </c>
      <c r="C575" s="42">
        <v>167442</v>
      </c>
      <c r="D575" s="42">
        <v>191080</v>
      </c>
      <c r="E575" s="42">
        <v>158568</v>
      </c>
      <c r="F575" s="42">
        <v>728724</v>
      </c>
      <c r="G575" s="42">
        <v>245377</v>
      </c>
      <c r="H575" s="42">
        <v>36335</v>
      </c>
      <c r="I575" s="42">
        <v>48600</v>
      </c>
      <c r="J575" s="42">
        <v>225894</v>
      </c>
      <c r="K575" s="42">
        <v>432793</v>
      </c>
      <c r="L575" s="42">
        <v>136386</v>
      </c>
      <c r="M575" s="42">
        <v>1766979</v>
      </c>
      <c r="N575" s="42">
        <v>1476547</v>
      </c>
      <c r="O575" s="42">
        <v>20519</v>
      </c>
      <c r="P575" s="42">
        <v>104559</v>
      </c>
      <c r="Q575" s="42">
        <v>288047</v>
      </c>
      <c r="R575" s="42">
        <v>2283237</v>
      </c>
      <c r="S575" s="43">
        <v>70697</v>
      </c>
      <c r="T575" s="42">
        <v>514842</v>
      </c>
    </row>
    <row r="576" spans="1:20" x14ac:dyDescent="0.3">
      <c r="A576" s="7">
        <v>45321</v>
      </c>
      <c r="B576" s="48">
        <v>25739</v>
      </c>
      <c r="C576" s="42">
        <v>165531</v>
      </c>
      <c r="D576" s="42">
        <v>192229</v>
      </c>
      <c r="E576" s="42">
        <v>159376</v>
      </c>
      <c r="F576" s="42">
        <v>727210</v>
      </c>
      <c r="G576" s="42">
        <v>242029</v>
      </c>
      <c r="H576" s="42">
        <v>36979</v>
      </c>
      <c r="I576" s="42">
        <v>47783</v>
      </c>
      <c r="J576" s="42">
        <v>229699</v>
      </c>
      <c r="K576" s="42">
        <v>430328</v>
      </c>
      <c r="L576" s="42">
        <v>136544</v>
      </c>
      <c r="M576" s="42">
        <v>1747660</v>
      </c>
      <c r="N576" s="42">
        <v>1471807</v>
      </c>
      <c r="O576" s="42">
        <v>20679</v>
      </c>
      <c r="P576" s="42">
        <v>107896</v>
      </c>
      <c r="Q576" s="42">
        <v>294510</v>
      </c>
      <c r="R576" s="42">
        <v>2308955</v>
      </c>
      <c r="S576" s="43">
        <v>66842</v>
      </c>
      <c r="T576" s="42">
        <v>513827</v>
      </c>
    </row>
    <row r="577" spans="1:20" x14ac:dyDescent="0.3">
      <c r="A577" s="7">
        <v>45320</v>
      </c>
      <c r="B577" s="48">
        <v>25643</v>
      </c>
      <c r="C577" s="42">
        <v>165428</v>
      </c>
      <c r="D577" s="42">
        <v>192569</v>
      </c>
      <c r="E577" s="42">
        <v>157793</v>
      </c>
      <c r="F577" s="42">
        <v>726761</v>
      </c>
      <c r="G577" s="42">
        <v>241047</v>
      </c>
      <c r="H577" s="42">
        <v>37400</v>
      </c>
      <c r="I577" s="42">
        <v>47445</v>
      </c>
      <c r="J577" s="42">
        <v>226730</v>
      </c>
      <c r="K577" s="42">
        <v>434766</v>
      </c>
      <c r="L577" s="42">
        <v>137032</v>
      </c>
      <c r="M577" s="42">
        <v>1720315</v>
      </c>
      <c r="N577" s="42">
        <v>1462498</v>
      </c>
      <c r="O577" s="42">
        <v>22977</v>
      </c>
      <c r="P577" s="42">
        <v>105680</v>
      </c>
      <c r="Q577" s="42">
        <v>300637</v>
      </c>
      <c r="R577" s="42">
        <v>2304508</v>
      </c>
      <c r="S577" s="43">
        <v>66821</v>
      </c>
      <c r="T577" s="42">
        <v>508947</v>
      </c>
    </row>
    <row r="578" spans="1:20" x14ac:dyDescent="0.3">
      <c r="A578" s="7">
        <v>45317</v>
      </c>
      <c r="B578" s="48">
        <v>24850</v>
      </c>
      <c r="C578" s="42">
        <v>165478</v>
      </c>
      <c r="D578" s="42">
        <v>191684</v>
      </c>
      <c r="E578" s="42">
        <v>155189</v>
      </c>
      <c r="F578" s="42">
        <v>725374</v>
      </c>
      <c r="G578" s="42">
        <v>243314</v>
      </c>
      <c r="H578" s="42">
        <v>36541</v>
      </c>
      <c r="I578" s="42">
        <v>47246</v>
      </c>
      <c r="J578" s="42">
        <v>224345</v>
      </c>
      <c r="K578" s="42">
        <v>453014</v>
      </c>
      <c r="L578" s="42">
        <v>136561</v>
      </c>
      <c r="M578" s="42">
        <v>1705264</v>
      </c>
      <c r="N578" s="42">
        <v>1450801</v>
      </c>
      <c r="O578" s="42">
        <v>22580</v>
      </c>
      <c r="P578" s="42">
        <v>102801</v>
      </c>
      <c r="Q578" s="42">
        <v>295644</v>
      </c>
      <c r="R578" s="42">
        <v>2277643</v>
      </c>
      <c r="S578" s="43">
        <v>67728</v>
      </c>
      <c r="T578" s="42">
        <v>504119</v>
      </c>
    </row>
    <row r="579" spans="1:20" x14ac:dyDescent="0.3">
      <c r="A579" s="7">
        <v>45316</v>
      </c>
      <c r="B579" s="48">
        <v>24883</v>
      </c>
      <c r="C579" s="42">
        <v>166763</v>
      </c>
      <c r="D579" s="42">
        <v>190765</v>
      </c>
      <c r="E579" s="42">
        <v>156042</v>
      </c>
      <c r="F579" s="42">
        <v>725913</v>
      </c>
      <c r="G579" s="42">
        <v>236867</v>
      </c>
      <c r="H579" s="42">
        <v>36482</v>
      </c>
      <c r="I579" s="42">
        <v>47195</v>
      </c>
      <c r="J579" s="42">
        <v>222336</v>
      </c>
      <c r="K579" s="42">
        <v>461324</v>
      </c>
      <c r="L579" s="42">
        <v>136513</v>
      </c>
      <c r="M579" s="42">
        <v>1677209</v>
      </c>
      <c r="N579" s="42">
        <v>1433632</v>
      </c>
      <c r="O579" s="42">
        <v>21599</v>
      </c>
      <c r="P579" s="42">
        <v>101357</v>
      </c>
      <c r="Q579" s="42">
        <v>296805</v>
      </c>
      <c r="R579" s="42">
        <v>2280600</v>
      </c>
      <c r="S579" s="43">
        <v>70591</v>
      </c>
      <c r="T579" s="42">
        <v>496119</v>
      </c>
    </row>
    <row r="580" spans="1:20" x14ac:dyDescent="0.3">
      <c r="A580" s="7">
        <v>45315</v>
      </c>
      <c r="B580" s="48">
        <v>24519</v>
      </c>
      <c r="C580" s="42">
        <v>167736</v>
      </c>
      <c r="D580" s="42">
        <v>192086</v>
      </c>
      <c r="E580" s="42">
        <v>157819</v>
      </c>
      <c r="F580" s="42">
        <v>726015</v>
      </c>
      <c r="G580" s="42">
        <v>232987</v>
      </c>
      <c r="H580" s="42">
        <v>35578</v>
      </c>
      <c r="I580" s="42">
        <v>48516</v>
      </c>
      <c r="J580" s="42">
        <v>221640</v>
      </c>
      <c r="K580" s="42">
        <v>467205</v>
      </c>
      <c r="L580" s="42">
        <v>137226</v>
      </c>
      <c r="M580" s="42">
        <v>1665824</v>
      </c>
      <c r="N580" s="42">
        <v>1436507</v>
      </c>
      <c r="O580" s="42">
        <v>22415</v>
      </c>
      <c r="P580" s="42">
        <v>99273</v>
      </c>
      <c r="Q580" s="42">
        <v>297935</v>
      </c>
      <c r="R580" s="42">
        <v>2269901</v>
      </c>
      <c r="S580" s="43">
        <v>73516</v>
      </c>
      <c r="T580" s="42">
        <v>483503</v>
      </c>
    </row>
    <row r="581" spans="1:20" x14ac:dyDescent="0.3">
      <c r="A581" s="7">
        <v>45314</v>
      </c>
      <c r="B581" s="48">
        <v>24663</v>
      </c>
      <c r="C581" s="42">
        <v>161999</v>
      </c>
      <c r="D581" s="42">
        <v>185680</v>
      </c>
      <c r="E581" s="42">
        <v>155138</v>
      </c>
      <c r="F581" s="42">
        <v>725423</v>
      </c>
      <c r="G581" s="42">
        <v>243032</v>
      </c>
      <c r="H581" s="42">
        <v>36633</v>
      </c>
      <c r="I581" s="42">
        <v>48398</v>
      </c>
      <c r="J581" s="42">
        <v>233110</v>
      </c>
      <c r="K581" s="42">
        <v>465872</v>
      </c>
      <c r="L581" s="42">
        <v>138617</v>
      </c>
      <c r="M581" s="42">
        <v>1649542</v>
      </c>
      <c r="N581" s="42">
        <v>1444172</v>
      </c>
      <c r="O581" s="42">
        <v>22815</v>
      </c>
      <c r="P581" s="42">
        <v>99697</v>
      </c>
      <c r="Q581" s="42">
        <v>289392</v>
      </c>
      <c r="R581" s="42">
        <v>2271312</v>
      </c>
      <c r="S581" s="43">
        <v>67337</v>
      </c>
      <c r="T581" s="42">
        <v>485167</v>
      </c>
    </row>
    <row r="582" spans="1:20" x14ac:dyDescent="0.3">
      <c r="A582" s="7">
        <v>45313</v>
      </c>
      <c r="B582" s="48">
        <v>24553</v>
      </c>
      <c r="C582" s="42">
        <v>163548</v>
      </c>
      <c r="D582" s="42">
        <v>183663</v>
      </c>
      <c r="E582" s="42">
        <v>156867</v>
      </c>
      <c r="F582" s="42">
        <v>724625</v>
      </c>
      <c r="G582" s="42">
        <v>234006</v>
      </c>
      <c r="H582" s="42">
        <v>37755</v>
      </c>
      <c r="I582" s="42">
        <v>48012</v>
      </c>
      <c r="J582" s="42">
        <v>233204</v>
      </c>
      <c r="K582" s="42">
        <v>467069</v>
      </c>
      <c r="L582" s="42">
        <v>138868</v>
      </c>
      <c r="M582" s="42">
        <v>1644566</v>
      </c>
      <c r="N582" s="42">
        <v>1441372</v>
      </c>
      <c r="O582" s="42">
        <v>22250</v>
      </c>
      <c r="P582" s="42">
        <v>102420</v>
      </c>
      <c r="Q582" s="42">
        <v>288408</v>
      </c>
      <c r="R582" s="42">
        <v>2266455</v>
      </c>
      <c r="S582" s="43">
        <v>68107</v>
      </c>
      <c r="T582" s="42">
        <v>489907</v>
      </c>
    </row>
    <row r="583" spans="1:20" x14ac:dyDescent="0.3">
      <c r="A583" s="7">
        <v>45310</v>
      </c>
      <c r="B583" s="48">
        <v>24412</v>
      </c>
      <c r="C583" s="42">
        <v>163892</v>
      </c>
      <c r="D583" s="42">
        <v>180879</v>
      </c>
      <c r="E583" s="42">
        <v>157650</v>
      </c>
      <c r="F583" s="42">
        <v>725529</v>
      </c>
      <c r="G583" s="42">
        <v>232876</v>
      </c>
      <c r="H583" s="42">
        <v>36307</v>
      </c>
      <c r="I583" s="42">
        <v>47265</v>
      </c>
      <c r="J583" s="42">
        <v>225556</v>
      </c>
      <c r="K583" s="42">
        <v>465860</v>
      </c>
      <c r="L583" s="42">
        <v>135626</v>
      </c>
      <c r="M583" s="42">
        <v>1624974</v>
      </c>
      <c r="N583" s="42">
        <v>1436342</v>
      </c>
      <c r="O583" s="42">
        <v>22434</v>
      </c>
      <c r="P583" s="42">
        <v>99961</v>
      </c>
      <c r="Q583" s="42">
        <v>294263</v>
      </c>
      <c r="R583" s="42">
        <v>2250345</v>
      </c>
      <c r="S583" s="43">
        <v>68261</v>
      </c>
      <c r="T583" s="42">
        <v>490097</v>
      </c>
    </row>
    <row r="584" spans="1:20" x14ac:dyDescent="0.3">
      <c r="A584" s="7">
        <v>45309</v>
      </c>
      <c r="B584" s="48">
        <v>24182</v>
      </c>
      <c r="C584" s="42">
        <v>165254</v>
      </c>
      <c r="D584" s="42">
        <v>179259</v>
      </c>
      <c r="E584" s="42">
        <v>162759</v>
      </c>
      <c r="F584" s="42">
        <v>726568</v>
      </c>
      <c r="G584" s="42">
        <v>228039</v>
      </c>
      <c r="H584" s="42">
        <v>36693</v>
      </c>
      <c r="I584" s="42">
        <v>48959</v>
      </c>
      <c r="J584" s="42">
        <v>226890</v>
      </c>
      <c r="K584" s="42">
        <v>474472</v>
      </c>
      <c r="L584" s="42">
        <v>133243</v>
      </c>
      <c r="M584" s="42">
        <v>1619206</v>
      </c>
      <c r="N584" s="42">
        <v>1420896</v>
      </c>
      <c r="O584" s="42">
        <v>22855</v>
      </c>
      <c r="P584" s="42">
        <v>98698</v>
      </c>
      <c r="Q584" s="42">
        <v>278479</v>
      </c>
      <c r="R584" s="42">
        <v>2225885</v>
      </c>
      <c r="S584" s="43">
        <v>70174</v>
      </c>
      <c r="T584" s="42">
        <v>490409</v>
      </c>
    </row>
    <row r="585" spans="1:20" x14ac:dyDescent="0.3">
      <c r="A585" s="7">
        <v>45308</v>
      </c>
      <c r="B585" s="48">
        <v>23345</v>
      </c>
      <c r="C585" s="42">
        <v>165590</v>
      </c>
      <c r="D585" s="42">
        <v>179831</v>
      </c>
      <c r="E585" s="42">
        <v>162925</v>
      </c>
      <c r="F585" s="42">
        <v>727624</v>
      </c>
      <c r="G585" s="42">
        <v>221304</v>
      </c>
      <c r="H585" s="42">
        <v>37277</v>
      </c>
      <c r="I585" s="42">
        <v>49367</v>
      </c>
      <c r="J585" s="42">
        <v>221731</v>
      </c>
      <c r="K585" s="42">
        <v>482068</v>
      </c>
      <c r="L585" s="42">
        <v>132403</v>
      </c>
      <c r="M585" s="42">
        <v>1631935</v>
      </c>
      <c r="N585" s="42">
        <v>1412838</v>
      </c>
      <c r="O585" s="42">
        <v>22821</v>
      </c>
      <c r="P585" s="42">
        <v>98071</v>
      </c>
      <c r="Q585" s="42">
        <v>272008</v>
      </c>
      <c r="R585" s="42">
        <v>2210232</v>
      </c>
      <c r="S585" s="43">
        <v>70037</v>
      </c>
      <c r="T585" s="42">
        <v>490135</v>
      </c>
    </row>
    <row r="586" spans="1:20" x14ac:dyDescent="0.3">
      <c r="A586" s="7">
        <v>45307</v>
      </c>
      <c r="B586" s="48">
        <v>23501</v>
      </c>
      <c r="C586" s="42">
        <v>163683</v>
      </c>
      <c r="D586" s="42">
        <v>179994</v>
      </c>
      <c r="E586" s="42">
        <v>165998</v>
      </c>
      <c r="F586" s="42">
        <v>734739</v>
      </c>
      <c r="G586" s="42">
        <v>213933</v>
      </c>
      <c r="H586" s="42">
        <v>38466</v>
      </c>
      <c r="I586" s="42">
        <v>50480</v>
      </c>
      <c r="J586" s="42">
        <v>219315</v>
      </c>
      <c r="K586" s="42">
        <v>489334</v>
      </c>
      <c r="L586" s="42">
        <v>131956</v>
      </c>
      <c r="M586" s="42">
        <v>1610493</v>
      </c>
      <c r="N586" s="42">
        <v>1405826</v>
      </c>
      <c r="O586" s="42">
        <v>23286</v>
      </c>
      <c r="P586" s="42">
        <v>98165</v>
      </c>
      <c r="Q586" s="42">
        <v>273460</v>
      </c>
      <c r="R586" s="42">
        <v>2217057</v>
      </c>
      <c r="S586" s="43">
        <v>70537</v>
      </c>
      <c r="T586" s="42">
        <v>498349</v>
      </c>
    </row>
    <row r="587" spans="1:20" x14ac:dyDescent="0.3">
      <c r="A587" s="7">
        <v>45303</v>
      </c>
      <c r="B587" s="48">
        <v>23561</v>
      </c>
      <c r="C587" s="42">
        <v>158133</v>
      </c>
      <c r="D587" s="42">
        <v>178351</v>
      </c>
      <c r="E587" s="42">
        <v>170153</v>
      </c>
      <c r="F587" s="42">
        <v>730921</v>
      </c>
      <c r="G587" s="42">
        <v>203841</v>
      </c>
      <c r="H587" s="42">
        <v>38006</v>
      </c>
      <c r="I587" s="42">
        <v>51677</v>
      </c>
      <c r="J587" s="42">
        <v>220260</v>
      </c>
      <c r="K587" s="42">
        <v>497739</v>
      </c>
      <c r="L587" s="42">
        <v>132268</v>
      </c>
      <c r="M587" s="42">
        <v>1621567</v>
      </c>
      <c r="N587" s="42">
        <v>1400325</v>
      </c>
      <c r="O587" s="42">
        <v>23990</v>
      </c>
      <c r="P587" s="42">
        <v>99289</v>
      </c>
      <c r="Q587" s="42">
        <v>277272</v>
      </c>
      <c r="R587" s="42">
        <v>2196164</v>
      </c>
      <c r="S587" s="43">
        <v>70878</v>
      </c>
      <c r="T587" s="42">
        <v>499063</v>
      </c>
    </row>
    <row r="588" spans="1:20" x14ac:dyDescent="0.3">
      <c r="A588" s="7">
        <v>45302</v>
      </c>
      <c r="B588" s="48">
        <v>24571</v>
      </c>
      <c r="C588" s="42">
        <v>157400</v>
      </c>
      <c r="D588" s="42">
        <v>175040</v>
      </c>
      <c r="E588" s="42">
        <v>170748</v>
      </c>
      <c r="F588" s="42">
        <v>725720</v>
      </c>
      <c r="G588" s="42">
        <v>213131</v>
      </c>
      <c r="H588" s="42">
        <v>38118</v>
      </c>
      <c r="I588" s="42">
        <v>50936</v>
      </c>
      <c r="J588" s="42">
        <v>211343</v>
      </c>
      <c r="K588" s="42">
        <v>478244</v>
      </c>
      <c r="L588" s="42">
        <v>134088</v>
      </c>
      <c r="M588" s="42">
        <v>1614241</v>
      </c>
      <c r="N588" s="42">
        <v>1394533</v>
      </c>
      <c r="O588" s="42">
        <v>26669</v>
      </c>
      <c r="P588" s="42">
        <v>100797</v>
      </c>
      <c r="Q588" s="42">
        <v>277525</v>
      </c>
      <c r="R588" s="42">
        <v>2198447</v>
      </c>
      <c r="S588" s="43">
        <v>70941</v>
      </c>
      <c r="T588" s="42">
        <v>505297</v>
      </c>
    </row>
    <row r="589" spans="1:20" x14ac:dyDescent="0.3">
      <c r="A589" s="7">
        <v>45301</v>
      </c>
      <c r="B589" s="48">
        <v>24571</v>
      </c>
      <c r="C589" s="42">
        <v>155140</v>
      </c>
      <c r="D589" s="42">
        <v>172771</v>
      </c>
      <c r="E589" s="42">
        <v>171038</v>
      </c>
      <c r="F589" s="42">
        <v>730536</v>
      </c>
      <c r="G589" s="42">
        <v>210331</v>
      </c>
      <c r="H589" s="42">
        <v>38424</v>
      </c>
      <c r="I589" s="42">
        <v>51315</v>
      </c>
      <c r="J589" s="42">
        <v>208003</v>
      </c>
      <c r="K589" s="42">
        <v>486446</v>
      </c>
      <c r="L589" s="42">
        <v>131760</v>
      </c>
      <c r="M589" s="42">
        <v>1614656</v>
      </c>
      <c r="N589" s="42">
        <v>1395198</v>
      </c>
      <c r="O589" s="42">
        <v>27252</v>
      </c>
      <c r="P589" s="42">
        <v>101995</v>
      </c>
      <c r="Q589" s="42">
        <v>278037</v>
      </c>
      <c r="R589" s="42">
        <v>2204215</v>
      </c>
      <c r="S589" s="43">
        <v>70941</v>
      </c>
      <c r="T589" s="42">
        <v>507259</v>
      </c>
    </row>
    <row r="590" spans="1:20" x14ac:dyDescent="0.3">
      <c r="A590" s="7">
        <v>45300</v>
      </c>
      <c r="B590" s="48">
        <v>24287</v>
      </c>
      <c r="C590" s="42">
        <v>156375</v>
      </c>
      <c r="D590" s="42">
        <v>172631</v>
      </c>
      <c r="E590" s="42">
        <v>171557</v>
      </c>
      <c r="F590" s="42">
        <v>714079</v>
      </c>
      <c r="G590" s="42">
        <v>200299</v>
      </c>
      <c r="H590" s="42">
        <v>38539</v>
      </c>
      <c r="I590" s="42">
        <v>50169</v>
      </c>
      <c r="J590" s="42">
        <v>206716</v>
      </c>
      <c r="K590" s="42">
        <v>489849</v>
      </c>
      <c r="L590" s="42">
        <v>131992</v>
      </c>
      <c r="M590" s="42">
        <v>1598167</v>
      </c>
      <c r="N590" s="42">
        <v>1406951</v>
      </c>
      <c r="O590" s="42">
        <v>26846</v>
      </c>
      <c r="P590" s="42">
        <v>103318</v>
      </c>
      <c r="Q590" s="42">
        <v>277732</v>
      </c>
      <c r="R590" s="42">
        <v>2209328</v>
      </c>
      <c r="S590" s="43">
        <v>66854</v>
      </c>
      <c r="T590" s="42">
        <v>516264</v>
      </c>
    </row>
    <row r="591" spans="1:20" x14ac:dyDescent="0.3">
      <c r="A591" s="7">
        <v>45299</v>
      </c>
      <c r="B591" s="48">
        <v>23878</v>
      </c>
      <c r="C591" s="42">
        <v>157620</v>
      </c>
      <c r="D591" s="42">
        <v>172619</v>
      </c>
      <c r="E591" s="42">
        <v>174186</v>
      </c>
      <c r="F591" s="42">
        <v>710684</v>
      </c>
      <c r="G591" s="42">
        <v>194352</v>
      </c>
      <c r="H591" s="42">
        <v>37537</v>
      </c>
      <c r="I591" s="42">
        <v>51032</v>
      </c>
      <c r="J591" s="42">
        <v>197407</v>
      </c>
      <c r="K591" s="42">
        <v>491455</v>
      </c>
      <c r="L591" s="42">
        <v>130904</v>
      </c>
      <c r="M591" s="42">
        <v>1591022</v>
      </c>
      <c r="N591" s="42">
        <v>1403591</v>
      </c>
      <c r="O591" s="42">
        <v>26324</v>
      </c>
      <c r="P591" s="42">
        <v>106436</v>
      </c>
      <c r="Q591" s="42">
        <v>277961</v>
      </c>
      <c r="R591" s="42">
        <v>2249828</v>
      </c>
      <c r="S591" s="43">
        <v>68387</v>
      </c>
      <c r="T591" s="42">
        <v>520355</v>
      </c>
    </row>
    <row r="592" spans="1:20" x14ac:dyDescent="0.3">
      <c r="A592" s="7">
        <v>45296</v>
      </c>
      <c r="B592" s="48">
        <v>23299</v>
      </c>
      <c r="C592" s="42">
        <v>158988</v>
      </c>
      <c r="D592" s="42">
        <v>173024</v>
      </c>
      <c r="E592" s="42">
        <v>178304</v>
      </c>
      <c r="F592" s="42">
        <v>710066</v>
      </c>
      <c r="G592" s="42">
        <v>194095</v>
      </c>
      <c r="H592" s="42">
        <v>37285</v>
      </c>
      <c r="I592" s="42">
        <v>50952</v>
      </c>
      <c r="J592" s="42">
        <v>197722</v>
      </c>
      <c r="K592" s="42">
        <v>494673</v>
      </c>
      <c r="L592" s="42">
        <v>131074</v>
      </c>
      <c r="M592" s="42">
        <v>1575346</v>
      </c>
      <c r="N592" s="42">
        <v>1410528</v>
      </c>
      <c r="O592" s="42">
        <v>24239</v>
      </c>
      <c r="P592" s="42">
        <v>104093</v>
      </c>
      <c r="Q592" s="42">
        <v>274345</v>
      </c>
      <c r="R592" s="42">
        <v>2228920</v>
      </c>
      <c r="S592" s="43">
        <v>68381</v>
      </c>
      <c r="T592" s="42">
        <v>516339</v>
      </c>
    </row>
    <row r="593" spans="1:20" x14ac:dyDescent="0.3">
      <c r="A593" s="7">
        <v>45295</v>
      </c>
      <c r="B593" s="48">
        <v>23826</v>
      </c>
      <c r="C593" s="42">
        <v>160583</v>
      </c>
      <c r="D593" s="42">
        <v>172971</v>
      </c>
      <c r="E593" s="42">
        <v>184011</v>
      </c>
      <c r="F593" s="42">
        <v>717206</v>
      </c>
      <c r="G593" s="42">
        <v>191689</v>
      </c>
      <c r="H593" s="42">
        <v>37658</v>
      </c>
      <c r="I593" s="42">
        <v>51181</v>
      </c>
      <c r="J593" s="42">
        <v>195630</v>
      </c>
      <c r="K593" s="42">
        <v>496045</v>
      </c>
      <c r="L593" s="42">
        <v>132256</v>
      </c>
      <c r="M593" s="42">
        <v>1562038</v>
      </c>
      <c r="N593" s="42">
        <v>1395425</v>
      </c>
      <c r="O593" s="42">
        <v>23953</v>
      </c>
      <c r="P593" s="42">
        <v>103110</v>
      </c>
      <c r="Q593" s="42">
        <v>273935</v>
      </c>
      <c r="R593" s="42">
        <v>2242494</v>
      </c>
      <c r="S593" s="43">
        <v>69784</v>
      </c>
      <c r="T593" s="42">
        <v>505095</v>
      </c>
    </row>
    <row r="594" spans="1:20" x14ac:dyDescent="0.3">
      <c r="A594" s="7">
        <v>45294</v>
      </c>
      <c r="B594" s="48">
        <v>23649</v>
      </c>
      <c r="C594" s="42">
        <v>159335</v>
      </c>
      <c r="D594" s="42">
        <v>172327</v>
      </c>
      <c r="E594" s="42">
        <v>185565</v>
      </c>
      <c r="F594" s="42">
        <v>718781</v>
      </c>
      <c r="G594" s="42">
        <v>194899</v>
      </c>
      <c r="H594" s="42">
        <v>38372</v>
      </c>
      <c r="I594" s="42">
        <v>51616</v>
      </c>
      <c r="J594" s="42">
        <v>191736</v>
      </c>
      <c r="K594" s="42">
        <v>497089</v>
      </c>
      <c r="L594" s="42">
        <v>134736</v>
      </c>
      <c r="M594" s="42">
        <v>1570625</v>
      </c>
      <c r="N594" s="42">
        <v>1388307</v>
      </c>
      <c r="O594" s="42">
        <v>23087</v>
      </c>
      <c r="P594" s="42">
        <v>100877</v>
      </c>
      <c r="Q594" s="42">
        <v>273013</v>
      </c>
      <c r="R594" s="42">
        <v>2240378</v>
      </c>
      <c r="S594" s="43">
        <v>69588</v>
      </c>
      <c r="T594" s="42">
        <v>503135</v>
      </c>
    </row>
    <row r="595" spans="1:20" x14ac:dyDescent="0.3">
      <c r="A595" s="7">
        <v>45293</v>
      </c>
      <c r="B595" s="48">
        <v>24089</v>
      </c>
      <c r="C595" s="42">
        <v>157003</v>
      </c>
      <c r="D595" s="42">
        <v>177770</v>
      </c>
      <c r="E595" s="42">
        <v>184476</v>
      </c>
      <c r="F595" s="42">
        <v>718885</v>
      </c>
      <c r="G595" s="42">
        <v>184042</v>
      </c>
      <c r="H595" s="42">
        <v>39215</v>
      </c>
      <c r="I595" s="42">
        <v>51236</v>
      </c>
      <c r="J595" s="42">
        <v>190752</v>
      </c>
      <c r="K595" s="42">
        <v>500364</v>
      </c>
      <c r="L595" s="42">
        <v>134725</v>
      </c>
      <c r="M595" s="42">
        <v>1586914</v>
      </c>
      <c r="N595" s="42">
        <v>1396907</v>
      </c>
      <c r="O595" s="42">
        <v>24946</v>
      </c>
      <c r="P595" s="42">
        <v>103364</v>
      </c>
      <c r="Q595" s="42">
        <v>272832</v>
      </c>
      <c r="R595" s="42">
        <v>2221215</v>
      </c>
      <c r="S595" s="43">
        <v>72450</v>
      </c>
      <c r="T595" s="42">
        <v>505567</v>
      </c>
    </row>
    <row r="596" spans="1:20" x14ac:dyDescent="0.3">
      <c r="A596" s="7">
        <v>45289</v>
      </c>
      <c r="B596" s="48">
        <v>23916</v>
      </c>
      <c r="C596" s="42">
        <v>155613</v>
      </c>
      <c r="D596" s="42">
        <v>177617</v>
      </c>
      <c r="E596" s="42">
        <v>184811</v>
      </c>
      <c r="F596" s="42">
        <v>716670</v>
      </c>
      <c r="G596" s="42">
        <v>186680</v>
      </c>
      <c r="H596" s="42">
        <v>38770</v>
      </c>
      <c r="I596" s="42">
        <v>51997</v>
      </c>
      <c r="J596" s="42">
        <v>193697</v>
      </c>
      <c r="K596" s="42">
        <v>498192</v>
      </c>
      <c r="L596" s="42">
        <v>134072</v>
      </c>
      <c r="M596" s="42">
        <v>1581998</v>
      </c>
      <c r="N596" s="42">
        <v>1389209</v>
      </c>
      <c r="O596" s="42">
        <v>22601</v>
      </c>
      <c r="P596" s="42">
        <v>102358</v>
      </c>
      <c r="Q596" s="42">
        <v>284312</v>
      </c>
      <c r="R596" s="42">
        <v>2212207</v>
      </c>
      <c r="S596" s="43">
        <v>75390</v>
      </c>
      <c r="T596" s="42">
        <v>498241</v>
      </c>
    </row>
    <row r="597" spans="1:20" x14ac:dyDescent="0.3">
      <c r="A597" s="7">
        <v>45288</v>
      </c>
      <c r="B597" s="48">
        <v>23775</v>
      </c>
      <c r="C597" s="42">
        <v>155118</v>
      </c>
      <c r="D597" s="42">
        <v>176068</v>
      </c>
      <c r="E597" s="42">
        <v>188179</v>
      </c>
      <c r="F597" s="42">
        <v>705701</v>
      </c>
      <c r="G597" s="42">
        <v>189352</v>
      </c>
      <c r="H597" s="42">
        <v>37899</v>
      </c>
      <c r="I597" s="42">
        <v>51705</v>
      </c>
      <c r="J597" s="42">
        <v>193824</v>
      </c>
      <c r="K597" s="42">
        <v>500162</v>
      </c>
      <c r="L597" s="42">
        <v>133987</v>
      </c>
      <c r="M597" s="42">
        <v>1579447</v>
      </c>
      <c r="N597" s="42">
        <v>1372436</v>
      </c>
      <c r="O597" s="42">
        <v>22562</v>
      </c>
      <c r="P597" s="42">
        <v>103051</v>
      </c>
      <c r="Q597" s="42">
        <v>284385</v>
      </c>
      <c r="R597" s="42">
        <v>2187210</v>
      </c>
      <c r="S597" s="43">
        <v>64235</v>
      </c>
      <c r="T597" s="42">
        <v>498193</v>
      </c>
    </row>
    <row r="598" spans="1:20" x14ac:dyDescent="0.3">
      <c r="A598" s="7">
        <v>45287</v>
      </c>
      <c r="B598" s="48">
        <v>23489</v>
      </c>
      <c r="C598" s="42">
        <v>154616</v>
      </c>
      <c r="D598" s="42">
        <v>176506</v>
      </c>
      <c r="E598" s="42">
        <v>181793</v>
      </c>
      <c r="F598" s="42">
        <v>707628</v>
      </c>
      <c r="G598" s="42">
        <v>192458</v>
      </c>
      <c r="H598" s="42">
        <v>35873</v>
      </c>
      <c r="I598" s="42">
        <v>48945</v>
      </c>
      <c r="J598" s="42">
        <v>195394</v>
      </c>
      <c r="K598" s="42">
        <v>501113</v>
      </c>
      <c r="L598" s="42">
        <v>133103</v>
      </c>
      <c r="M598" s="42">
        <v>1558982</v>
      </c>
      <c r="N598" s="42">
        <v>1364948</v>
      </c>
      <c r="O598" s="42">
        <v>22622</v>
      </c>
      <c r="P598" s="42">
        <v>101243</v>
      </c>
      <c r="Q598" s="42">
        <v>284331</v>
      </c>
      <c r="R598" s="42">
        <v>2170426</v>
      </c>
      <c r="S598" s="43">
        <v>65474</v>
      </c>
      <c r="T598" s="42">
        <v>469334</v>
      </c>
    </row>
    <row r="599" spans="1:20" x14ac:dyDescent="0.3">
      <c r="A599" s="7">
        <v>45286</v>
      </c>
      <c r="B599" s="48">
        <v>22065</v>
      </c>
      <c r="C599" s="42">
        <v>152735</v>
      </c>
      <c r="D599" s="42">
        <v>175138</v>
      </c>
      <c r="E599" s="42">
        <v>176452</v>
      </c>
      <c r="F599" s="42">
        <v>705627</v>
      </c>
      <c r="G599" s="42">
        <v>188540</v>
      </c>
      <c r="H599" s="42">
        <v>34911</v>
      </c>
      <c r="I599" s="42">
        <v>47222</v>
      </c>
      <c r="J599" s="42">
        <v>189731</v>
      </c>
      <c r="K599" s="42">
        <v>491343</v>
      </c>
      <c r="L599" s="42">
        <v>131408</v>
      </c>
      <c r="M599" s="42">
        <v>1554682</v>
      </c>
      <c r="N599" s="42">
        <v>1354610</v>
      </c>
      <c r="O599" s="42">
        <v>22526</v>
      </c>
      <c r="P599" s="42">
        <v>98501</v>
      </c>
      <c r="Q599" s="42">
        <v>278055</v>
      </c>
      <c r="R599" s="42">
        <v>2155313</v>
      </c>
      <c r="S599" s="43">
        <v>66522</v>
      </c>
      <c r="T599" s="42">
        <v>486212</v>
      </c>
    </row>
    <row r="600" spans="1:20" x14ac:dyDescent="0.3">
      <c r="A600" s="7">
        <v>45282</v>
      </c>
      <c r="B600" s="48">
        <v>22039</v>
      </c>
      <c r="C600" s="42">
        <v>151618</v>
      </c>
      <c r="D600" s="42">
        <v>173916</v>
      </c>
      <c r="E600" s="42">
        <v>174229</v>
      </c>
      <c r="F600" s="42">
        <v>705595</v>
      </c>
      <c r="G600" s="42">
        <v>187714</v>
      </c>
      <c r="H600" s="42">
        <v>34380</v>
      </c>
      <c r="I600" s="42">
        <v>46563</v>
      </c>
      <c r="J600" s="42">
        <v>189991</v>
      </c>
      <c r="K600" s="42">
        <v>492096</v>
      </c>
      <c r="L600" s="42">
        <v>130772</v>
      </c>
      <c r="M600" s="42">
        <v>1561234</v>
      </c>
      <c r="N600" s="42">
        <v>1358854</v>
      </c>
      <c r="O600" s="42">
        <v>23832</v>
      </c>
      <c r="P600" s="42">
        <v>97637</v>
      </c>
      <c r="Q600" s="42">
        <v>274165</v>
      </c>
      <c r="R600" s="42">
        <v>2142387</v>
      </c>
      <c r="S600" s="3"/>
      <c r="T600" s="42">
        <v>494014</v>
      </c>
    </row>
    <row r="601" spans="1:20" x14ac:dyDescent="0.3">
      <c r="A601" s="7">
        <v>45281</v>
      </c>
      <c r="B601" s="48">
        <v>21227</v>
      </c>
      <c r="C601" s="42">
        <v>148472</v>
      </c>
      <c r="D601" s="42">
        <v>173272</v>
      </c>
      <c r="E601" s="42">
        <v>171316</v>
      </c>
      <c r="F601" s="42">
        <v>697985</v>
      </c>
      <c r="G601" s="42">
        <v>187692</v>
      </c>
      <c r="H601" s="42">
        <v>33502</v>
      </c>
      <c r="I601" s="42">
        <v>45027</v>
      </c>
      <c r="J601" s="42">
        <v>190865</v>
      </c>
      <c r="K601" s="42">
        <v>481866</v>
      </c>
      <c r="L601" s="42">
        <v>130959</v>
      </c>
      <c r="M601" s="42">
        <v>1572142</v>
      </c>
      <c r="N601" s="42">
        <v>1364269</v>
      </c>
      <c r="O601" s="42">
        <v>23909</v>
      </c>
      <c r="P601" s="42">
        <v>97479</v>
      </c>
      <c r="Q601" s="42">
        <v>274103</v>
      </c>
      <c r="R601" s="42">
        <v>2150076</v>
      </c>
      <c r="S601" s="43">
        <v>64534</v>
      </c>
      <c r="T601" s="42">
        <v>481781</v>
      </c>
    </row>
    <row r="602" spans="1:20" x14ac:dyDescent="0.3">
      <c r="A602" s="7">
        <v>45280</v>
      </c>
      <c r="B602" s="48">
        <v>21480</v>
      </c>
      <c r="C602" s="42">
        <v>150040</v>
      </c>
      <c r="D602" s="42">
        <v>178078</v>
      </c>
      <c r="E602" s="42">
        <v>165271</v>
      </c>
      <c r="F602" s="42">
        <v>699421</v>
      </c>
      <c r="G602" s="42">
        <v>188516</v>
      </c>
      <c r="H602" s="42">
        <v>33687</v>
      </c>
      <c r="I602" s="42">
        <v>44394</v>
      </c>
      <c r="J602" s="42">
        <v>188852</v>
      </c>
      <c r="K602" s="42">
        <v>478775</v>
      </c>
      <c r="L602" s="42">
        <v>130403</v>
      </c>
      <c r="M602" s="42">
        <v>1571410</v>
      </c>
      <c r="N602" s="42">
        <v>1377381</v>
      </c>
      <c r="O602" s="42">
        <v>24375</v>
      </c>
      <c r="P602" s="42">
        <v>98113</v>
      </c>
      <c r="Q602" s="42">
        <v>272325</v>
      </c>
      <c r="R602" s="42">
        <v>2162176</v>
      </c>
      <c r="S602" s="43">
        <v>66388</v>
      </c>
      <c r="T602" s="42">
        <v>643782</v>
      </c>
    </row>
    <row r="603" spans="1:20" x14ac:dyDescent="0.3">
      <c r="A603" s="7">
        <v>45279</v>
      </c>
      <c r="B603" s="48">
        <v>21602</v>
      </c>
      <c r="C603" s="42">
        <v>203358</v>
      </c>
      <c r="D603" s="42">
        <v>233608</v>
      </c>
      <c r="E603" s="42">
        <v>214241</v>
      </c>
      <c r="F603" s="42">
        <v>849934</v>
      </c>
      <c r="G603" s="42">
        <v>243408</v>
      </c>
      <c r="H603" s="42">
        <v>55473</v>
      </c>
      <c r="I603" s="42">
        <v>63967</v>
      </c>
      <c r="J603" s="42">
        <v>189537</v>
      </c>
      <c r="K603" s="42">
        <v>481203</v>
      </c>
      <c r="L603" s="42">
        <v>127549</v>
      </c>
      <c r="M603" s="42">
        <v>1579670</v>
      </c>
      <c r="N603" s="42">
        <v>1447084</v>
      </c>
      <c r="O603" s="42">
        <v>23239</v>
      </c>
      <c r="P603" s="42">
        <v>100329</v>
      </c>
      <c r="Q603" s="42">
        <v>276654</v>
      </c>
      <c r="R603" s="42">
        <v>2156203</v>
      </c>
      <c r="S603" s="43">
        <v>71801</v>
      </c>
      <c r="T603" s="42">
        <v>667387</v>
      </c>
    </row>
    <row r="604" spans="1:20" x14ac:dyDescent="0.3">
      <c r="A604" s="7">
        <v>45278</v>
      </c>
      <c r="B604" s="48">
        <v>21734</v>
      </c>
      <c r="C604" s="42">
        <v>199692</v>
      </c>
      <c r="D604" s="42">
        <v>235024</v>
      </c>
      <c r="E604" s="42">
        <v>212155</v>
      </c>
      <c r="F604" s="42">
        <v>850765</v>
      </c>
      <c r="G604" s="42">
        <v>246686</v>
      </c>
      <c r="H604" s="42">
        <v>55161</v>
      </c>
      <c r="I604" s="42">
        <v>63903</v>
      </c>
      <c r="J604" s="42">
        <v>182349</v>
      </c>
      <c r="K604" s="42">
        <v>477275</v>
      </c>
      <c r="L604" s="42">
        <v>127272</v>
      </c>
      <c r="M604" s="42">
        <v>1575517</v>
      </c>
      <c r="N604" s="42">
        <v>1392463</v>
      </c>
      <c r="O604" s="42">
        <v>22387</v>
      </c>
      <c r="P604" s="42">
        <v>96124</v>
      </c>
      <c r="Q604" s="42">
        <v>273849</v>
      </c>
      <c r="R604" s="42">
        <v>2148252</v>
      </c>
      <c r="S604" s="43">
        <v>67968</v>
      </c>
      <c r="T604" s="42">
        <v>655029</v>
      </c>
    </row>
    <row r="605" spans="1:20" x14ac:dyDescent="0.3">
      <c r="A605" s="7">
        <v>45275</v>
      </c>
      <c r="B605" s="48">
        <v>21582</v>
      </c>
      <c r="C605" s="42">
        <v>200901</v>
      </c>
      <c r="D605" s="42">
        <v>236362</v>
      </c>
      <c r="E605" s="42">
        <v>210427</v>
      </c>
      <c r="F605" s="42">
        <v>850533</v>
      </c>
      <c r="G605" s="42">
        <v>247998</v>
      </c>
      <c r="H605" s="42">
        <v>54150</v>
      </c>
      <c r="I605" s="42">
        <v>63751</v>
      </c>
      <c r="J605" s="42">
        <v>183365</v>
      </c>
      <c r="K605" s="42">
        <v>477506</v>
      </c>
      <c r="L605" s="42">
        <v>127937</v>
      </c>
      <c r="M605" s="42">
        <v>1595998</v>
      </c>
      <c r="N605" s="42">
        <v>1411917</v>
      </c>
      <c r="O605" s="42">
        <v>21608</v>
      </c>
      <c r="P605" s="42">
        <v>122538</v>
      </c>
      <c r="Q605" s="42">
        <v>332053</v>
      </c>
      <c r="R605" s="42">
        <v>2637400</v>
      </c>
      <c r="S605" s="43">
        <v>67318</v>
      </c>
      <c r="T605" s="42">
        <v>639607</v>
      </c>
    </row>
    <row r="606" spans="1:20" x14ac:dyDescent="0.3">
      <c r="A606" s="7">
        <v>45274</v>
      </c>
      <c r="B606" s="48">
        <v>41531</v>
      </c>
      <c r="C606" s="42">
        <v>206607</v>
      </c>
      <c r="D606" s="42">
        <v>237933</v>
      </c>
      <c r="E606" s="42">
        <v>214608</v>
      </c>
      <c r="F606" s="42">
        <v>864437</v>
      </c>
      <c r="G606" s="42">
        <v>251831</v>
      </c>
      <c r="H606" s="42">
        <v>58798</v>
      </c>
      <c r="I606" s="42">
        <v>68588</v>
      </c>
      <c r="J606" s="42">
        <v>183388</v>
      </c>
      <c r="K606" s="42">
        <v>479925</v>
      </c>
      <c r="L606" s="42">
        <v>128971</v>
      </c>
      <c r="M606" s="42">
        <v>1604072</v>
      </c>
      <c r="N606" s="42">
        <v>1413578</v>
      </c>
      <c r="O606" s="42">
        <v>22079</v>
      </c>
      <c r="P606" s="42">
        <v>119021</v>
      </c>
      <c r="Q606" s="42">
        <v>326520</v>
      </c>
      <c r="R606" s="42">
        <v>2673240</v>
      </c>
      <c r="S606" s="43">
        <v>72222</v>
      </c>
      <c r="T606" s="42">
        <v>577696</v>
      </c>
    </row>
    <row r="607" spans="1:20" x14ac:dyDescent="0.3">
      <c r="A607" s="7">
        <v>45273</v>
      </c>
      <c r="B607" s="48">
        <v>42419</v>
      </c>
      <c r="C607" s="42">
        <v>207601</v>
      </c>
      <c r="D607" s="42">
        <v>246575</v>
      </c>
      <c r="E607" s="42">
        <v>214898</v>
      </c>
      <c r="F607" s="42">
        <v>829755</v>
      </c>
      <c r="G607" s="42">
        <v>258894</v>
      </c>
      <c r="H607" s="42">
        <v>59255</v>
      </c>
      <c r="I607" s="42">
        <v>70445</v>
      </c>
      <c r="J607" s="42">
        <v>176856</v>
      </c>
      <c r="K607" s="42">
        <v>476125</v>
      </c>
      <c r="L607" s="42">
        <v>133961</v>
      </c>
      <c r="M607" s="42">
        <v>1651949</v>
      </c>
      <c r="N607" s="42">
        <v>1422594</v>
      </c>
      <c r="O607" s="42">
        <v>22259</v>
      </c>
      <c r="P607" s="42">
        <v>114459</v>
      </c>
      <c r="Q607" s="42">
        <v>342450</v>
      </c>
      <c r="R607" s="42">
        <v>2664587</v>
      </c>
      <c r="S607" s="43">
        <v>107236</v>
      </c>
      <c r="T607" s="42">
        <v>554428</v>
      </c>
    </row>
    <row r="608" spans="1:20" x14ac:dyDescent="0.3">
      <c r="A608" s="7">
        <v>45272</v>
      </c>
      <c r="B608" s="48">
        <v>42113</v>
      </c>
      <c r="C608" s="42">
        <v>208927</v>
      </c>
      <c r="D608" s="42">
        <v>243677</v>
      </c>
      <c r="E608" s="42">
        <v>213873</v>
      </c>
      <c r="F608" s="42">
        <v>792149</v>
      </c>
      <c r="G608" s="42">
        <v>257581</v>
      </c>
      <c r="H608" s="42">
        <v>58308</v>
      </c>
      <c r="I608" s="42">
        <v>65186</v>
      </c>
      <c r="J608" s="42">
        <v>176034</v>
      </c>
      <c r="K608" s="42">
        <v>469939</v>
      </c>
      <c r="L608" s="42">
        <v>134281</v>
      </c>
      <c r="M608" s="42">
        <v>1650245</v>
      </c>
      <c r="N608" s="42">
        <v>1412602</v>
      </c>
      <c r="O608" s="42">
        <v>21211</v>
      </c>
      <c r="P608" s="42">
        <v>112076</v>
      </c>
      <c r="Q608" s="42">
        <v>337236</v>
      </c>
      <c r="R608" s="42">
        <v>2670454</v>
      </c>
      <c r="S608" s="43">
        <v>107442</v>
      </c>
      <c r="T608" s="42">
        <v>557387</v>
      </c>
    </row>
    <row r="609" spans="1:20" x14ac:dyDescent="0.3">
      <c r="A609" s="7">
        <v>45271</v>
      </c>
      <c r="B609" s="48">
        <v>41345</v>
      </c>
      <c r="C609" s="42">
        <v>197783</v>
      </c>
      <c r="D609" s="42">
        <v>223358</v>
      </c>
      <c r="E609" s="42">
        <v>201056</v>
      </c>
      <c r="F609" s="42">
        <v>764124</v>
      </c>
      <c r="G609" s="42">
        <v>257961</v>
      </c>
      <c r="H609" s="42">
        <v>57969</v>
      </c>
      <c r="I609" s="42">
        <v>59711</v>
      </c>
      <c r="J609" s="42">
        <v>174255</v>
      </c>
      <c r="K609" s="42">
        <v>473469</v>
      </c>
      <c r="L609" s="42">
        <v>134239</v>
      </c>
      <c r="M609" s="42">
        <v>1642844</v>
      </c>
      <c r="N609" s="42">
        <v>1386722</v>
      </c>
      <c r="O609" s="42">
        <v>21596</v>
      </c>
      <c r="P609" s="42">
        <v>98176</v>
      </c>
      <c r="Q609" s="42">
        <v>302593</v>
      </c>
      <c r="R609" s="42">
        <v>2639854</v>
      </c>
      <c r="S609" s="43">
        <v>119955</v>
      </c>
      <c r="T609" s="42">
        <v>557407</v>
      </c>
    </row>
    <row r="610" spans="1:20" x14ac:dyDescent="0.3">
      <c r="A610" s="7">
        <v>45268</v>
      </c>
      <c r="B610" s="48">
        <v>41018</v>
      </c>
      <c r="C610" s="42">
        <v>197097</v>
      </c>
      <c r="D610" s="42">
        <v>213406</v>
      </c>
      <c r="E610" s="42">
        <v>202218</v>
      </c>
      <c r="F610" s="42">
        <v>754059</v>
      </c>
      <c r="G610" s="42">
        <v>260576</v>
      </c>
      <c r="H610" s="42">
        <v>54175</v>
      </c>
      <c r="I610" s="42">
        <v>57737</v>
      </c>
      <c r="J610" s="42">
        <v>175934</v>
      </c>
      <c r="K610" s="42">
        <v>480359</v>
      </c>
      <c r="L610" s="42">
        <v>136799</v>
      </c>
      <c r="M610" s="42">
        <v>1644575</v>
      </c>
      <c r="N610" s="42">
        <v>1351489</v>
      </c>
      <c r="O610" s="42">
        <v>23709</v>
      </c>
      <c r="P610" s="42">
        <v>97618</v>
      </c>
      <c r="Q610" s="42">
        <v>287458</v>
      </c>
      <c r="R610" s="42">
        <v>2445445</v>
      </c>
      <c r="S610" s="43">
        <v>102096</v>
      </c>
      <c r="T610" s="42">
        <v>555011</v>
      </c>
    </row>
    <row r="611" spans="1:20" x14ac:dyDescent="0.3">
      <c r="A611" s="7">
        <v>45267</v>
      </c>
      <c r="B611" s="48">
        <v>40615</v>
      </c>
      <c r="C611" s="42">
        <v>198096</v>
      </c>
      <c r="D611" s="42">
        <v>214533</v>
      </c>
      <c r="E611" s="42">
        <v>201741</v>
      </c>
      <c r="F611" s="42">
        <v>750934</v>
      </c>
      <c r="G611" s="42">
        <v>268509</v>
      </c>
      <c r="H611" s="42">
        <v>53301</v>
      </c>
      <c r="I611" s="42">
        <v>58133</v>
      </c>
      <c r="J611" s="42">
        <v>171226</v>
      </c>
      <c r="K611" s="42">
        <v>485111</v>
      </c>
      <c r="L611" s="42">
        <v>136601</v>
      </c>
      <c r="M611" s="42">
        <v>1659213</v>
      </c>
      <c r="N611" s="42">
        <v>1350892</v>
      </c>
      <c r="O611" s="42">
        <v>23400</v>
      </c>
      <c r="P611" s="42">
        <v>95542</v>
      </c>
      <c r="Q611" s="42">
        <v>289536</v>
      </c>
      <c r="R611" s="42">
        <v>2397490</v>
      </c>
      <c r="S611" s="43">
        <v>83906</v>
      </c>
      <c r="T611" s="42">
        <v>553415</v>
      </c>
    </row>
    <row r="612" spans="1:20" x14ac:dyDescent="0.3">
      <c r="A612" s="7">
        <v>45265</v>
      </c>
      <c r="B612" s="48">
        <v>41998</v>
      </c>
      <c r="C612" s="42">
        <v>195569</v>
      </c>
      <c r="D612" s="42">
        <v>218873</v>
      </c>
      <c r="E612" s="42">
        <v>197791</v>
      </c>
      <c r="F612" s="42">
        <v>756615</v>
      </c>
      <c r="G612" s="42">
        <v>267482</v>
      </c>
      <c r="H612" s="42">
        <v>54732</v>
      </c>
      <c r="I612" s="42">
        <v>60356</v>
      </c>
      <c r="J612" s="42">
        <v>176373</v>
      </c>
      <c r="K612" s="42">
        <v>487469</v>
      </c>
      <c r="L612" s="42">
        <v>139753</v>
      </c>
      <c r="M612" s="42">
        <v>1650437</v>
      </c>
      <c r="N612" s="42">
        <v>1339392</v>
      </c>
      <c r="O612" s="42">
        <v>23035</v>
      </c>
      <c r="P612" s="42">
        <v>94870</v>
      </c>
      <c r="Q612" s="42">
        <v>277746</v>
      </c>
      <c r="R612" s="42">
        <v>2314400</v>
      </c>
      <c r="S612" s="43">
        <v>74870</v>
      </c>
      <c r="T612" s="42">
        <v>551637</v>
      </c>
    </row>
    <row r="613" spans="1:20" x14ac:dyDescent="0.3">
      <c r="A613" s="7">
        <v>45264</v>
      </c>
      <c r="B613" s="48">
        <v>40206</v>
      </c>
      <c r="C613" s="42">
        <v>195133</v>
      </c>
      <c r="D613" s="42">
        <v>218937</v>
      </c>
      <c r="E613" s="42">
        <v>198324</v>
      </c>
      <c r="F613" s="42">
        <v>749315</v>
      </c>
      <c r="G613" s="42">
        <v>264446</v>
      </c>
      <c r="H613" s="42">
        <v>53751</v>
      </c>
      <c r="I613" s="42">
        <v>60864</v>
      </c>
      <c r="J613" s="42">
        <v>177651</v>
      </c>
      <c r="K613" s="42">
        <v>494948</v>
      </c>
      <c r="L613" s="42">
        <v>142826</v>
      </c>
      <c r="M613" s="42">
        <v>1641322</v>
      </c>
      <c r="N613" s="42">
        <v>1335383</v>
      </c>
      <c r="O613" s="42">
        <v>23234</v>
      </c>
      <c r="P613" s="42">
        <v>99526</v>
      </c>
      <c r="Q613" s="42">
        <v>272698</v>
      </c>
      <c r="R613" s="42">
        <v>2285451</v>
      </c>
      <c r="S613" s="43">
        <v>74688</v>
      </c>
      <c r="T613" s="42">
        <v>556676</v>
      </c>
    </row>
    <row r="614" spans="1:20" x14ac:dyDescent="0.3">
      <c r="A614" s="7">
        <v>45261</v>
      </c>
      <c r="B614" s="48">
        <v>40451</v>
      </c>
      <c r="C614" s="42">
        <v>195351</v>
      </c>
      <c r="D614" s="42">
        <v>217430</v>
      </c>
      <c r="E614" s="42">
        <v>200349</v>
      </c>
      <c r="F614" s="42">
        <v>738950</v>
      </c>
      <c r="G614" s="42">
        <v>268324</v>
      </c>
      <c r="H614" s="42">
        <v>52674</v>
      </c>
      <c r="I614" s="42">
        <v>59388</v>
      </c>
      <c r="J614" s="42">
        <v>182832</v>
      </c>
      <c r="K614" s="42">
        <v>509758</v>
      </c>
      <c r="L614" s="42">
        <v>145566</v>
      </c>
      <c r="M614" s="42">
        <v>1640920</v>
      </c>
      <c r="N614" s="42">
        <v>1331649</v>
      </c>
      <c r="O614" s="42">
        <v>23124</v>
      </c>
      <c r="P614" s="42">
        <v>100064</v>
      </c>
      <c r="Q614" s="42">
        <v>284035</v>
      </c>
      <c r="R614" s="42">
        <v>2310600</v>
      </c>
      <c r="S614" s="43">
        <v>71283</v>
      </c>
      <c r="T614" s="42">
        <v>550971</v>
      </c>
    </row>
    <row r="615" spans="1:20" x14ac:dyDescent="0.3">
      <c r="A615" s="7">
        <v>45260</v>
      </c>
      <c r="B615" s="48">
        <v>39862</v>
      </c>
      <c r="C615" s="42">
        <v>196266</v>
      </c>
      <c r="D615" s="42">
        <v>215947</v>
      </c>
      <c r="E615" s="42">
        <v>201449</v>
      </c>
      <c r="F615" s="42">
        <v>730038</v>
      </c>
      <c r="G615" s="42">
        <v>266209</v>
      </c>
      <c r="H615" s="42">
        <v>52840</v>
      </c>
      <c r="I615" s="42">
        <v>58611</v>
      </c>
      <c r="J615" s="42">
        <v>176907</v>
      </c>
      <c r="K615" s="42">
        <v>498685</v>
      </c>
      <c r="L615" s="42">
        <v>142847</v>
      </c>
      <c r="M615" s="42">
        <v>1649235</v>
      </c>
      <c r="N615" s="42">
        <v>1332157</v>
      </c>
      <c r="O615" s="42">
        <v>21576</v>
      </c>
      <c r="P615" s="42">
        <v>99280</v>
      </c>
      <c r="Q615" s="42">
        <v>286362</v>
      </c>
      <c r="R615" s="42">
        <v>2309832</v>
      </c>
      <c r="S615" s="43">
        <v>67056</v>
      </c>
      <c r="T615" s="42">
        <v>552228</v>
      </c>
    </row>
    <row r="616" spans="1:20" x14ac:dyDescent="0.3">
      <c r="A616" s="7">
        <v>45259</v>
      </c>
      <c r="B616" s="48">
        <v>41903</v>
      </c>
      <c r="C616" s="42">
        <v>196056</v>
      </c>
      <c r="D616" s="42">
        <v>217623</v>
      </c>
      <c r="E616" s="42">
        <v>198961</v>
      </c>
      <c r="F616" s="42">
        <v>726453</v>
      </c>
      <c r="G616" s="42">
        <v>264497</v>
      </c>
      <c r="H616" s="42">
        <v>52579</v>
      </c>
      <c r="I616" s="42">
        <v>60296</v>
      </c>
      <c r="J616" s="42">
        <v>174988</v>
      </c>
      <c r="K616" s="42">
        <v>508285</v>
      </c>
      <c r="L616" s="42">
        <v>144332</v>
      </c>
      <c r="M616" s="42">
        <v>1584635</v>
      </c>
      <c r="N616" s="42">
        <v>1312656</v>
      </c>
      <c r="O616" s="42">
        <v>21685</v>
      </c>
      <c r="P616" s="42">
        <v>96153</v>
      </c>
      <c r="Q616" s="42">
        <v>286844</v>
      </c>
      <c r="R616" s="42">
        <v>2290520</v>
      </c>
      <c r="S616" s="43">
        <v>64993</v>
      </c>
      <c r="T616" s="42">
        <v>551257</v>
      </c>
    </row>
    <row r="617" spans="1:20" x14ac:dyDescent="0.3">
      <c r="A617" s="7">
        <v>45258</v>
      </c>
      <c r="B617" s="42">
        <v>39359</v>
      </c>
      <c r="C617" s="42">
        <v>197053</v>
      </c>
      <c r="D617" s="42">
        <v>217372</v>
      </c>
      <c r="E617" s="42">
        <v>200864</v>
      </c>
      <c r="F617" s="42">
        <v>727138</v>
      </c>
      <c r="G617" s="42">
        <v>260781</v>
      </c>
      <c r="H617" s="42">
        <v>51460</v>
      </c>
      <c r="I617" s="42">
        <v>60479</v>
      </c>
      <c r="J617" s="42">
        <v>173233</v>
      </c>
      <c r="K617" s="42">
        <v>505658</v>
      </c>
      <c r="L617" s="42">
        <v>139144</v>
      </c>
      <c r="M617" s="42">
        <v>1563737</v>
      </c>
      <c r="N617" s="42">
        <v>1312707</v>
      </c>
      <c r="O617" s="42">
        <v>23027</v>
      </c>
      <c r="P617" s="42">
        <v>98357</v>
      </c>
      <c r="Q617" s="42">
        <v>293315</v>
      </c>
      <c r="R617" s="42">
        <v>2279894</v>
      </c>
      <c r="S617" s="43">
        <v>60015</v>
      </c>
      <c r="T617" s="42">
        <v>547979</v>
      </c>
    </row>
    <row r="618" spans="1:20" x14ac:dyDescent="0.3">
      <c r="A618" s="7">
        <v>45257</v>
      </c>
      <c r="B618" s="42">
        <v>37907</v>
      </c>
      <c r="C618" s="42">
        <v>195209</v>
      </c>
      <c r="D618" s="42">
        <v>214366</v>
      </c>
      <c r="E618" s="42">
        <v>200366</v>
      </c>
      <c r="F618" s="42">
        <v>718055</v>
      </c>
      <c r="G618" s="42">
        <v>259567</v>
      </c>
      <c r="H618" s="42">
        <v>50054</v>
      </c>
      <c r="I618" s="42">
        <v>59855</v>
      </c>
      <c r="J618" s="42">
        <v>175651</v>
      </c>
      <c r="K618" s="42">
        <v>496470</v>
      </c>
      <c r="L618" s="42">
        <v>139751</v>
      </c>
      <c r="M618" s="42">
        <v>1569542</v>
      </c>
      <c r="N618" s="42">
        <v>1299066</v>
      </c>
      <c r="O618" s="42">
        <v>22054</v>
      </c>
      <c r="P618" s="42">
        <v>97473</v>
      </c>
      <c r="Q618" s="42">
        <v>288006</v>
      </c>
      <c r="R618" s="42">
        <v>2272222</v>
      </c>
      <c r="S618" s="43">
        <v>60193</v>
      </c>
      <c r="T618" s="42">
        <v>537080</v>
      </c>
    </row>
    <row r="619" spans="1:20" x14ac:dyDescent="0.3">
      <c r="A619" s="7">
        <v>45254</v>
      </c>
      <c r="B619" s="42">
        <v>37484</v>
      </c>
      <c r="C619" s="42">
        <v>194284</v>
      </c>
      <c r="D619" s="42">
        <v>215040</v>
      </c>
      <c r="E619" s="42">
        <v>202390</v>
      </c>
      <c r="F619" s="42">
        <v>720111</v>
      </c>
      <c r="G619" s="42">
        <v>262931</v>
      </c>
      <c r="H619" s="42">
        <v>48375</v>
      </c>
      <c r="I619" s="42">
        <v>59822</v>
      </c>
      <c r="J619" s="42">
        <v>178394</v>
      </c>
      <c r="K619" s="42">
        <v>499580</v>
      </c>
      <c r="L619" s="42">
        <v>138503</v>
      </c>
      <c r="M619" s="42">
        <v>1565233</v>
      </c>
      <c r="N619" s="42">
        <v>1317023</v>
      </c>
      <c r="O619" s="42">
        <v>23341</v>
      </c>
      <c r="P619" s="42">
        <v>96803</v>
      </c>
      <c r="Q619" s="42">
        <v>282986</v>
      </c>
      <c r="R619" s="42">
        <v>2256226</v>
      </c>
      <c r="S619" s="43">
        <v>60412</v>
      </c>
      <c r="T619" s="42">
        <v>533991</v>
      </c>
    </row>
    <row r="620" spans="1:20" x14ac:dyDescent="0.3">
      <c r="A620" s="7">
        <v>45252</v>
      </c>
      <c r="B620" s="42">
        <v>36152</v>
      </c>
      <c r="C620" s="42">
        <v>194146</v>
      </c>
      <c r="D620" s="42">
        <v>207958</v>
      </c>
      <c r="E620" s="42">
        <v>203251</v>
      </c>
      <c r="F620" s="42">
        <v>719544</v>
      </c>
      <c r="G620" s="42">
        <v>262166</v>
      </c>
      <c r="H620" s="42">
        <v>48471</v>
      </c>
      <c r="I620" s="42">
        <v>59916</v>
      </c>
      <c r="J620" s="42">
        <v>183153</v>
      </c>
      <c r="K620" s="42">
        <v>502814</v>
      </c>
      <c r="L620" s="42">
        <v>133968</v>
      </c>
      <c r="M620" s="42">
        <v>1558716</v>
      </c>
      <c r="N620" s="42">
        <v>1313789</v>
      </c>
      <c r="O620" s="42">
        <v>22543</v>
      </c>
      <c r="P620" s="42">
        <v>95695</v>
      </c>
      <c r="Q620" s="42">
        <v>282969</v>
      </c>
      <c r="R620" s="42">
        <v>2246798</v>
      </c>
      <c r="S620" s="43">
        <v>58784</v>
      </c>
      <c r="T620" s="42">
        <v>532289</v>
      </c>
    </row>
    <row r="621" spans="1:20" x14ac:dyDescent="0.3">
      <c r="A621" s="7">
        <v>45251</v>
      </c>
      <c r="B621" s="42">
        <v>36205</v>
      </c>
      <c r="C621" s="42">
        <v>196598</v>
      </c>
      <c r="D621" s="42">
        <v>208657</v>
      </c>
      <c r="E621" s="42">
        <v>203248</v>
      </c>
      <c r="F621" s="42">
        <v>712364</v>
      </c>
      <c r="G621" s="42">
        <v>264903</v>
      </c>
      <c r="H621" s="42">
        <v>48137</v>
      </c>
      <c r="I621" s="42">
        <v>58815</v>
      </c>
      <c r="J621" s="42">
        <v>187077</v>
      </c>
      <c r="K621" s="42">
        <v>508429</v>
      </c>
      <c r="L621" s="42">
        <v>134333</v>
      </c>
      <c r="M621" s="42">
        <v>1553677</v>
      </c>
      <c r="N621" s="42">
        <v>1316640</v>
      </c>
      <c r="O621" s="42">
        <v>21939</v>
      </c>
      <c r="P621" s="42">
        <v>94498</v>
      </c>
      <c r="Q621" s="42">
        <v>284312</v>
      </c>
      <c r="R621" s="42">
        <v>2240214</v>
      </c>
      <c r="S621" s="43">
        <v>61889</v>
      </c>
      <c r="T621" s="42">
        <v>532118</v>
      </c>
    </row>
    <row r="622" spans="1:20" x14ac:dyDescent="0.3">
      <c r="A622" s="7">
        <v>45250</v>
      </c>
      <c r="B622" s="42">
        <v>37894</v>
      </c>
      <c r="C622" s="42">
        <v>196609</v>
      </c>
      <c r="D622" s="42">
        <v>212557</v>
      </c>
      <c r="E622" s="42">
        <v>206395</v>
      </c>
      <c r="F622" s="42">
        <v>706676</v>
      </c>
      <c r="G622" s="42">
        <v>263645</v>
      </c>
      <c r="H622" s="42">
        <v>49254</v>
      </c>
      <c r="I622" s="42">
        <v>59349</v>
      </c>
      <c r="J622" s="42">
        <v>191603</v>
      </c>
      <c r="K622" s="42">
        <v>488683</v>
      </c>
      <c r="L622" s="42">
        <v>133062</v>
      </c>
      <c r="M622" s="42">
        <v>1548581</v>
      </c>
      <c r="N622" s="42">
        <v>1314334</v>
      </c>
      <c r="O622" s="42">
        <v>22228</v>
      </c>
      <c r="P622" s="42">
        <v>95326</v>
      </c>
      <c r="Q622" s="42">
        <v>287547</v>
      </c>
      <c r="R622" s="42">
        <v>2235968</v>
      </c>
      <c r="S622" s="43">
        <v>61191</v>
      </c>
      <c r="T622" s="42">
        <v>535962</v>
      </c>
    </row>
    <row r="623" spans="1:20" x14ac:dyDescent="0.3">
      <c r="A623" s="7">
        <v>45247</v>
      </c>
      <c r="B623" s="42">
        <v>37609</v>
      </c>
      <c r="C623" s="42">
        <v>193761</v>
      </c>
      <c r="D623" s="42">
        <v>209965</v>
      </c>
      <c r="E623" s="42">
        <v>206491</v>
      </c>
      <c r="F623" s="42">
        <v>704732</v>
      </c>
      <c r="G623" s="42">
        <v>262384</v>
      </c>
      <c r="H623" s="42">
        <v>50915</v>
      </c>
      <c r="I623" s="42">
        <v>58056</v>
      </c>
      <c r="J623" s="42">
        <v>192937</v>
      </c>
      <c r="K623" s="42">
        <v>487533</v>
      </c>
      <c r="L623" s="42">
        <v>133594</v>
      </c>
      <c r="M623" s="42">
        <v>1559701</v>
      </c>
      <c r="N623" s="42">
        <v>1324363</v>
      </c>
      <c r="O623" s="42">
        <v>21483</v>
      </c>
      <c r="P623" s="42">
        <v>96128</v>
      </c>
      <c r="Q623" s="42">
        <v>284579</v>
      </c>
      <c r="R623" s="42">
        <v>2233156</v>
      </c>
      <c r="S623" s="43">
        <v>65053</v>
      </c>
      <c r="T623" s="42">
        <v>552664</v>
      </c>
    </row>
    <row r="624" spans="1:20" x14ac:dyDescent="0.3">
      <c r="A624" s="7">
        <v>45246</v>
      </c>
      <c r="B624" s="42">
        <v>37137</v>
      </c>
      <c r="C624" s="42">
        <v>193931</v>
      </c>
      <c r="D624" s="42">
        <v>209855</v>
      </c>
      <c r="E624" s="42">
        <v>205224</v>
      </c>
      <c r="F624" s="42">
        <v>705917</v>
      </c>
      <c r="G624" s="42">
        <v>262423</v>
      </c>
      <c r="H624" s="42">
        <v>49402</v>
      </c>
      <c r="I624" s="42">
        <v>57267</v>
      </c>
      <c r="J624" s="42">
        <v>196928</v>
      </c>
      <c r="K624" s="42">
        <v>488476</v>
      </c>
      <c r="L624" s="42">
        <v>134964</v>
      </c>
      <c r="M624" s="42">
        <v>1602287</v>
      </c>
      <c r="N624" s="42">
        <v>1300777</v>
      </c>
      <c r="O624" s="42">
        <v>21741</v>
      </c>
      <c r="P624" s="42">
        <v>97584</v>
      </c>
      <c r="Q624" s="42">
        <v>285193</v>
      </c>
      <c r="R624" s="42">
        <v>2225670</v>
      </c>
      <c r="S624" s="43">
        <v>67324</v>
      </c>
      <c r="T624" s="42">
        <v>551427</v>
      </c>
    </row>
    <row r="625" spans="1:20" x14ac:dyDescent="0.3">
      <c r="A625" s="7">
        <v>45245</v>
      </c>
      <c r="B625" s="42">
        <v>37117</v>
      </c>
      <c r="C625" s="42">
        <v>196163</v>
      </c>
      <c r="D625" s="42">
        <v>213771</v>
      </c>
      <c r="E625" s="42">
        <v>204780</v>
      </c>
      <c r="F625" s="42">
        <v>707052</v>
      </c>
      <c r="G625" s="42">
        <v>264369</v>
      </c>
      <c r="H625" s="42">
        <v>49017</v>
      </c>
      <c r="I625" s="42">
        <v>57227</v>
      </c>
      <c r="J625" s="42">
        <v>205008</v>
      </c>
      <c r="K625" s="42">
        <v>483704</v>
      </c>
      <c r="L625" s="42">
        <v>134534</v>
      </c>
      <c r="M625" s="42">
        <v>1620876</v>
      </c>
      <c r="N625" s="42">
        <v>1291798</v>
      </c>
      <c r="O625" s="42">
        <v>22722</v>
      </c>
      <c r="P625" s="42">
        <v>100407</v>
      </c>
      <c r="Q625" s="42">
        <v>277664</v>
      </c>
      <c r="R625" s="42">
        <v>2229029</v>
      </c>
      <c r="S625" s="43">
        <v>70585</v>
      </c>
      <c r="T625" s="42">
        <v>553319</v>
      </c>
    </row>
    <row r="626" spans="1:20" x14ac:dyDescent="0.3">
      <c r="A626" s="7">
        <v>45244</v>
      </c>
      <c r="B626" s="42">
        <v>38842</v>
      </c>
      <c r="C626" s="42">
        <v>197605</v>
      </c>
      <c r="D626" s="42">
        <v>218393</v>
      </c>
      <c r="E626" s="42">
        <v>206046</v>
      </c>
      <c r="F626" s="42">
        <v>704144</v>
      </c>
      <c r="G626" s="42">
        <v>274549</v>
      </c>
      <c r="H626" s="42">
        <v>49906</v>
      </c>
      <c r="I626" s="42">
        <v>59464</v>
      </c>
      <c r="J626" s="42">
        <v>206072</v>
      </c>
      <c r="K626" s="42">
        <v>486634</v>
      </c>
      <c r="L626" s="42">
        <v>134826</v>
      </c>
      <c r="M626" s="42">
        <v>1639133</v>
      </c>
      <c r="N626" s="42">
        <v>1296464</v>
      </c>
      <c r="O626" s="42">
        <v>21203</v>
      </c>
      <c r="P626" s="42">
        <v>101030</v>
      </c>
      <c r="Q626" s="42">
        <v>273787</v>
      </c>
      <c r="R626" s="42">
        <v>2192899</v>
      </c>
      <c r="S626" s="43">
        <v>73920</v>
      </c>
      <c r="T626" s="42">
        <v>553247</v>
      </c>
    </row>
    <row r="627" spans="1:20" x14ac:dyDescent="0.3">
      <c r="A627" s="7">
        <v>45243</v>
      </c>
      <c r="B627" s="42">
        <v>41252</v>
      </c>
      <c r="C627" s="42">
        <v>194114</v>
      </c>
      <c r="D627" s="42">
        <v>217204</v>
      </c>
      <c r="E627" s="42">
        <v>213261</v>
      </c>
      <c r="F627" s="42">
        <v>689789</v>
      </c>
      <c r="G627" s="42">
        <v>284403</v>
      </c>
      <c r="H627" s="42">
        <v>50584</v>
      </c>
      <c r="I627" s="42">
        <v>59858</v>
      </c>
      <c r="J627" s="42">
        <v>215871</v>
      </c>
      <c r="K627" s="42">
        <v>481511</v>
      </c>
      <c r="L627" s="42">
        <v>134136</v>
      </c>
      <c r="M627" s="42">
        <v>1645459</v>
      </c>
      <c r="N627" s="42">
        <v>1294075</v>
      </c>
      <c r="O627" s="42">
        <v>21856</v>
      </c>
      <c r="P627" s="42">
        <v>100562</v>
      </c>
      <c r="Q627" s="42">
        <v>270749</v>
      </c>
      <c r="R627" s="42">
        <v>2189907</v>
      </c>
      <c r="S627" s="43">
        <v>67347</v>
      </c>
      <c r="T627" s="42">
        <v>547940</v>
      </c>
    </row>
    <row r="628" spans="1:20" x14ac:dyDescent="0.3">
      <c r="A628" s="7">
        <v>45240</v>
      </c>
      <c r="B628" s="42">
        <v>41992</v>
      </c>
      <c r="C628" s="42">
        <v>193376</v>
      </c>
      <c r="D628" s="42">
        <v>215519</v>
      </c>
      <c r="E628" s="42">
        <v>215072</v>
      </c>
      <c r="F628" s="42">
        <v>692794</v>
      </c>
      <c r="G628" s="42">
        <v>280043</v>
      </c>
      <c r="H628" s="42">
        <v>51928</v>
      </c>
      <c r="I628" s="42">
        <v>59220</v>
      </c>
      <c r="J628" s="42">
        <v>219489</v>
      </c>
      <c r="K628" s="42">
        <v>473141</v>
      </c>
      <c r="L628" s="42">
        <v>131505</v>
      </c>
      <c r="M628" s="42">
        <v>1655570</v>
      </c>
      <c r="N628" s="42">
        <v>1293203</v>
      </c>
      <c r="O628" s="42">
        <v>22345</v>
      </c>
      <c r="P628" s="42">
        <v>100293</v>
      </c>
      <c r="Q628" s="42">
        <v>274422</v>
      </c>
      <c r="R628" s="42">
        <v>2205411</v>
      </c>
      <c r="S628" s="43">
        <v>70200</v>
      </c>
      <c r="T628" s="42">
        <v>546859</v>
      </c>
    </row>
    <row r="629" spans="1:20" x14ac:dyDescent="0.3">
      <c r="A629" s="7">
        <v>45239</v>
      </c>
      <c r="B629" s="42">
        <v>41859</v>
      </c>
      <c r="C629" s="42">
        <v>191765</v>
      </c>
      <c r="D629" s="42">
        <v>212176</v>
      </c>
      <c r="E629" s="42">
        <v>210633</v>
      </c>
      <c r="F629" s="42">
        <v>694108</v>
      </c>
      <c r="G629" s="42">
        <v>270602</v>
      </c>
      <c r="H629" s="42">
        <v>50398</v>
      </c>
      <c r="I629" s="42">
        <v>58418</v>
      </c>
      <c r="J629" s="42">
        <v>213431</v>
      </c>
      <c r="K629" s="42">
        <v>480477</v>
      </c>
      <c r="L629" s="42">
        <v>128737</v>
      </c>
      <c r="M629" s="42">
        <v>1658816</v>
      </c>
      <c r="N629" s="42">
        <v>1277528</v>
      </c>
      <c r="O629" s="42">
        <v>21538</v>
      </c>
      <c r="P629" s="42">
        <v>99610</v>
      </c>
      <c r="Q629" s="42">
        <v>270181</v>
      </c>
      <c r="R629" s="42">
        <v>2196866</v>
      </c>
      <c r="S629" s="43">
        <v>70524</v>
      </c>
      <c r="T629" s="42">
        <v>541484</v>
      </c>
    </row>
    <row r="630" spans="1:20" x14ac:dyDescent="0.3">
      <c r="A630" s="7">
        <v>45238</v>
      </c>
      <c r="B630" s="42">
        <v>40728</v>
      </c>
      <c r="C630" s="42">
        <v>190720</v>
      </c>
      <c r="D630" s="42">
        <v>210158</v>
      </c>
      <c r="E630" s="42">
        <v>204573</v>
      </c>
      <c r="F630" s="42">
        <v>692642</v>
      </c>
      <c r="G630" s="42">
        <v>264349</v>
      </c>
      <c r="H630" s="42">
        <v>50095</v>
      </c>
      <c r="I630" s="42">
        <v>56954</v>
      </c>
      <c r="J630" s="42">
        <v>212839</v>
      </c>
      <c r="K630" s="42">
        <v>480121</v>
      </c>
      <c r="L630" s="42">
        <v>130361</v>
      </c>
      <c r="M630" s="42">
        <v>1674065</v>
      </c>
      <c r="N630" s="42">
        <v>1259217</v>
      </c>
      <c r="O630" s="42">
        <v>21987</v>
      </c>
      <c r="P630" s="42">
        <v>100841</v>
      </c>
      <c r="Q630" s="42">
        <v>268500</v>
      </c>
      <c r="R630" s="42">
        <v>2195591</v>
      </c>
      <c r="S630" s="43">
        <v>67288</v>
      </c>
      <c r="T630" s="42">
        <v>544804</v>
      </c>
    </row>
    <row r="631" spans="1:20" x14ac:dyDescent="0.3">
      <c r="A631" s="7">
        <v>45237</v>
      </c>
      <c r="B631" s="42">
        <v>41224</v>
      </c>
      <c r="C631" s="42">
        <v>192496</v>
      </c>
      <c r="D631" s="42">
        <v>212730</v>
      </c>
      <c r="E631" s="42">
        <v>200364</v>
      </c>
      <c r="F631" s="42">
        <v>697624</v>
      </c>
      <c r="G631" s="42">
        <v>259698</v>
      </c>
      <c r="H631" s="42">
        <v>51001</v>
      </c>
      <c r="I631" s="42">
        <v>56756</v>
      </c>
      <c r="J631" s="42">
        <v>213615</v>
      </c>
      <c r="K631" s="42">
        <v>484347</v>
      </c>
      <c r="L631" s="42">
        <v>131073</v>
      </c>
      <c r="M631" s="42">
        <v>1688562</v>
      </c>
      <c r="N631" s="42">
        <v>1243268</v>
      </c>
      <c r="O631" s="42">
        <v>21749</v>
      </c>
      <c r="P631" s="42">
        <v>103306</v>
      </c>
      <c r="Q631" s="42">
        <v>268597</v>
      </c>
      <c r="R631" s="42">
        <v>2177947</v>
      </c>
      <c r="S631" s="43">
        <v>69200</v>
      </c>
      <c r="T631" s="42">
        <v>553367</v>
      </c>
    </row>
    <row r="632" spans="1:20" x14ac:dyDescent="0.3">
      <c r="A632" s="7">
        <v>45236</v>
      </c>
      <c r="B632" s="42">
        <v>40756</v>
      </c>
      <c r="C632" s="42">
        <v>198426</v>
      </c>
      <c r="D632" s="42">
        <v>216268</v>
      </c>
      <c r="E632" s="42">
        <v>200988</v>
      </c>
      <c r="F632" s="42">
        <v>701210</v>
      </c>
      <c r="G632" s="42">
        <v>257460</v>
      </c>
      <c r="H632" s="42">
        <v>50738</v>
      </c>
      <c r="I632" s="42">
        <v>56061</v>
      </c>
      <c r="J632" s="42">
        <v>217843</v>
      </c>
      <c r="K632" s="42">
        <v>487483</v>
      </c>
      <c r="L632" s="42">
        <v>129499</v>
      </c>
      <c r="M632" s="42">
        <v>1689918</v>
      </c>
      <c r="N632" s="42">
        <v>1241656</v>
      </c>
      <c r="O632" s="42">
        <v>20868</v>
      </c>
      <c r="P632" s="42">
        <v>103921</v>
      </c>
      <c r="Q632" s="42">
        <v>261756</v>
      </c>
      <c r="R632" s="42">
        <v>2173721</v>
      </c>
      <c r="S632" s="43">
        <v>67790</v>
      </c>
      <c r="T632" s="42">
        <v>550894</v>
      </c>
    </row>
    <row r="633" spans="1:20" x14ac:dyDescent="0.3">
      <c r="A633" s="7">
        <v>45233</v>
      </c>
      <c r="B633" s="42">
        <v>42294</v>
      </c>
      <c r="C633" s="42">
        <v>196251</v>
      </c>
      <c r="D633" s="42">
        <v>218420</v>
      </c>
      <c r="E633" s="42">
        <v>206660</v>
      </c>
      <c r="F633" s="42">
        <v>701990</v>
      </c>
      <c r="G633" s="42">
        <v>261689</v>
      </c>
      <c r="H633" s="42">
        <v>50866</v>
      </c>
      <c r="I633" s="42">
        <v>57111</v>
      </c>
      <c r="J633" s="42">
        <v>218208</v>
      </c>
      <c r="K633" s="42">
        <v>485916</v>
      </c>
      <c r="L633" s="42">
        <v>130301</v>
      </c>
      <c r="M633" s="42">
        <v>1691456</v>
      </c>
      <c r="N633" s="42">
        <v>1217323</v>
      </c>
      <c r="O633" s="42">
        <v>20446</v>
      </c>
      <c r="P633" s="42">
        <v>104219</v>
      </c>
      <c r="Q633" s="42">
        <v>259083</v>
      </c>
      <c r="R633" s="42">
        <v>2160337</v>
      </c>
      <c r="S633" s="43">
        <v>70547</v>
      </c>
      <c r="T633" s="42">
        <v>553380</v>
      </c>
    </row>
    <row r="634" spans="1:20" x14ac:dyDescent="0.3">
      <c r="A634" s="7">
        <v>45232</v>
      </c>
      <c r="B634" s="42">
        <v>43592</v>
      </c>
      <c r="C634" s="42">
        <v>190357</v>
      </c>
      <c r="D634" s="42">
        <v>223433</v>
      </c>
      <c r="E634" s="42">
        <v>208409</v>
      </c>
      <c r="F634" s="42">
        <v>703437</v>
      </c>
      <c r="G634" s="42">
        <v>261662</v>
      </c>
      <c r="H634" s="42">
        <v>55089</v>
      </c>
      <c r="I634" s="42">
        <v>56897</v>
      </c>
      <c r="J634" s="42">
        <v>221443</v>
      </c>
      <c r="K634" s="42">
        <v>480981</v>
      </c>
      <c r="L634" s="42">
        <v>127592</v>
      </c>
      <c r="M634" s="42">
        <v>1675544</v>
      </c>
      <c r="N634" s="42">
        <v>1209431</v>
      </c>
      <c r="O634" s="42">
        <v>20442</v>
      </c>
      <c r="P634" s="42">
        <v>104706</v>
      </c>
      <c r="Q634" s="42">
        <v>254786</v>
      </c>
      <c r="R634" s="42">
        <v>2162879</v>
      </c>
      <c r="S634" s="43">
        <v>73537</v>
      </c>
      <c r="T634" s="42">
        <v>547764</v>
      </c>
    </row>
    <row r="635" spans="1:20" x14ac:dyDescent="0.3">
      <c r="A635" s="7">
        <v>45231</v>
      </c>
      <c r="B635" s="42">
        <v>44082</v>
      </c>
      <c r="C635" s="42">
        <v>193744</v>
      </c>
      <c r="D635" s="42">
        <v>230682</v>
      </c>
      <c r="E635" s="42">
        <v>206448</v>
      </c>
      <c r="F635" s="42">
        <v>698031</v>
      </c>
      <c r="G635" s="42">
        <v>270139</v>
      </c>
      <c r="H635" s="42">
        <v>56758</v>
      </c>
      <c r="I635" s="42">
        <v>56460</v>
      </c>
      <c r="J635" s="42">
        <v>222972</v>
      </c>
      <c r="K635" s="42">
        <v>474617</v>
      </c>
      <c r="L635" s="42">
        <v>126830</v>
      </c>
      <c r="M635" s="42">
        <v>1680549</v>
      </c>
      <c r="N635" s="42">
        <v>1186905</v>
      </c>
      <c r="O635" s="42">
        <v>20664</v>
      </c>
      <c r="P635" s="42">
        <v>102478</v>
      </c>
      <c r="Q635" s="42">
        <v>253655</v>
      </c>
      <c r="R635" s="42">
        <v>2171547</v>
      </c>
      <c r="S635" s="43">
        <v>72949</v>
      </c>
      <c r="T635" s="42">
        <v>546918</v>
      </c>
    </row>
    <row r="636" spans="1:20" x14ac:dyDescent="0.3">
      <c r="A636" s="7">
        <v>45230</v>
      </c>
      <c r="B636" s="42">
        <v>42803</v>
      </c>
      <c r="C636" s="42">
        <v>196866</v>
      </c>
      <c r="D636" s="42">
        <v>229991</v>
      </c>
      <c r="E636" s="42">
        <v>198528</v>
      </c>
      <c r="F636" s="42">
        <v>694962</v>
      </c>
      <c r="G636" s="42">
        <v>277272</v>
      </c>
      <c r="H636" s="42">
        <v>57676</v>
      </c>
      <c r="I636" s="42">
        <v>56353</v>
      </c>
      <c r="J636" s="42">
        <v>222566</v>
      </c>
      <c r="K636" s="42">
        <v>475808</v>
      </c>
      <c r="L636" s="42">
        <v>126549</v>
      </c>
      <c r="M636" s="42">
        <v>1671255</v>
      </c>
      <c r="N636" s="42">
        <v>1186140</v>
      </c>
      <c r="O636" s="42">
        <v>19603</v>
      </c>
      <c r="P636" s="42">
        <v>103936</v>
      </c>
      <c r="Q636" s="42">
        <v>259306</v>
      </c>
      <c r="R636" s="42">
        <v>2174689</v>
      </c>
      <c r="S636" s="43">
        <v>72385</v>
      </c>
      <c r="T636" s="42">
        <v>538550</v>
      </c>
    </row>
    <row r="637" spans="1:20" x14ac:dyDescent="0.3">
      <c r="A637" s="7">
        <v>45229</v>
      </c>
      <c r="B637" s="42">
        <v>41959</v>
      </c>
      <c r="C637" s="42">
        <v>195843</v>
      </c>
      <c r="D637" s="42">
        <v>230748</v>
      </c>
      <c r="E637" s="42">
        <v>198063</v>
      </c>
      <c r="F637" s="42">
        <v>696845</v>
      </c>
      <c r="G637" s="42">
        <v>272876</v>
      </c>
      <c r="H637" s="42">
        <v>57674</v>
      </c>
      <c r="I637" s="42">
        <v>54450</v>
      </c>
      <c r="J637" s="42">
        <v>223278</v>
      </c>
      <c r="K637" s="42">
        <v>479789</v>
      </c>
      <c r="L637" s="42">
        <v>127227</v>
      </c>
      <c r="M637" s="42">
        <v>1670588</v>
      </c>
      <c r="N637" s="42">
        <v>1194973</v>
      </c>
      <c r="O637" s="42">
        <v>20123</v>
      </c>
      <c r="P637" s="42">
        <v>106652</v>
      </c>
      <c r="Q637" s="42">
        <v>257229</v>
      </c>
      <c r="R637" s="42">
        <v>2175843</v>
      </c>
      <c r="S637" s="43">
        <v>72251</v>
      </c>
      <c r="T637" s="42">
        <v>523903</v>
      </c>
    </row>
    <row r="638" spans="1:20" x14ac:dyDescent="0.3">
      <c r="A638" s="7">
        <v>45226</v>
      </c>
      <c r="B638" s="42">
        <v>42076</v>
      </c>
      <c r="C638" s="42">
        <v>194319</v>
      </c>
      <c r="D638" s="42">
        <v>233533</v>
      </c>
      <c r="E638" s="42">
        <v>196123</v>
      </c>
      <c r="F638" s="42">
        <v>693598</v>
      </c>
      <c r="G638" s="42">
        <v>265610</v>
      </c>
      <c r="H638" s="42">
        <v>58101</v>
      </c>
      <c r="I638" s="42">
        <v>54118</v>
      </c>
      <c r="J638" s="42">
        <v>224988</v>
      </c>
      <c r="K638" s="42">
        <v>472990</v>
      </c>
      <c r="L638" s="42">
        <v>125339</v>
      </c>
      <c r="M638" s="42">
        <v>1646258</v>
      </c>
      <c r="N638" s="42">
        <v>1192833</v>
      </c>
      <c r="O638" s="42">
        <v>20351</v>
      </c>
      <c r="P638" s="42">
        <v>113522</v>
      </c>
      <c r="Q638" s="42">
        <v>260589</v>
      </c>
      <c r="R638" s="42">
        <v>2181691</v>
      </c>
      <c r="S638" s="43">
        <v>77443</v>
      </c>
      <c r="T638" s="42">
        <v>518056</v>
      </c>
    </row>
    <row r="639" spans="1:20" x14ac:dyDescent="0.3">
      <c r="A639" s="7">
        <v>45225</v>
      </c>
      <c r="B639" s="42">
        <v>43103</v>
      </c>
      <c r="C639" s="42">
        <v>196092</v>
      </c>
      <c r="D639" s="42">
        <v>232193</v>
      </c>
      <c r="E639" s="42">
        <v>191666</v>
      </c>
      <c r="F639" s="42">
        <v>697995</v>
      </c>
      <c r="G639" s="42">
        <v>259811</v>
      </c>
      <c r="H639" s="42">
        <v>58319</v>
      </c>
      <c r="I639" s="42">
        <v>55433</v>
      </c>
      <c r="J639" s="42">
        <v>229418</v>
      </c>
      <c r="K639" s="42">
        <v>465787</v>
      </c>
      <c r="L639" s="42">
        <v>123380</v>
      </c>
      <c r="M639" s="42">
        <v>1632941</v>
      </c>
      <c r="N639" s="42">
        <v>1194038</v>
      </c>
      <c r="O639" s="42">
        <v>20294</v>
      </c>
      <c r="P639" s="42">
        <v>108066</v>
      </c>
      <c r="Q639" s="42">
        <v>264288</v>
      </c>
      <c r="R639" s="42">
        <v>2189364</v>
      </c>
      <c r="S639" s="43">
        <v>77621</v>
      </c>
      <c r="T639" s="42">
        <v>513259</v>
      </c>
    </row>
    <row r="640" spans="1:20" x14ac:dyDescent="0.3">
      <c r="A640" s="7">
        <v>45224</v>
      </c>
      <c r="B640" s="42">
        <v>43178</v>
      </c>
      <c r="C640" s="42">
        <v>196172</v>
      </c>
      <c r="D640" s="42">
        <v>232259</v>
      </c>
      <c r="E640" s="42">
        <v>186492</v>
      </c>
      <c r="F640" s="42">
        <v>699139</v>
      </c>
      <c r="G640" s="42">
        <v>261968</v>
      </c>
      <c r="H640" s="42">
        <v>57385</v>
      </c>
      <c r="I640" s="42">
        <v>56148</v>
      </c>
      <c r="J640" s="42">
        <v>228224</v>
      </c>
      <c r="K640" s="42">
        <v>467547</v>
      </c>
      <c r="L640" s="42">
        <v>124350</v>
      </c>
      <c r="M640" s="42">
        <v>1622665</v>
      </c>
      <c r="N640" s="42">
        <v>1213566</v>
      </c>
      <c r="O640" s="42">
        <v>20369</v>
      </c>
      <c r="P640" s="42">
        <v>105935</v>
      </c>
      <c r="Q640" s="42">
        <v>262794</v>
      </c>
      <c r="R640" s="42">
        <v>2188155</v>
      </c>
      <c r="S640" s="43">
        <v>73222</v>
      </c>
      <c r="T640" s="42">
        <v>499353</v>
      </c>
    </row>
    <row r="641" spans="1:20" x14ac:dyDescent="0.3">
      <c r="A641" s="7">
        <v>45223</v>
      </c>
      <c r="B641" s="42">
        <v>42670</v>
      </c>
      <c r="C641" s="42">
        <v>194666</v>
      </c>
      <c r="D641" s="42">
        <v>233259</v>
      </c>
      <c r="E641" s="42">
        <v>184747</v>
      </c>
      <c r="F641" s="42">
        <v>702668</v>
      </c>
      <c r="G641" s="42">
        <v>260909</v>
      </c>
      <c r="H641" s="42">
        <v>57243</v>
      </c>
      <c r="I641" s="42">
        <v>59266</v>
      </c>
      <c r="J641" s="42">
        <v>224704</v>
      </c>
      <c r="K641" s="42">
        <v>463476</v>
      </c>
      <c r="L641" s="42">
        <v>123980</v>
      </c>
      <c r="M641" s="42">
        <v>1628044</v>
      </c>
      <c r="N641" s="42">
        <v>1211450</v>
      </c>
      <c r="O641" s="42">
        <v>19678</v>
      </c>
      <c r="P641" s="42">
        <v>104581</v>
      </c>
      <c r="Q641" s="42">
        <v>253055</v>
      </c>
      <c r="R641" s="42">
        <v>2158452</v>
      </c>
      <c r="S641" s="43">
        <v>71528</v>
      </c>
      <c r="T641" s="42">
        <v>488800</v>
      </c>
    </row>
    <row r="642" spans="1:20" x14ac:dyDescent="0.3">
      <c r="A642" s="7">
        <v>45222</v>
      </c>
      <c r="B642" s="42">
        <v>42392</v>
      </c>
      <c r="C642" s="42">
        <v>199649</v>
      </c>
      <c r="D642" s="42">
        <v>233429</v>
      </c>
      <c r="E642" s="42">
        <v>185734</v>
      </c>
      <c r="F642" s="42">
        <v>703725</v>
      </c>
      <c r="G642" s="42">
        <v>262491</v>
      </c>
      <c r="H642" s="42">
        <v>57204</v>
      </c>
      <c r="I642" s="42">
        <v>60313</v>
      </c>
      <c r="J642" s="42">
        <v>225410</v>
      </c>
      <c r="K642" s="42">
        <v>461986</v>
      </c>
      <c r="L642" s="42">
        <v>124506</v>
      </c>
      <c r="M642" s="42">
        <v>1637654</v>
      </c>
      <c r="N642" s="42">
        <v>1211925</v>
      </c>
      <c r="O642" s="42">
        <v>20059</v>
      </c>
      <c r="P642" s="42">
        <v>102294</v>
      </c>
      <c r="Q642" s="42">
        <v>259425</v>
      </c>
      <c r="R642" s="42">
        <v>2166672</v>
      </c>
      <c r="S642" s="43">
        <v>73562</v>
      </c>
      <c r="T642" s="42">
        <v>481595</v>
      </c>
    </row>
    <row r="643" spans="1:20" x14ac:dyDescent="0.3">
      <c r="A643" s="7">
        <v>45219</v>
      </c>
      <c r="B643" s="42">
        <v>43230</v>
      </c>
      <c r="C643" s="42">
        <v>199266</v>
      </c>
      <c r="D643" s="42">
        <v>232063</v>
      </c>
      <c r="E643" s="42">
        <v>188424</v>
      </c>
      <c r="F643" s="42">
        <v>695648</v>
      </c>
      <c r="G643" s="42">
        <v>266676</v>
      </c>
      <c r="H643" s="42">
        <v>57488</v>
      </c>
      <c r="I643" s="42">
        <v>61306</v>
      </c>
      <c r="J643" s="42">
        <v>225449</v>
      </c>
      <c r="K643" s="42">
        <v>458870</v>
      </c>
      <c r="L643" s="42">
        <v>125199</v>
      </c>
      <c r="M643" s="42">
        <v>1650063</v>
      </c>
      <c r="N643" s="42">
        <v>1211661</v>
      </c>
      <c r="O643" s="42">
        <v>19199</v>
      </c>
      <c r="P643" s="42">
        <v>101060</v>
      </c>
      <c r="Q643" s="42">
        <v>258626</v>
      </c>
      <c r="R643" s="42">
        <v>2160247</v>
      </c>
      <c r="S643" s="43">
        <v>74236</v>
      </c>
      <c r="T643" s="42">
        <v>485477</v>
      </c>
    </row>
    <row r="644" spans="1:20" x14ac:dyDescent="0.3">
      <c r="A644" s="7">
        <v>45218</v>
      </c>
      <c r="B644" s="42">
        <v>43450</v>
      </c>
      <c r="C644" s="42">
        <v>198276</v>
      </c>
      <c r="D644" s="42">
        <v>228832</v>
      </c>
      <c r="E644" s="42">
        <v>185631</v>
      </c>
      <c r="F644" s="42">
        <v>692782</v>
      </c>
      <c r="G644" s="42">
        <v>266420</v>
      </c>
      <c r="H644" s="42">
        <v>56956</v>
      </c>
      <c r="I644" s="42">
        <v>62210</v>
      </c>
      <c r="J644" s="42">
        <v>221104</v>
      </c>
      <c r="K644" s="42">
        <v>454864</v>
      </c>
      <c r="L644" s="42">
        <v>125360</v>
      </c>
      <c r="M644" s="42">
        <v>1648103</v>
      </c>
      <c r="N644" s="42">
        <v>1200929</v>
      </c>
      <c r="O644" s="42">
        <v>17731</v>
      </c>
      <c r="P644" s="42">
        <v>100488</v>
      </c>
      <c r="Q644" s="42">
        <v>254597</v>
      </c>
      <c r="R644" s="42">
        <v>2125664</v>
      </c>
      <c r="S644" s="43">
        <v>70609</v>
      </c>
      <c r="T644" s="42">
        <v>491560</v>
      </c>
    </row>
    <row r="645" spans="1:20" x14ac:dyDescent="0.3">
      <c r="A645" s="7">
        <v>45217</v>
      </c>
      <c r="B645" s="42">
        <v>43447</v>
      </c>
      <c r="C645" s="42">
        <v>197335</v>
      </c>
      <c r="D645" s="42">
        <v>225190</v>
      </c>
      <c r="E645" s="42">
        <v>184261</v>
      </c>
      <c r="F645" s="42">
        <v>696268</v>
      </c>
      <c r="G645" s="42">
        <v>266428</v>
      </c>
      <c r="H645" s="42">
        <v>56231</v>
      </c>
      <c r="I645" s="42">
        <v>62594</v>
      </c>
      <c r="J645" s="42">
        <v>219875</v>
      </c>
      <c r="K645" s="42">
        <v>446526</v>
      </c>
      <c r="L645" s="42">
        <v>123463</v>
      </c>
      <c r="M645" s="42">
        <v>1648577</v>
      </c>
      <c r="N645" s="42">
        <v>1189549</v>
      </c>
      <c r="O645" s="42">
        <v>16535</v>
      </c>
      <c r="P645" s="42">
        <v>99584</v>
      </c>
      <c r="Q645" s="42">
        <v>256736</v>
      </c>
      <c r="R645" s="42">
        <v>2103671</v>
      </c>
      <c r="S645" s="43">
        <v>67007</v>
      </c>
      <c r="T645" s="42">
        <v>493770</v>
      </c>
    </row>
    <row r="646" spans="1:20" x14ac:dyDescent="0.3">
      <c r="A646" s="7">
        <v>45216</v>
      </c>
      <c r="B646" s="42">
        <v>43051</v>
      </c>
      <c r="C646" s="42">
        <v>196247</v>
      </c>
      <c r="D646" s="42">
        <v>223908</v>
      </c>
      <c r="E646" s="42">
        <v>183938</v>
      </c>
      <c r="F646" s="42">
        <v>699818</v>
      </c>
      <c r="G646" s="42">
        <v>268314</v>
      </c>
      <c r="H646" s="42">
        <v>54135</v>
      </c>
      <c r="I646" s="42">
        <v>61346</v>
      </c>
      <c r="J646" s="42">
        <v>220619</v>
      </c>
      <c r="K646" s="42">
        <v>439581</v>
      </c>
      <c r="L646" s="42">
        <v>123640</v>
      </c>
      <c r="M646" s="42">
        <v>1654168</v>
      </c>
      <c r="N646" s="42">
        <v>1182071</v>
      </c>
      <c r="O646" s="42">
        <v>16561</v>
      </c>
      <c r="P646" s="42">
        <v>96554</v>
      </c>
      <c r="Q646" s="42">
        <v>256786</v>
      </c>
      <c r="R646" s="42">
        <v>2112419</v>
      </c>
      <c r="S646" s="43">
        <v>64542</v>
      </c>
      <c r="T646" s="42">
        <v>488418</v>
      </c>
    </row>
    <row r="647" spans="1:20" x14ac:dyDescent="0.3">
      <c r="A647" s="7">
        <v>45215</v>
      </c>
      <c r="B647" s="42">
        <v>43310</v>
      </c>
      <c r="C647" s="42">
        <v>197715</v>
      </c>
      <c r="D647" s="42">
        <v>225630</v>
      </c>
      <c r="E647" s="42">
        <v>187771</v>
      </c>
      <c r="F647" s="42">
        <v>700490</v>
      </c>
      <c r="G647" s="42">
        <v>261199</v>
      </c>
      <c r="H647" s="42">
        <v>53785</v>
      </c>
      <c r="I647" s="42">
        <v>60890</v>
      </c>
      <c r="J647" s="42">
        <v>218744</v>
      </c>
      <c r="K647" s="42">
        <v>437056</v>
      </c>
      <c r="L647" s="42">
        <v>124157</v>
      </c>
      <c r="M647" s="42">
        <v>1678852</v>
      </c>
      <c r="N647" s="42">
        <v>1170239</v>
      </c>
      <c r="O647" s="42">
        <v>15799</v>
      </c>
      <c r="P647" s="42">
        <v>98253</v>
      </c>
      <c r="Q647" s="42">
        <v>259557</v>
      </c>
      <c r="R647" s="42">
        <v>2108028</v>
      </c>
      <c r="S647" s="43">
        <v>65826</v>
      </c>
      <c r="T647" s="42">
        <v>480069</v>
      </c>
    </row>
    <row r="648" spans="1:20" x14ac:dyDescent="0.3">
      <c r="A648" s="7">
        <v>45212</v>
      </c>
      <c r="B648" s="42">
        <v>42452</v>
      </c>
      <c r="C648" s="42">
        <v>197046</v>
      </c>
      <c r="D648" s="42">
        <v>224264</v>
      </c>
      <c r="E648" s="42">
        <v>188316</v>
      </c>
      <c r="F648" s="42">
        <v>700529</v>
      </c>
      <c r="G648" s="42">
        <v>261432</v>
      </c>
      <c r="H648" s="42">
        <v>55118</v>
      </c>
      <c r="I648" s="42">
        <v>60034</v>
      </c>
      <c r="J648" s="42">
        <v>215863</v>
      </c>
      <c r="K648" s="42">
        <v>442054</v>
      </c>
      <c r="L648" s="42">
        <v>126032</v>
      </c>
      <c r="M648" s="42">
        <v>1688923</v>
      </c>
      <c r="N648" s="42">
        <v>1168520</v>
      </c>
      <c r="O648" s="42">
        <v>14176</v>
      </c>
      <c r="P648" s="42">
        <v>96726</v>
      </c>
      <c r="Q648" s="42">
        <v>257072</v>
      </c>
      <c r="R648" s="42">
        <v>2093180</v>
      </c>
      <c r="S648" s="43">
        <v>67982</v>
      </c>
      <c r="T648" s="42">
        <v>481420</v>
      </c>
    </row>
    <row r="649" spans="1:20" x14ac:dyDescent="0.3">
      <c r="A649" s="7">
        <v>45211</v>
      </c>
      <c r="B649" s="42">
        <v>42134</v>
      </c>
      <c r="C649" s="42">
        <v>192428</v>
      </c>
      <c r="D649" s="42">
        <v>229225</v>
      </c>
      <c r="E649" s="42">
        <v>189778</v>
      </c>
      <c r="F649" s="42">
        <v>697320</v>
      </c>
      <c r="G649" s="42">
        <v>268404</v>
      </c>
      <c r="H649" s="42">
        <v>54551</v>
      </c>
      <c r="I649" s="42">
        <v>60688</v>
      </c>
      <c r="J649" s="42">
        <v>211380</v>
      </c>
      <c r="K649" s="42">
        <v>436862</v>
      </c>
      <c r="L649" s="42">
        <v>127816</v>
      </c>
      <c r="M649" s="42">
        <v>1717923</v>
      </c>
      <c r="N649" s="42">
        <v>1164010</v>
      </c>
      <c r="O649" s="42">
        <v>14241</v>
      </c>
      <c r="P649" s="42">
        <v>95965</v>
      </c>
      <c r="Q649" s="42">
        <v>255793</v>
      </c>
      <c r="R649" s="42">
        <v>2076708</v>
      </c>
      <c r="S649" s="43">
        <v>66986</v>
      </c>
      <c r="T649" s="42">
        <v>483357</v>
      </c>
    </row>
    <row r="650" spans="1:20" x14ac:dyDescent="0.3">
      <c r="A650" s="7">
        <v>45210</v>
      </c>
      <c r="B650" s="42">
        <v>41753</v>
      </c>
      <c r="C650" s="42">
        <v>189240</v>
      </c>
      <c r="D650" s="42">
        <v>231913</v>
      </c>
      <c r="E650" s="42">
        <v>182233</v>
      </c>
      <c r="F650" s="42">
        <v>691374</v>
      </c>
      <c r="G650" s="42">
        <v>260342</v>
      </c>
      <c r="H650" s="42">
        <v>55642</v>
      </c>
      <c r="I650" s="42">
        <v>60796</v>
      </c>
      <c r="J650" s="42">
        <v>203279</v>
      </c>
      <c r="K650" s="42">
        <v>438438</v>
      </c>
      <c r="L650" s="42">
        <v>127233</v>
      </c>
      <c r="M650" s="42">
        <v>1760570</v>
      </c>
      <c r="N650" s="42">
        <v>1152608</v>
      </c>
      <c r="O650" s="42">
        <v>14081</v>
      </c>
      <c r="P650" s="42">
        <v>93454</v>
      </c>
      <c r="Q650" s="42">
        <v>256799</v>
      </c>
      <c r="R650" s="42">
        <v>2048633</v>
      </c>
      <c r="S650" s="43">
        <v>64833</v>
      </c>
      <c r="T650" s="42">
        <v>484012</v>
      </c>
    </row>
    <row r="651" spans="1:20" x14ac:dyDescent="0.3">
      <c r="A651" s="7">
        <v>45209</v>
      </c>
      <c r="B651" s="42">
        <v>41288</v>
      </c>
      <c r="C651" s="42">
        <v>190133</v>
      </c>
      <c r="D651" s="42">
        <v>231510</v>
      </c>
      <c r="E651" s="42">
        <v>179357</v>
      </c>
      <c r="F651" s="42">
        <v>687382</v>
      </c>
      <c r="G651" s="42">
        <v>259937</v>
      </c>
      <c r="H651" s="42">
        <v>54694</v>
      </c>
      <c r="I651" s="42">
        <v>61742</v>
      </c>
      <c r="J651" s="42">
        <v>201214</v>
      </c>
      <c r="K651" s="42">
        <v>436499</v>
      </c>
      <c r="L651" s="42">
        <v>126971</v>
      </c>
      <c r="M651" s="42">
        <v>1753314</v>
      </c>
      <c r="N651" s="42">
        <v>1142309</v>
      </c>
      <c r="O651" s="42">
        <v>14683</v>
      </c>
      <c r="P651" s="42">
        <v>94607</v>
      </c>
      <c r="Q651" s="42">
        <v>256528</v>
      </c>
      <c r="R651" s="42">
        <v>2073930</v>
      </c>
      <c r="S651" s="43">
        <v>66958</v>
      </c>
      <c r="T651" s="42">
        <v>492111</v>
      </c>
    </row>
    <row r="652" spans="1:20" x14ac:dyDescent="0.3">
      <c r="A652" s="7">
        <v>45208</v>
      </c>
      <c r="B652" s="42">
        <v>40900</v>
      </c>
      <c r="C652" s="42">
        <v>194746</v>
      </c>
      <c r="D652" s="42">
        <v>231306</v>
      </c>
      <c r="E652" s="42">
        <v>183352</v>
      </c>
      <c r="F652" s="42">
        <v>685157</v>
      </c>
      <c r="G652" s="42">
        <v>263764</v>
      </c>
      <c r="H652" s="42">
        <v>54755</v>
      </c>
      <c r="I652" s="42">
        <v>60716</v>
      </c>
      <c r="J652" s="42">
        <v>201171</v>
      </c>
      <c r="K652" s="42">
        <v>433176</v>
      </c>
      <c r="L652" s="42">
        <v>126111</v>
      </c>
      <c r="M652" s="42">
        <v>1726790</v>
      </c>
      <c r="N652" s="42">
        <v>1148129</v>
      </c>
      <c r="O652" s="42">
        <v>14904</v>
      </c>
      <c r="P652" s="42">
        <v>95307</v>
      </c>
      <c r="Q652" s="42">
        <v>254225</v>
      </c>
      <c r="R652" s="42">
        <v>2084264</v>
      </c>
      <c r="S652" s="43">
        <v>65486</v>
      </c>
      <c r="T652" s="42">
        <v>487075</v>
      </c>
    </row>
    <row r="653" spans="1:20" x14ac:dyDescent="0.3">
      <c r="A653" s="7">
        <v>45205</v>
      </c>
      <c r="B653" s="42">
        <v>41111</v>
      </c>
      <c r="C653" s="42">
        <v>195542</v>
      </c>
      <c r="D653" s="42">
        <v>234818</v>
      </c>
      <c r="E653" s="42">
        <v>186459</v>
      </c>
      <c r="F653" s="42">
        <v>686987</v>
      </c>
      <c r="G653" s="42">
        <v>265307</v>
      </c>
      <c r="H653" s="42">
        <v>53744</v>
      </c>
      <c r="I653" s="42">
        <v>60636</v>
      </c>
      <c r="J653" s="42">
        <v>204133</v>
      </c>
      <c r="K653" s="42">
        <v>434085</v>
      </c>
      <c r="L653" s="42">
        <v>126851</v>
      </c>
      <c r="M653" s="42">
        <v>1747129</v>
      </c>
      <c r="N653" s="42">
        <v>1166408</v>
      </c>
      <c r="O653" s="42">
        <v>16113</v>
      </c>
      <c r="P653" s="42">
        <v>98674</v>
      </c>
      <c r="Q653" s="42">
        <v>258382</v>
      </c>
      <c r="R653" s="42">
        <v>2097111</v>
      </c>
      <c r="S653" s="43">
        <v>68191</v>
      </c>
      <c r="T653" s="42">
        <v>486106</v>
      </c>
    </row>
    <row r="654" spans="1:20" x14ac:dyDescent="0.3">
      <c r="A654" s="7">
        <v>45204</v>
      </c>
      <c r="B654" s="42">
        <v>41975</v>
      </c>
      <c r="C654" s="42">
        <v>202076</v>
      </c>
      <c r="D654" s="42">
        <v>236826</v>
      </c>
      <c r="E654" s="42">
        <v>191303</v>
      </c>
      <c r="F654" s="42">
        <v>697529</v>
      </c>
      <c r="G654" s="42">
        <v>273002</v>
      </c>
      <c r="H654" s="42">
        <v>53507</v>
      </c>
      <c r="I654" s="42">
        <v>61420</v>
      </c>
      <c r="J654" s="42">
        <v>209452</v>
      </c>
      <c r="K654" s="42">
        <v>432849</v>
      </c>
      <c r="L654" s="42">
        <v>128007</v>
      </c>
      <c r="M654" s="42">
        <v>1796383</v>
      </c>
      <c r="N654" s="42">
        <v>1191390</v>
      </c>
      <c r="O654" s="42">
        <v>14906</v>
      </c>
      <c r="P654" s="42">
        <v>100196</v>
      </c>
      <c r="Q654" s="42">
        <v>251068</v>
      </c>
      <c r="R654" s="42">
        <v>2116300</v>
      </c>
      <c r="S654" s="43">
        <v>63739</v>
      </c>
      <c r="T654" s="42">
        <v>472565</v>
      </c>
    </row>
    <row r="655" spans="1:20" x14ac:dyDescent="0.3">
      <c r="A655" s="7">
        <v>45203</v>
      </c>
      <c r="B655" s="42">
        <v>43423</v>
      </c>
      <c r="C655" s="42">
        <v>206808</v>
      </c>
      <c r="D655" s="42">
        <v>238999</v>
      </c>
      <c r="E655" s="42">
        <v>190702</v>
      </c>
      <c r="F655" s="42">
        <v>695773</v>
      </c>
      <c r="G655" s="42">
        <v>273379</v>
      </c>
      <c r="H655" s="42">
        <v>53434</v>
      </c>
      <c r="I655" s="42">
        <v>59963</v>
      </c>
      <c r="J655" s="42">
        <v>209113</v>
      </c>
      <c r="K655" s="42">
        <v>431374</v>
      </c>
      <c r="L655" s="42">
        <v>125278</v>
      </c>
      <c r="M655" s="42">
        <v>1784065</v>
      </c>
      <c r="N655" s="42">
        <v>1178082</v>
      </c>
      <c r="O655" s="42">
        <v>14445</v>
      </c>
      <c r="P655" s="42">
        <v>100131</v>
      </c>
      <c r="Q655" s="42">
        <v>251020</v>
      </c>
      <c r="R655" s="42">
        <v>2107790</v>
      </c>
      <c r="S655" s="43">
        <v>64764</v>
      </c>
      <c r="T655" s="42">
        <v>472063</v>
      </c>
    </row>
    <row r="656" spans="1:20" x14ac:dyDescent="0.3">
      <c r="A656" s="7">
        <v>45202</v>
      </c>
      <c r="B656" s="42">
        <v>42340</v>
      </c>
      <c r="C656" s="42">
        <v>207782</v>
      </c>
      <c r="D656" s="42">
        <v>241045</v>
      </c>
      <c r="E656" s="42">
        <v>189443</v>
      </c>
      <c r="F656" s="42">
        <v>702433</v>
      </c>
      <c r="G656" s="42">
        <v>282682</v>
      </c>
      <c r="H656" s="42">
        <v>52291</v>
      </c>
      <c r="I656" s="42">
        <v>58673</v>
      </c>
      <c r="J656" s="42">
        <v>208795</v>
      </c>
      <c r="K656" s="42">
        <v>431226</v>
      </c>
      <c r="L656" s="42">
        <v>125847</v>
      </c>
      <c r="M656" s="42">
        <v>1787495</v>
      </c>
      <c r="N656" s="42">
        <v>1174386</v>
      </c>
      <c r="O656" s="42">
        <v>14447</v>
      </c>
      <c r="P656" s="42">
        <v>100823</v>
      </c>
      <c r="Q656" s="42">
        <v>254924</v>
      </c>
      <c r="R656" s="42">
        <v>2138034</v>
      </c>
      <c r="S656" s="43">
        <v>63755</v>
      </c>
      <c r="T656" s="42">
        <v>469714</v>
      </c>
    </row>
    <row r="657" spans="1:20" x14ac:dyDescent="0.3">
      <c r="A657" s="7">
        <v>45201</v>
      </c>
      <c r="B657" s="42">
        <v>41755</v>
      </c>
      <c r="C657" s="42">
        <v>202413</v>
      </c>
      <c r="D657" s="42">
        <v>239085</v>
      </c>
      <c r="E657" s="42">
        <v>181988</v>
      </c>
      <c r="F657" s="42">
        <v>702322</v>
      </c>
      <c r="G657" s="42">
        <v>287679</v>
      </c>
      <c r="H657" s="42">
        <v>54556</v>
      </c>
      <c r="I657" s="42">
        <v>58703</v>
      </c>
      <c r="J657" s="42">
        <v>207881</v>
      </c>
      <c r="K657" s="42">
        <v>433083</v>
      </c>
      <c r="L657" s="42">
        <v>128732</v>
      </c>
      <c r="M657" s="42">
        <v>1770012</v>
      </c>
      <c r="N657" s="42">
        <v>1166641</v>
      </c>
      <c r="O657" s="42">
        <v>16156</v>
      </c>
      <c r="P657" s="42">
        <v>95723</v>
      </c>
      <c r="Q657" s="42">
        <v>247116</v>
      </c>
      <c r="R657" s="42">
        <v>2124043</v>
      </c>
      <c r="S657" s="43">
        <v>65078</v>
      </c>
      <c r="T657" s="42">
        <v>468930</v>
      </c>
    </row>
    <row r="658" spans="1:20" x14ac:dyDescent="0.3">
      <c r="A658" s="7">
        <v>45198</v>
      </c>
      <c r="B658" s="42">
        <v>41103</v>
      </c>
      <c r="C658" s="42">
        <v>204280</v>
      </c>
      <c r="D658" s="42">
        <v>240464</v>
      </c>
      <c r="E658" s="42">
        <v>179559</v>
      </c>
      <c r="F658" s="42">
        <v>699106</v>
      </c>
      <c r="G658" s="42">
        <v>284688</v>
      </c>
      <c r="H658" s="42">
        <v>55843</v>
      </c>
      <c r="I658" s="42">
        <v>58087</v>
      </c>
      <c r="J658" s="42">
        <v>208646</v>
      </c>
      <c r="K658" s="42">
        <v>432570</v>
      </c>
      <c r="L658" s="42">
        <v>127882</v>
      </c>
      <c r="M658" s="42">
        <v>1774359</v>
      </c>
      <c r="N658" s="42">
        <v>1160913</v>
      </c>
      <c r="O658" s="42">
        <v>15006</v>
      </c>
      <c r="P658" s="42">
        <v>94019</v>
      </c>
      <c r="Q658" s="42">
        <v>244429</v>
      </c>
      <c r="R658" s="42">
        <v>2117920</v>
      </c>
      <c r="S658" s="43">
        <v>64970</v>
      </c>
      <c r="T658" s="42">
        <v>462477</v>
      </c>
    </row>
    <row r="659" spans="1:20" x14ac:dyDescent="0.3">
      <c r="A659" s="7">
        <v>45197</v>
      </c>
      <c r="B659" s="20">
        <v>40741</v>
      </c>
      <c r="C659" s="42">
        <v>206747</v>
      </c>
      <c r="D659" s="42">
        <v>245358</v>
      </c>
      <c r="E659" s="42">
        <v>176267</v>
      </c>
      <c r="F659" s="42">
        <v>701879</v>
      </c>
      <c r="G659" s="42">
        <v>284685</v>
      </c>
      <c r="H659" s="42">
        <v>54511</v>
      </c>
      <c r="I659" s="42">
        <v>55635</v>
      </c>
      <c r="J659" s="42">
        <v>216582</v>
      </c>
      <c r="K659" s="42">
        <v>426941</v>
      </c>
      <c r="L659" s="42">
        <v>127232</v>
      </c>
      <c r="M659" s="42">
        <v>1776331</v>
      </c>
      <c r="N659" s="42">
        <v>1152896</v>
      </c>
      <c r="O659" s="42">
        <v>16172</v>
      </c>
      <c r="P659" s="42">
        <v>91529</v>
      </c>
      <c r="Q659" s="42">
        <v>243116</v>
      </c>
      <c r="R659" s="42">
        <v>2108537</v>
      </c>
      <c r="S659" s="43">
        <v>65650</v>
      </c>
      <c r="T659" s="42">
        <v>461805</v>
      </c>
    </row>
    <row r="660" spans="1:20" x14ac:dyDescent="0.3">
      <c r="A660" s="7">
        <v>45196</v>
      </c>
      <c r="B660" s="20">
        <v>41709</v>
      </c>
      <c r="C660" s="42">
        <v>214607</v>
      </c>
      <c r="D660" s="42">
        <v>235664</v>
      </c>
      <c r="E660" s="42">
        <v>176234</v>
      </c>
      <c r="F660" s="42">
        <v>701758</v>
      </c>
      <c r="G660" s="42">
        <v>291460</v>
      </c>
      <c r="H660" s="42">
        <v>52145</v>
      </c>
      <c r="I660" s="42">
        <v>54653</v>
      </c>
      <c r="J660" s="42">
        <v>221359</v>
      </c>
      <c r="K660" s="42">
        <v>430314</v>
      </c>
      <c r="L660" s="42">
        <v>126975</v>
      </c>
      <c r="M660" s="42">
        <v>1785182</v>
      </c>
      <c r="N660" s="42">
        <v>1142011</v>
      </c>
      <c r="O660" s="42">
        <v>14237</v>
      </c>
      <c r="P660" s="42">
        <v>90838</v>
      </c>
      <c r="Q660" s="42">
        <v>242792</v>
      </c>
      <c r="R660" s="42">
        <v>2123842</v>
      </c>
      <c r="S660" s="43">
        <v>63466</v>
      </c>
      <c r="T660" s="42">
        <v>456691</v>
      </c>
    </row>
    <row r="661" spans="1:20" x14ac:dyDescent="0.3">
      <c r="A661" s="7">
        <v>45195</v>
      </c>
      <c r="B661" s="20">
        <v>42373</v>
      </c>
      <c r="C661" s="42">
        <v>211882</v>
      </c>
      <c r="D661" s="42">
        <v>227843</v>
      </c>
      <c r="E661" s="42">
        <v>175848</v>
      </c>
      <c r="F661" s="42">
        <v>699271</v>
      </c>
      <c r="G661" s="42">
        <v>285974</v>
      </c>
      <c r="H661" s="42">
        <v>50757</v>
      </c>
      <c r="I661" s="42">
        <v>53900</v>
      </c>
      <c r="J661" s="42">
        <v>216031</v>
      </c>
      <c r="K661" s="42">
        <v>435620</v>
      </c>
      <c r="L661" s="42">
        <v>126206</v>
      </c>
      <c r="M661" s="42">
        <v>1750559</v>
      </c>
      <c r="N661" s="42">
        <v>1142377</v>
      </c>
      <c r="O661" s="42">
        <v>14844</v>
      </c>
      <c r="P661" s="42">
        <v>92551</v>
      </c>
      <c r="Q661" s="42">
        <v>241018</v>
      </c>
      <c r="R661" s="42">
        <v>2137648</v>
      </c>
      <c r="S661" s="43">
        <v>62365</v>
      </c>
      <c r="T661" s="42">
        <v>453939</v>
      </c>
    </row>
    <row r="662" spans="1:20" x14ac:dyDescent="0.3">
      <c r="A662" s="7">
        <v>45194</v>
      </c>
      <c r="B662" s="20">
        <v>43663</v>
      </c>
      <c r="C662" s="42">
        <v>216687</v>
      </c>
      <c r="D662" s="42">
        <v>225393</v>
      </c>
      <c r="E662" s="42">
        <v>173736</v>
      </c>
      <c r="F662" s="42">
        <v>700899</v>
      </c>
      <c r="G662" s="42">
        <v>282828</v>
      </c>
      <c r="H662" s="42">
        <v>53774</v>
      </c>
      <c r="I662" s="42">
        <v>53303</v>
      </c>
      <c r="J662" s="42">
        <v>214832</v>
      </c>
      <c r="K662" s="42">
        <v>437127</v>
      </c>
      <c r="L662" s="42">
        <v>125699</v>
      </c>
      <c r="M662" s="42">
        <v>1743019</v>
      </c>
      <c r="N662" s="42">
        <v>1159279</v>
      </c>
      <c r="O662" s="42">
        <v>15751</v>
      </c>
      <c r="P662" s="42">
        <v>86577</v>
      </c>
      <c r="Q662" s="42">
        <v>233658</v>
      </c>
      <c r="R662" s="42">
        <v>2137804</v>
      </c>
      <c r="S662" s="43">
        <v>63121</v>
      </c>
      <c r="T662" s="42">
        <v>448529</v>
      </c>
    </row>
    <row r="663" spans="1:20" x14ac:dyDescent="0.3">
      <c r="A663" s="7">
        <v>45191</v>
      </c>
      <c r="B663" s="20">
        <v>44071</v>
      </c>
      <c r="C663" s="42">
        <v>216998</v>
      </c>
      <c r="D663" s="42">
        <v>222403</v>
      </c>
      <c r="E663" s="42">
        <v>172645</v>
      </c>
      <c r="F663" s="42">
        <v>694616</v>
      </c>
      <c r="G663" s="42">
        <v>277052</v>
      </c>
      <c r="H663" s="42">
        <v>54413</v>
      </c>
      <c r="I663" s="42">
        <v>52939</v>
      </c>
      <c r="J663" s="42">
        <v>211593</v>
      </c>
      <c r="K663" s="42">
        <v>439982</v>
      </c>
      <c r="L663" s="42">
        <v>126349</v>
      </c>
      <c r="M663" s="42">
        <v>1747611</v>
      </c>
      <c r="N663" s="42">
        <v>1160286</v>
      </c>
      <c r="O663" s="42">
        <v>16103</v>
      </c>
      <c r="P663" s="42">
        <v>87672</v>
      </c>
      <c r="Q663" s="42">
        <v>229434</v>
      </c>
      <c r="R663" s="42">
        <v>2126722</v>
      </c>
      <c r="S663" s="43">
        <v>61022</v>
      </c>
      <c r="T663" s="42">
        <v>444493</v>
      </c>
    </row>
    <row r="664" spans="1:20" x14ac:dyDescent="0.3">
      <c r="A664" s="7">
        <v>45190</v>
      </c>
      <c r="B664" s="42">
        <v>49258</v>
      </c>
      <c r="C664" s="42">
        <v>222989</v>
      </c>
      <c r="D664" s="42">
        <v>215586</v>
      </c>
      <c r="E664" s="42">
        <v>169900</v>
      </c>
      <c r="F664" s="42">
        <v>698584</v>
      </c>
      <c r="G664" s="42">
        <v>270331</v>
      </c>
      <c r="H664" s="42">
        <v>53994</v>
      </c>
      <c r="I664" s="42">
        <v>52761</v>
      </c>
      <c r="J664" s="42">
        <v>211153</v>
      </c>
      <c r="K664" s="42">
        <v>441464</v>
      </c>
      <c r="L664" s="42">
        <v>126552</v>
      </c>
      <c r="M664" s="42">
        <v>1705270</v>
      </c>
      <c r="N664" s="42">
        <v>1168764</v>
      </c>
      <c r="O664" s="42">
        <v>15756</v>
      </c>
      <c r="P664" s="42">
        <v>88203</v>
      </c>
      <c r="Q664" s="42">
        <v>238059</v>
      </c>
      <c r="R664" s="42">
        <v>2145609</v>
      </c>
      <c r="S664" s="43">
        <v>64228</v>
      </c>
      <c r="T664" s="42">
        <v>443304</v>
      </c>
    </row>
    <row r="665" spans="1:20" x14ac:dyDescent="0.3">
      <c r="A665" s="7">
        <v>45189</v>
      </c>
      <c r="B665" s="42">
        <v>39542</v>
      </c>
      <c r="C665" s="42">
        <v>220340</v>
      </c>
      <c r="D665" s="42">
        <v>201974</v>
      </c>
      <c r="E665" s="42">
        <v>171937</v>
      </c>
      <c r="F665" s="42">
        <v>696779</v>
      </c>
      <c r="G665" s="42">
        <v>268390</v>
      </c>
      <c r="H665" s="42">
        <v>54270</v>
      </c>
      <c r="I665" s="42">
        <v>48643</v>
      </c>
      <c r="J665" s="42">
        <v>201231</v>
      </c>
      <c r="K665" s="42">
        <v>445861</v>
      </c>
      <c r="L665" s="42">
        <v>125263</v>
      </c>
      <c r="M665" s="42">
        <v>1682925</v>
      </c>
      <c r="N665" s="42">
        <v>1156639</v>
      </c>
      <c r="O665" s="42">
        <v>16385</v>
      </c>
      <c r="P665" s="42">
        <v>86347</v>
      </c>
      <c r="Q665" s="42">
        <v>237870</v>
      </c>
      <c r="R665" s="42">
        <v>2110767</v>
      </c>
      <c r="S665" s="43">
        <v>58084</v>
      </c>
      <c r="T665" s="42">
        <v>538552</v>
      </c>
    </row>
    <row r="666" spans="1:20" x14ac:dyDescent="0.3">
      <c r="A666" s="7">
        <v>45188</v>
      </c>
      <c r="B666" s="42">
        <v>39249</v>
      </c>
      <c r="C666" s="42">
        <v>297423</v>
      </c>
      <c r="D666" s="42">
        <v>218448</v>
      </c>
      <c r="E666" s="42">
        <v>246847</v>
      </c>
      <c r="F666" s="42">
        <v>822219</v>
      </c>
      <c r="G666" s="42">
        <v>303249</v>
      </c>
      <c r="H666" s="42">
        <v>77536</v>
      </c>
      <c r="I666" s="42">
        <v>56124</v>
      </c>
      <c r="J666" s="42">
        <v>201097</v>
      </c>
      <c r="K666" s="42">
        <v>438078</v>
      </c>
      <c r="L666" s="42">
        <v>125749</v>
      </c>
      <c r="M666" s="42">
        <v>1692990</v>
      </c>
      <c r="N666" s="42">
        <v>1152362</v>
      </c>
      <c r="O666" s="42">
        <v>16670</v>
      </c>
      <c r="P666" s="42">
        <v>86992</v>
      </c>
      <c r="Q666" s="42">
        <v>236252</v>
      </c>
      <c r="R666" s="42">
        <v>2097946</v>
      </c>
      <c r="S666" s="43">
        <v>58850</v>
      </c>
      <c r="T666" s="42">
        <v>546688</v>
      </c>
    </row>
    <row r="667" spans="1:20" x14ac:dyDescent="0.3">
      <c r="A667" s="7">
        <v>45187</v>
      </c>
      <c r="B667" s="42">
        <v>39991</v>
      </c>
      <c r="C667" s="42">
        <v>297433</v>
      </c>
      <c r="D667" s="42">
        <v>218066</v>
      </c>
      <c r="E667" s="42">
        <v>251355</v>
      </c>
      <c r="F667" s="42">
        <v>819819</v>
      </c>
      <c r="G667" s="42">
        <v>290845</v>
      </c>
      <c r="H667" s="42">
        <v>78048</v>
      </c>
      <c r="I667" s="42">
        <v>54130</v>
      </c>
      <c r="J667" s="42">
        <v>197540</v>
      </c>
      <c r="K667" s="42">
        <v>440545</v>
      </c>
      <c r="L667" s="42">
        <v>125340</v>
      </c>
      <c r="M667" s="42">
        <v>1702592</v>
      </c>
      <c r="N667" s="42">
        <v>1155078</v>
      </c>
      <c r="O667" s="42">
        <v>16183</v>
      </c>
      <c r="P667" s="42">
        <v>84755</v>
      </c>
      <c r="Q667" s="42">
        <v>241303</v>
      </c>
      <c r="R667" s="42">
        <v>2106413</v>
      </c>
      <c r="S667" s="43">
        <v>62115</v>
      </c>
      <c r="T667" s="42">
        <v>550476</v>
      </c>
    </row>
    <row r="668" spans="1:20" x14ac:dyDescent="0.3">
      <c r="A668" s="7">
        <v>45184</v>
      </c>
      <c r="B668" s="42">
        <v>40572</v>
      </c>
      <c r="C668" s="42">
        <v>295725</v>
      </c>
      <c r="D668" s="42">
        <v>216374</v>
      </c>
      <c r="E668" s="42">
        <v>255304</v>
      </c>
      <c r="F668" s="42">
        <v>820311</v>
      </c>
      <c r="G668" s="42">
        <v>293365</v>
      </c>
      <c r="H668" s="42">
        <v>77609</v>
      </c>
      <c r="I668" s="42">
        <v>53077</v>
      </c>
      <c r="J668" s="42">
        <v>196608</v>
      </c>
      <c r="K668" s="42">
        <v>441073</v>
      </c>
      <c r="L668" s="42">
        <v>125247</v>
      </c>
      <c r="M668" s="42">
        <v>1708836</v>
      </c>
      <c r="N668" s="42">
        <v>1158995</v>
      </c>
      <c r="O668" s="42">
        <v>15711</v>
      </c>
      <c r="P668" s="42">
        <v>104092</v>
      </c>
      <c r="Q668" s="42">
        <v>302737</v>
      </c>
      <c r="R668" s="42">
        <v>2538237</v>
      </c>
      <c r="S668" s="43">
        <v>63094</v>
      </c>
      <c r="T668" s="42">
        <v>541216</v>
      </c>
    </row>
    <row r="669" spans="1:20" x14ac:dyDescent="0.3">
      <c r="A669" s="7">
        <v>45183</v>
      </c>
      <c r="B669" s="42">
        <v>46918</v>
      </c>
      <c r="C669" s="42">
        <v>296605</v>
      </c>
      <c r="D669" s="42">
        <v>227053</v>
      </c>
      <c r="E669" s="42">
        <v>261558</v>
      </c>
      <c r="F669" s="42">
        <v>830086</v>
      </c>
      <c r="G669" s="42">
        <v>292832</v>
      </c>
      <c r="H669" s="42">
        <v>83925</v>
      </c>
      <c r="I669" s="42">
        <v>51593</v>
      </c>
      <c r="J669" s="42">
        <v>196561</v>
      </c>
      <c r="K669" s="42">
        <v>440649</v>
      </c>
      <c r="L669" s="42">
        <v>127586</v>
      </c>
      <c r="M669" s="42">
        <v>1743824</v>
      </c>
      <c r="N669" s="42">
        <v>1156184</v>
      </c>
      <c r="O669" s="42">
        <v>16122</v>
      </c>
      <c r="P669" s="42">
        <v>104292</v>
      </c>
      <c r="Q669" s="42">
        <v>308418</v>
      </c>
      <c r="R669" s="42">
        <v>2610845</v>
      </c>
      <c r="S669" s="43">
        <v>81922</v>
      </c>
      <c r="T669" s="42">
        <v>543621</v>
      </c>
    </row>
    <row r="670" spans="1:20" x14ac:dyDescent="0.3">
      <c r="A670" s="7">
        <v>45182</v>
      </c>
      <c r="B670" s="42">
        <v>43691</v>
      </c>
      <c r="C670" s="42">
        <v>293615</v>
      </c>
      <c r="D670" s="42">
        <v>243353</v>
      </c>
      <c r="E670" s="42">
        <v>241804</v>
      </c>
      <c r="F670" s="42">
        <v>808502</v>
      </c>
      <c r="G670" s="42">
        <v>280858</v>
      </c>
      <c r="H670" s="42">
        <v>78580</v>
      </c>
      <c r="I670" s="42">
        <v>50355</v>
      </c>
      <c r="J670" s="42">
        <v>197024</v>
      </c>
      <c r="K670" s="42">
        <v>441960</v>
      </c>
      <c r="L670" s="42">
        <v>126596</v>
      </c>
      <c r="M670" s="42">
        <v>1751172</v>
      </c>
      <c r="N670" s="42">
        <v>1151229</v>
      </c>
      <c r="O670" s="42">
        <v>15378</v>
      </c>
      <c r="P670" s="42">
        <v>103337</v>
      </c>
      <c r="Q670" s="42">
        <v>308470</v>
      </c>
      <c r="R670" s="42">
        <v>2586643</v>
      </c>
      <c r="S670" s="43">
        <v>87767</v>
      </c>
      <c r="T670" s="42">
        <v>522715</v>
      </c>
    </row>
    <row r="671" spans="1:20" x14ac:dyDescent="0.3">
      <c r="A671" s="7">
        <v>45181</v>
      </c>
      <c r="B671" s="42">
        <v>40982</v>
      </c>
      <c r="C671" s="42">
        <v>256219</v>
      </c>
      <c r="D671" s="42">
        <v>227437</v>
      </c>
      <c r="E671" s="42">
        <v>217080</v>
      </c>
      <c r="F671" s="42">
        <v>743759</v>
      </c>
      <c r="G671" s="42">
        <v>270854</v>
      </c>
      <c r="H671" s="42">
        <v>67487</v>
      </c>
      <c r="I671" s="42">
        <v>49945</v>
      </c>
      <c r="J671" s="42">
        <v>196198</v>
      </c>
      <c r="K671" s="42">
        <v>441221</v>
      </c>
      <c r="L671" s="42">
        <v>125292</v>
      </c>
      <c r="M671" s="42">
        <v>1791696</v>
      </c>
      <c r="N671" s="42">
        <v>1171747</v>
      </c>
      <c r="O671" s="42">
        <v>15423</v>
      </c>
      <c r="P671" s="42">
        <v>102910</v>
      </c>
      <c r="Q671" s="42">
        <v>303321</v>
      </c>
      <c r="R671" s="42">
        <v>2520164</v>
      </c>
      <c r="S671" s="43">
        <v>96598</v>
      </c>
      <c r="T671" s="42">
        <v>508786</v>
      </c>
    </row>
    <row r="672" spans="1:20" x14ac:dyDescent="0.3">
      <c r="A672" s="7">
        <v>45180</v>
      </c>
      <c r="B672" s="42">
        <v>39944</v>
      </c>
      <c r="C672" s="42">
        <v>249193</v>
      </c>
      <c r="D672" s="42">
        <v>237971</v>
      </c>
      <c r="E672" s="42">
        <v>208589</v>
      </c>
      <c r="F672" s="42">
        <v>738267</v>
      </c>
      <c r="G672" s="42">
        <v>262350</v>
      </c>
      <c r="H672" s="42">
        <v>61159</v>
      </c>
      <c r="I672" s="42">
        <v>48196</v>
      </c>
      <c r="J672" s="42">
        <v>196698</v>
      </c>
      <c r="K672" s="42">
        <v>435289</v>
      </c>
      <c r="L672" s="42">
        <v>126221</v>
      </c>
      <c r="M672" s="42">
        <v>1750837</v>
      </c>
      <c r="N672" s="42">
        <v>1187390</v>
      </c>
      <c r="O672" s="42">
        <v>15321</v>
      </c>
      <c r="P672" s="42">
        <v>97908</v>
      </c>
      <c r="Q672" s="42">
        <v>305328</v>
      </c>
      <c r="R672" s="42">
        <v>2483358</v>
      </c>
      <c r="S672" s="43">
        <v>84239</v>
      </c>
      <c r="T672" s="42">
        <v>507642</v>
      </c>
    </row>
    <row r="673" spans="1:20" x14ac:dyDescent="0.3">
      <c r="A673" s="7">
        <v>45177</v>
      </c>
      <c r="B673" s="42">
        <v>38630</v>
      </c>
      <c r="C673" s="42">
        <v>247993</v>
      </c>
      <c r="D673" s="42">
        <v>231158</v>
      </c>
      <c r="E673" s="42">
        <v>205389</v>
      </c>
      <c r="F673" s="42">
        <v>739258</v>
      </c>
      <c r="G673" s="42">
        <v>266176</v>
      </c>
      <c r="H673" s="42">
        <v>59204</v>
      </c>
      <c r="I673" s="42">
        <v>47710</v>
      </c>
      <c r="J673" s="42">
        <v>200440</v>
      </c>
      <c r="K673" s="42">
        <v>434725</v>
      </c>
      <c r="L673" s="42">
        <v>125169</v>
      </c>
      <c r="M673" s="42">
        <v>1770817</v>
      </c>
      <c r="N673" s="42">
        <v>1190303</v>
      </c>
      <c r="O673" s="42">
        <v>15381</v>
      </c>
      <c r="P673" s="42">
        <v>98290</v>
      </c>
      <c r="Q673" s="42">
        <v>267852</v>
      </c>
      <c r="R673" s="42">
        <v>2336996</v>
      </c>
      <c r="S673" s="43">
        <v>71673</v>
      </c>
      <c r="T673" s="42">
        <v>512207</v>
      </c>
    </row>
    <row r="674" spans="1:20" x14ac:dyDescent="0.3">
      <c r="A674" s="7">
        <v>45176</v>
      </c>
      <c r="B674" s="42">
        <v>37413</v>
      </c>
      <c r="C674" s="42">
        <v>242286</v>
      </c>
      <c r="D674" s="42">
        <v>231519</v>
      </c>
      <c r="E674" s="42">
        <v>203847</v>
      </c>
      <c r="F674" s="42">
        <v>746974</v>
      </c>
      <c r="G674" s="42">
        <v>266616</v>
      </c>
      <c r="H674" s="42">
        <v>57194</v>
      </c>
      <c r="I674" s="42">
        <v>48224</v>
      </c>
      <c r="J674" s="42">
        <v>195029</v>
      </c>
      <c r="K674" s="42">
        <v>435933</v>
      </c>
      <c r="L674" s="42">
        <v>125632</v>
      </c>
      <c r="M674" s="42">
        <v>1754329</v>
      </c>
      <c r="N674" s="42">
        <v>1189188</v>
      </c>
      <c r="O674" s="42">
        <v>15284</v>
      </c>
      <c r="P674" s="42">
        <v>94106</v>
      </c>
      <c r="Q674" s="42">
        <v>264947</v>
      </c>
      <c r="R674" s="42">
        <v>2272426</v>
      </c>
      <c r="S674" s="43">
        <v>64693</v>
      </c>
      <c r="T674" s="42">
        <v>508999</v>
      </c>
    </row>
    <row r="675" spans="1:20" x14ac:dyDescent="0.3">
      <c r="A675" s="7">
        <v>45175</v>
      </c>
      <c r="B675" s="42">
        <v>37341</v>
      </c>
      <c r="C675" s="42">
        <v>242009</v>
      </c>
      <c r="D675" s="42">
        <v>229093</v>
      </c>
      <c r="E675" s="42">
        <v>198774</v>
      </c>
      <c r="F675" s="42">
        <v>749411</v>
      </c>
      <c r="G675" s="42">
        <v>267117</v>
      </c>
      <c r="H675" s="42">
        <v>57399</v>
      </c>
      <c r="I675" s="42">
        <v>47402</v>
      </c>
      <c r="J675" s="42">
        <v>192642</v>
      </c>
      <c r="K675" s="42">
        <v>436698</v>
      </c>
      <c r="L675" s="42">
        <v>125854</v>
      </c>
      <c r="M675" s="42">
        <v>1742046</v>
      </c>
      <c r="N675" s="42">
        <v>1184552</v>
      </c>
      <c r="O675" s="42">
        <v>15081</v>
      </c>
      <c r="P675" s="42">
        <v>94916</v>
      </c>
      <c r="Q675" s="42">
        <v>269973</v>
      </c>
      <c r="R675" s="42">
        <v>2261225</v>
      </c>
      <c r="S675" s="43">
        <v>62536</v>
      </c>
      <c r="T675" s="42">
        <v>513656</v>
      </c>
    </row>
    <row r="676" spans="1:20" x14ac:dyDescent="0.3">
      <c r="A676" s="7">
        <v>45174</v>
      </c>
      <c r="B676" s="42">
        <v>36579</v>
      </c>
      <c r="C676" s="42">
        <v>241201</v>
      </c>
      <c r="D676" s="42">
        <v>225404</v>
      </c>
      <c r="E676" s="42">
        <v>189660</v>
      </c>
      <c r="F676" s="42">
        <v>754263</v>
      </c>
      <c r="G676" s="42">
        <v>268344</v>
      </c>
      <c r="H676" s="42">
        <v>56462</v>
      </c>
      <c r="I676" s="42">
        <v>46670</v>
      </c>
      <c r="J676" s="42">
        <v>193597</v>
      </c>
      <c r="K676" s="42">
        <v>438672</v>
      </c>
      <c r="L676" s="42">
        <v>128279</v>
      </c>
      <c r="M676" s="42">
        <v>1703130</v>
      </c>
      <c r="N676" s="42">
        <v>1169725</v>
      </c>
      <c r="O676" s="42">
        <v>14962</v>
      </c>
      <c r="P676" s="42">
        <v>93933</v>
      </c>
      <c r="Q676" s="42">
        <v>274701</v>
      </c>
      <c r="R676" s="42">
        <v>2259160</v>
      </c>
      <c r="S676" s="43">
        <v>60499</v>
      </c>
      <c r="T676" s="42">
        <v>512086</v>
      </c>
    </row>
    <row r="677" spans="1:20" x14ac:dyDescent="0.3">
      <c r="A677" s="7">
        <v>45173</v>
      </c>
      <c r="B677" s="42">
        <v>37027</v>
      </c>
      <c r="C677" s="42">
        <v>0</v>
      </c>
      <c r="D677" s="4">
        <v>0</v>
      </c>
      <c r="E677" s="4">
        <v>0</v>
      </c>
      <c r="F677" s="13">
        <v>0</v>
      </c>
      <c r="G677" s="4">
        <v>0</v>
      </c>
      <c r="H677" s="4">
        <v>0</v>
      </c>
      <c r="I677" s="4">
        <v>0</v>
      </c>
      <c r="J677" s="4">
        <v>0</v>
      </c>
      <c r="K677" s="4">
        <v>0</v>
      </c>
      <c r="L677" s="4">
        <v>0</v>
      </c>
      <c r="M677" s="4">
        <v>0</v>
      </c>
      <c r="N677" s="20">
        <v>0</v>
      </c>
      <c r="O677" s="20">
        <v>0</v>
      </c>
      <c r="P677" s="20">
        <v>0</v>
      </c>
      <c r="Q677" s="20">
        <v>0</v>
      </c>
      <c r="R677" s="20">
        <v>0</v>
      </c>
      <c r="S677" s="43">
        <v>60383</v>
      </c>
      <c r="T677" s="42">
        <v>510236</v>
      </c>
    </row>
    <row r="678" spans="1:20" x14ac:dyDescent="0.3">
      <c r="A678" s="7">
        <v>45170</v>
      </c>
      <c r="B678" s="42">
        <v>36939</v>
      </c>
      <c r="C678" s="42">
        <v>226046</v>
      </c>
      <c r="D678" s="42">
        <v>222168</v>
      </c>
      <c r="E678" s="42">
        <v>184050</v>
      </c>
      <c r="F678" s="42">
        <v>756087</v>
      </c>
      <c r="G678" s="42">
        <v>248114</v>
      </c>
      <c r="H678" s="42">
        <v>55995</v>
      </c>
      <c r="I678" s="42">
        <v>45236</v>
      </c>
      <c r="J678" s="42">
        <v>192035</v>
      </c>
      <c r="K678" s="42">
        <v>439880</v>
      </c>
      <c r="L678" s="42">
        <v>129988</v>
      </c>
      <c r="M678" s="42">
        <v>1688850</v>
      </c>
      <c r="N678" s="42">
        <v>1147458</v>
      </c>
      <c r="O678" s="42">
        <v>14764</v>
      </c>
      <c r="P678" s="42">
        <v>93935</v>
      </c>
      <c r="Q678" s="42">
        <v>269877</v>
      </c>
      <c r="R678" s="42">
        <v>2260785</v>
      </c>
      <c r="S678" s="43">
        <v>62745</v>
      </c>
      <c r="T678" s="42">
        <v>515378</v>
      </c>
    </row>
    <row r="679" spans="1:20" x14ac:dyDescent="0.3">
      <c r="A679" s="7">
        <v>45169</v>
      </c>
      <c r="B679" s="42">
        <v>36056</v>
      </c>
      <c r="C679" s="42">
        <v>225915</v>
      </c>
      <c r="D679" s="42">
        <v>224647</v>
      </c>
      <c r="E679" s="42">
        <v>181208</v>
      </c>
      <c r="F679" s="42">
        <v>750372</v>
      </c>
      <c r="G679" s="42">
        <v>247007</v>
      </c>
      <c r="H679" s="42">
        <v>56348</v>
      </c>
      <c r="I679" s="42">
        <v>44467</v>
      </c>
      <c r="J679" s="42">
        <v>190258</v>
      </c>
      <c r="K679" s="42">
        <v>442643</v>
      </c>
      <c r="L679" s="42">
        <v>130756</v>
      </c>
      <c r="M679" s="42">
        <v>1674270</v>
      </c>
      <c r="N679" s="42">
        <v>1148827</v>
      </c>
      <c r="O679" s="42">
        <v>15160</v>
      </c>
      <c r="P679" s="42">
        <v>94938</v>
      </c>
      <c r="Q679" s="42">
        <v>266220</v>
      </c>
      <c r="R679" s="42">
        <v>2265941</v>
      </c>
      <c r="S679" s="43">
        <v>64987</v>
      </c>
      <c r="T679" s="42">
        <v>514793</v>
      </c>
    </row>
    <row r="680" spans="1:20" x14ac:dyDescent="0.3">
      <c r="A680" s="7">
        <v>45168</v>
      </c>
      <c r="B680" s="42">
        <v>34915</v>
      </c>
      <c r="C680" s="42">
        <v>225354</v>
      </c>
      <c r="D680" s="42">
        <v>231437</v>
      </c>
      <c r="E680" s="42">
        <v>177687</v>
      </c>
      <c r="F680" s="42">
        <v>753553</v>
      </c>
      <c r="G680" s="42">
        <v>248427</v>
      </c>
      <c r="H680" s="42">
        <v>56102</v>
      </c>
      <c r="I680" s="42">
        <v>43411</v>
      </c>
      <c r="J680" s="42">
        <v>190295</v>
      </c>
      <c r="K680" s="42">
        <v>447906</v>
      </c>
      <c r="L680" s="42">
        <v>131813</v>
      </c>
      <c r="M680" s="42">
        <v>1644401</v>
      </c>
      <c r="N680" s="42">
        <v>1158753</v>
      </c>
      <c r="O680" s="42">
        <v>15408</v>
      </c>
      <c r="P680" s="42">
        <v>94896</v>
      </c>
      <c r="Q680" s="42">
        <v>264115</v>
      </c>
      <c r="R680" s="42">
        <v>2279194</v>
      </c>
      <c r="S680" s="43">
        <v>63552</v>
      </c>
      <c r="T680" s="42">
        <v>519452</v>
      </c>
    </row>
    <row r="681" spans="1:20" x14ac:dyDescent="0.3">
      <c r="A681" s="7">
        <v>45167</v>
      </c>
      <c r="B681" s="42">
        <v>36732</v>
      </c>
      <c r="C681" s="42">
        <v>223489</v>
      </c>
      <c r="D681" s="42">
        <v>228616</v>
      </c>
      <c r="E681" s="42">
        <v>177048</v>
      </c>
      <c r="F681" s="42">
        <v>748127</v>
      </c>
      <c r="G681" s="42">
        <v>245452</v>
      </c>
      <c r="H681" s="42">
        <v>56617</v>
      </c>
      <c r="I681" s="42">
        <v>43242</v>
      </c>
      <c r="J681" s="42">
        <v>190629</v>
      </c>
      <c r="K681" s="42">
        <v>442806</v>
      </c>
      <c r="L681" s="42">
        <v>134993</v>
      </c>
      <c r="M681" s="42">
        <v>1658521</v>
      </c>
      <c r="N681" s="42">
        <v>1163840</v>
      </c>
      <c r="O681" s="42">
        <v>16172</v>
      </c>
      <c r="P681" s="42">
        <v>96960</v>
      </c>
      <c r="Q681" s="42">
        <v>265968</v>
      </c>
      <c r="R681" s="42">
        <v>2267572</v>
      </c>
      <c r="S681" s="43">
        <v>64513</v>
      </c>
      <c r="T681" s="42">
        <v>517562</v>
      </c>
    </row>
    <row r="682" spans="1:20" x14ac:dyDescent="0.3">
      <c r="A682" s="7">
        <v>45166</v>
      </c>
      <c r="B682" s="42">
        <v>37220</v>
      </c>
      <c r="C682" s="42">
        <v>221368</v>
      </c>
      <c r="D682" s="42">
        <v>232065</v>
      </c>
      <c r="E682" s="42">
        <v>175732</v>
      </c>
      <c r="F682" s="42">
        <v>749567</v>
      </c>
      <c r="G682" s="42">
        <v>247948</v>
      </c>
      <c r="H682" s="42">
        <v>55709</v>
      </c>
      <c r="I682" s="42">
        <v>43026</v>
      </c>
      <c r="J682" s="42">
        <v>192481</v>
      </c>
      <c r="K682" s="42">
        <v>433531</v>
      </c>
      <c r="L682" s="42">
        <v>133507</v>
      </c>
      <c r="M682" s="42">
        <v>1650173</v>
      </c>
      <c r="N682" s="42">
        <v>1152079</v>
      </c>
      <c r="O682" s="42">
        <v>15558</v>
      </c>
      <c r="P682" s="42">
        <v>96763</v>
      </c>
      <c r="Q682" s="42">
        <v>263880</v>
      </c>
      <c r="R682" s="42">
        <v>2237417</v>
      </c>
      <c r="S682" s="43">
        <v>63019</v>
      </c>
      <c r="T682" s="42">
        <v>519058</v>
      </c>
    </row>
    <row r="683" spans="1:20" x14ac:dyDescent="0.3">
      <c r="A683" s="7">
        <v>45163</v>
      </c>
      <c r="B683" s="42">
        <v>36177</v>
      </c>
      <c r="C683" s="42">
        <v>223972</v>
      </c>
      <c r="D683" s="42">
        <v>232091</v>
      </c>
      <c r="E683" s="42">
        <v>174122</v>
      </c>
      <c r="F683" s="42">
        <v>751369</v>
      </c>
      <c r="G683" s="42">
        <v>247079</v>
      </c>
      <c r="H683" s="42">
        <v>55905</v>
      </c>
      <c r="I683" s="42">
        <v>43740</v>
      </c>
      <c r="J683" s="42">
        <v>196452</v>
      </c>
      <c r="K683" s="42">
        <v>434609</v>
      </c>
      <c r="L683" s="42">
        <v>135526</v>
      </c>
      <c r="M683" s="42">
        <v>1649014</v>
      </c>
      <c r="N683" s="42">
        <v>1161570</v>
      </c>
      <c r="O683" s="42">
        <v>15477</v>
      </c>
      <c r="P683" s="42">
        <v>96694</v>
      </c>
      <c r="Q683" s="42">
        <v>262493</v>
      </c>
      <c r="R683" s="42">
        <v>2231840</v>
      </c>
      <c r="S683" s="43">
        <v>66210</v>
      </c>
      <c r="T683" s="42">
        <v>519725</v>
      </c>
    </row>
    <row r="684" spans="1:20" x14ac:dyDescent="0.3">
      <c r="A684" s="7">
        <v>45162</v>
      </c>
      <c r="B684" s="42">
        <v>35273</v>
      </c>
      <c r="C684" s="42">
        <v>227799</v>
      </c>
      <c r="D684" s="42">
        <v>233431</v>
      </c>
      <c r="E684" s="42">
        <v>170375</v>
      </c>
      <c r="F684" s="42">
        <v>753334</v>
      </c>
      <c r="G684" s="42">
        <v>245823</v>
      </c>
      <c r="H684" s="42">
        <v>53607</v>
      </c>
      <c r="I684" s="42">
        <v>44138</v>
      </c>
      <c r="J684" s="42">
        <v>199821</v>
      </c>
      <c r="K684" s="42">
        <v>435344</v>
      </c>
      <c r="L684" s="42">
        <v>136150</v>
      </c>
      <c r="M684" s="42">
        <v>1625106</v>
      </c>
      <c r="N684" s="42">
        <v>1154011</v>
      </c>
      <c r="O684" s="42">
        <v>15120</v>
      </c>
      <c r="P684" s="42">
        <v>98493</v>
      </c>
      <c r="Q684" s="42">
        <v>264014</v>
      </c>
      <c r="R684" s="42">
        <v>2245391</v>
      </c>
      <c r="S684" s="43">
        <v>67041</v>
      </c>
      <c r="T684" s="42">
        <v>521565</v>
      </c>
    </row>
    <row r="685" spans="1:20" x14ac:dyDescent="0.3">
      <c r="A685" s="7">
        <v>45161</v>
      </c>
      <c r="B685" s="42">
        <v>33199</v>
      </c>
      <c r="C685" s="42">
        <v>226835</v>
      </c>
      <c r="D685" s="42">
        <v>232224</v>
      </c>
      <c r="E685" s="42">
        <v>166508</v>
      </c>
      <c r="F685" s="42">
        <v>751058</v>
      </c>
      <c r="G685" s="42">
        <v>248215</v>
      </c>
      <c r="H685" s="42">
        <v>51843</v>
      </c>
      <c r="I685" s="42">
        <v>44419</v>
      </c>
      <c r="J685" s="42">
        <v>204437</v>
      </c>
      <c r="K685" s="42">
        <v>435751</v>
      </c>
      <c r="L685" s="42">
        <v>138801</v>
      </c>
      <c r="M685" s="42">
        <v>1618712</v>
      </c>
      <c r="N685" s="42">
        <v>1162462</v>
      </c>
      <c r="O685" s="42">
        <v>15664</v>
      </c>
      <c r="P685" s="42">
        <v>96165</v>
      </c>
      <c r="Q685" s="42">
        <v>266540</v>
      </c>
      <c r="R685" s="42">
        <v>2260360</v>
      </c>
      <c r="S685" s="43">
        <v>64754</v>
      </c>
      <c r="T685" s="42">
        <v>524664</v>
      </c>
    </row>
    <row r="686" spans="1:20" x14ac:dyDescent="0.3">
      <c r="A686" s="7">
        <v>45160</v>
      </c>
      <c r="B686" s="42">
        <v>33938</v>
      </c>
      <c r="C686" s="42">
        <v>226955</v>
      </c>
      <c r="D686" s="42">
        <v>228179</v>
      </c>
      <c r="E686" s="42">
        <v>166147</v>
      </c>
      <c r="F686" s="42">
        <v>750486</v>
      </c>
      <c r="G686" s="42">
        <v>246923</v>
      </c>
      <c r="H686" s="42">
        <v>51035</v>
      </c>
      <c r="I686" s="42">
        <v>44326</v>
      </c>
      <c r="J686" s="42">
        <v>211645</v>
      </c>
      <c r="K686" s="42">
        <v>430239</v>
      </c>
      <c r="L686" s="42">
        <v>136680</v>
      </c>
      <c r="M686" s="42">
        <v>1623347</v>
      </c>
      <c r="N686" s="42">
        <v>1160461</v>
      </c>
      <c r="O686" s="42">
        <v>17262</v>
      </c>
      <c r="P686" s="42">
        <v>97208</v>
      </c>
      <c r="Q686" s="42">
        <v>263420</v>
      </c>
      <c r="R686" s="42">
        <v>2232226</v>
      </c>
      <c r="S686" s="43">
        <v>64306</v>
      </c>
      <c r="T686" s="42">
        <v>526714</v>
      </c>
    </row>
    <row r="687" spans="1:20" x14ac:dyDescent="0.3">
      <c r="A687" s="7">
        <v>45159</v>
      </c>
      <c r="B687" s="42">
        <v>31054</v>
      </c>
      <c r="C687" s="42">
        <v>223417</v>
      </c>
      <c r="D687" s="42">
        <v>227326</v>
      </c>
      <c r="E687" s="42">
        <v>167808</v>
      </c>
      <c r="F687" s="42">
        <v>761039</v>
      </c>
      <c r="G687" s="42">
        <v>250700</v>
      </c>
      <c r="H687" s="42">
        <v>50565</v>
      </c>
      <c r="I687" s="42">
        <v>44193</v>
      </c>
      <c r="J687" s="42">
        <v>215715</v>
      </c>
      <c r="K687" s="42">
        <v>431947</v>
      </c>
      <c r="L687" s="42">
        <v>137895</v>
      </c>
      <c r="M687" s="42">
        <v>1621099</v>
      </c>
      <c r="N687" s="42">
        <v>1161459</v>
      </c>
      <c r="O687" s="42">
        <v>17160</v>
      </c>
      <c r="P687" s="42">
        <v>98360</v>
      </c>
      <c r="Q687" s="42">
        <v>264639</v>
      </c>
      <c r="R687" s="42">
        <v>2232352</v>
      </c>
      <c r="S687" s="43">
        <v>65521</v>
      </c>
      <c r="T687" s="42">
        <v>526922</v>
      </c>
    </row>
    <row r="688" spans="1:20" x14ac:dyDescent="0.3">
      <c r="A688" s="7">
        <v>45156</v>
      </c>
      <c r="B688" s="42">
        <v>29153</v>
      </c>
      <c r="C688" s="42">
        <v>218929</v>
      </c>
      <c r="D688" s="42">
        <v>226612</v>
      </c>
      <c r="E688" s="42">
        <v>169195</v>
      </c>
      <c r="F688" s="42">
        <v>761145</v>
      </c>
      <c r="G688" s="42">
        <v>249388</v>
      </c>
      <c r="H688" s="42">
        <v>49843</v>
      </c>
      <c r="I688" s="42">
        <v>43521</v>
      </c>
      <c r="J688" s="42">
        <v>218314</v>
      </c>
      <c r="K688" s="42">
        <v>433441</v>
      </c>
      <c r="L688" s="42">
        <v>136351</v>
      </c>
      <c r="M688" s="42">
        <v>1652502</v>
      </c>
      <c r="N688" s="42">
        <v>1161694</v>
      </c>
      <c r="O688" s="42">
        <v>17219</v>
      </c>
      <c r="P688" s="42">
        <v>99882</v>
      </c>
      <c r="Q688" s="42">
        <v>268245</v>
      </c>
      <c r="R688" s="42">
        <v>2247312</v>
      </c>
      <c r="S688" s="43">
        <v>68838</v>
      </c>
      <c r="T688" s="42">
        <v>525746</v>
      </c>
    </row>
    <row r="689" spans="1:20" x14ac:dyDescent="0.3">
      <c r="A689" s="7">
        <v>45155</v>
      </c>
      <c r="B689" s="42">
        <v>28119</v>
      </c>
      <c r="C689" s="6">
        <v>217240</v>
      </c>
      <c r="D689" s="6">
        <v>226678</v>
      </c>
      <c r="E689" s="6">
        <v>168045</v>
      </c>
      <c r="F689" s="13">
        <v>758541</v>
      </c>
      <c r="G689" s="6">
        <v>253747</v>
      </c>
      <c r="H689" s="6">
        <v>49511</v>
      </c>
      <c r="I689" s="6">
        <v>43796</v>
      </c>
      <c r="J689" s="6">
        <v>221808</v>
      </c>
      <c r="K689" s="6">
        <v>433060</v>
      </c>
      <c r="L689" s="6">
        <v>137140</v>
      </c>
      <c r="M689" s="6">
        <v>1677973</v>
      </c>
      <c r="N689" s="42">
        <v>1161856</v>
      </c>
      <c r="O689" s="42">
        <v>17035</v>
      </c>
      <c r="P689" s="42">
        <v>101322</v>
      </c>
      <c r="Q689" s="42">
        <v>268453</v>
      </c>
      <c r="R689" s="42">
        <v>2261387</v>
      </c>
      <c r="S689" s="43">
        <v>64943</v>
      </c>
      <c r="T689" s="42">
        <v>520031</v>
      </c>
    </row>
    <row r="690" spans="1:20" x14ac:dyDescent="0.3">
      <c r="A690" s="7">
        <v>45154</v>
      </c>
      <c r="B690" s="42">
        <v>27117</v>
      </c>
      <c r="C690" s="6">
        <v>211006</v>
      </c>
      <c r="D690" s="6">
        <v>220595</v>
      </c>
      <c r="E690" s="6">
        <v>163542</v>
      </c>
      <c r="F690" s="13">
        <v>756547</v>
      </c>
      <c r="G690" s="6">
        <v>249611</v>
      </c>
      <c r="H690" s="6">
        <v>48294</v>
      </c>
      <c r="I690" s="6">
        <v>43636</v>
      </c>
      <c r="J690" s="6">
        <v>227104</v>
      </c>
      <c r="K690" s="6">
        <v>434748</v>
      </c>
      <c r="L690" s="6">
        <v>137406</v>
      </c>
      <c r="M690" s="6">
        <v>1691603</v>
      </c>
      <c r="N690" s="42">
        <v>1165828</v>
      </c>
      <c r="O690" s="42">
        <v>15180</v>
      </c>
      <c r="P690" s="42">
        <v>102888</v>
      </c>
      <c r="Q690" s="42">
        <v>265323</v>
      </c>
      <c r="R690" s="42">
        <v>2227895</v>
      </c>
      <c r="S690" s="43">
        <v>63553</v>
      </c>
      <c r="T690" s="42">
        <v>526568</v>
      </c>
    </row>
    <row r="691" spans="1:20" x14ac:dyDescent="0.3">
      <c r="A691" s="7">
        <v>45153</v>
      </c>
      <c r="B691" s="42">
        <v>26954</v>
      </c>
      <c r="C691" s="6">
        <v>204903</v>
      </c>
      <c r="D691" s="6">
        <v>215831</v>
      </c>
      <c r="E691" s="6">
        <v>157827</v>
      </c>
      <c r="F691" s="13">
        <v>760794</v>
      </c>
      <c r="G691" s="6">
        <v>248316</v>
      </c>
      <c r="H691" s="6">
        <v>46781</v>
      </c>
      <c r="I691" s="6">
        <v>42794</v>
      </c>
      <c r="J691" s="6">
        <v>224215</v>
      </c>
      <c r="K691" s="6">
        <v>433611</v>
      </c>
      <c r="L691" s="6">
        <v>138215</v>
      </c>
      <c r="M691" s="6">
        <v>1702766</v>
      </c>
      <c r="N691" s="42">
        <v>1168181</v>
      </c>
      <c r="O691" s="42">
        <v>15432</v>
      </c>
      <c r="P691" s="42">
        <v>104216</v>
      </c>
      <c r="Q691" s="42">
        <v>267495</v>
      </c>
      <c r="R691" s="42">
        <v>2220084</v>
      </c>
      <c r="S691" s="43">
        <v>66827</v>
      </c>
      <c r="T691" s="42">
        <v>519586</v>
      </c>
    </row>
    <row r="692" spans="1:20" x14ac:dyDescent="0.3">
      <c r="A692" s="7">
        <v>45152</v>
      </c>
      <c r="B692" s="42">
        <v>27509</v>
      </c>
      <c r="C692" s="6">
        <v>196310</v>
      </c>
      <c r="D692" s="6">
        <v>211946</v>
      </c>
      <c r="E692" s="6">
        <v>153621</v>
      </c>
      <c r="F692" s="13">
        <v>760587</v>
      </c>
      <c r="G692" s="6">
        <v>246823</v>
      </c>
      <c r="H692" s="6">
        <v>43578</v>
      </c>
      <c r="I692" s="6">
        <v>42330</v>
      </c>
      <c r="J692" s="6">
        <v>223463</v>
      </c>
      <c r="K692" s="6">
        <v>431384</v>
      </c>
      <c r="L692" s="6">
        <v>138118</v>
      </c>
      <c r="M692" s="6">
        <v>1705895</v>
      </c>
      <c r="N692" s="42">
        <v>1171188</v>
      </c>
      <c r="O692" s="42">
        <v>15601</v>
      </c>
      <c r="P692" s="42">
        <v>103721</v>
      </c>
      <c r="Q692" s="42">
        <v>270473</v>
      </c>
      <c r="R692" s="42">
        <v>2233009</v>
      </c>
      <c r="S692" s="43">
        <v>62965</v>
      </c>
      <c r="T692" s="42">
        <v>513817</v>
      </c>
    </row>
    <row r="693" spans="1:20" x14ac:dyDescent="0.3">
      <c r="A693" s="7">
        <v>45149</v>
      </c>
      <c r="B693" s="42">
        <v>27835</v>
      </c>
      <c r="C693" s="6">
        <v>189048</v>
      </c>
      <c r="D693" s="6">
        <v>208871</v>
      </c>
      <c r="E693" s="6">
        <v>149670</v>
      </c>
      <c r="F693" s="13">
        <v>761685</v>
      </c>
      <c r="G693" s="6">
        <v>243266</v>
      </c>
      <c r="H693" s="6">
        <v>42469</v>
      </c>
      <c r="I693" s="6">
        <v>41959</v>
      </c>
      <c r="J693" s="6">
        <v>229052</v>
      </c>
      <c r="K693" s="6">
        <v>431187</v>
      </c>
      <c r="L693" s="6">
        <v>140394</v>
      </c>
      <c r="M693" s="6">
        <v>1704647</v>
      </c>
      <c r="N693" s="42">
        <v>1165302</v>
      </c>
      <c r="O693" s="42">
        <v>15183</v>
      </c>
      <c r="P693" s="42">
        <v>103850</v>
      </c>
      <c r="Q693" s="42">
        <v>269279</v>
      </c>
      <c r="R693" s="42">
        <v>2233870</v>
      </c>
      <c r="S693" s="43">
        <v>64683</v>
      </c>
      <c r="T693" s="42">
        <v>514284</v>
      </c>
    </row>
    <row r="694" spans="1:20" x14ac:dyDescent="0.3">
      <c r="A694" s="7">
        <v>45148</v>
      </c>
      <c r="B694" s="42">
        <v>29055</v>
      </c>
      <c r="C694" s="6">
        <v>184661</v>
      </c>
      <c r="D694" s="6">
        <v>209605</v>
      </c>
      <c r="E694" s="6">
        <v>144230</v>
      </c>
      <c r="F694" s="13">
        <v>762449</v>
      </c>
      <c r="G694" s="6">
        <v>239118</v>
      </c>
      <c r="H694" s="6">
        <v>40843</v>
      </c>
      <c r="I694" s="6">
        <v>42682</v>
      </c>
      <c r="J694" s="6">
        <v>226905</v>
      </c>
      <c r="K694" s="6">
        <v>430408</v>
      </c>
      <c r="L694" s="6">
        <v>137489</v>
      </c>
      <c r="M694" s="6">
        <v>1705255</v>
      </c>
      <c r="N694" s="42">
        <v>1158458</v>
      </c>
      <c r="O694" s="42">
        <v>15391</v>
      </c>
      <c r="P694" s="42">
        <v>105295</v>
      </c>
      <c r="Q694" s="42">
        <v>266343</v>
      </c>
      <c r="R694" s="42">
        <v>2235737</v>
      </c>
      <c r="S694" s="43">
        <v>64683</v>
      </c>
      <c r="T694" s="42">
        <v>513143</v>
      </c>
    </row>
    <row r="695" spans="1:20" x14ac:dyDescent="0.3">
      <c r="A695" s="7">
        <v>45147</v>
      </c>
      <c r="B695" s="45">
        <v>29057</v>
      </c>
      <c r="C695" s="6">
        <v>181623</v>
      </c>
      <c r="D695" s="6">
        <v>205867</v>
      </c>
      <c r="E695" s="6">
        <v>140368</v>
      </c>
      <c r="F695" s="13">
        <v>761189</v>
      </c>
      <c r="G695" s="6">
        <v>232442</v>
      </c>
      <c r="H695" s="6">
        <v>41422</v>
      </c>
      <c r="I695" s="6">
        <v>43115</v>
      </c>
      <c r="J695" s="6">
        <v>222415</v>
      </c>
      <c r="K695" s="6">
        <v>429883</v>
      </c>
      <c r="L695" s="6">
        <v>137576</v>
      </c>
      <c r="M695" s="6">
        <v>1698665</v>
      </c>
      <c r="N695" s="42">
        <v>1179159</v>
      </c>
      <c r="O695" s="42">
        <v>15621</v>
      </c>
      <c r="P695" s="42">
        <v>104835</v>
      </c>
      <c r="Q695" s="42">
        <v>271620</v>
      </c>
      <c r="R695" s="42">
        <v>2216431</v>
      </c>
      <c r="S695" s="43">
        <v>65552</v>
      </c>
      <c r="T695" s="42">
        <v>514278</v>
      </c>
    </row>
    <row r="696" spans="1:20" x14ac:dyDescent="0.3">
      <c r="A696" s="7">
        <v>45146</v>
      </c>
      <c r="B696" s="42">
        <v>28930</v>
      </c>
      <c r="C696" s="6">
        <v>182842</v>
      </c>
      <c r="D696" s="6">
        <v>206954</v>
      </c>
      <c r="E696" s="6">
        <v>140960</v>
      </c>
      <c r="F696" s="13">
        <v>760968</v>
      </c>
      <c r="G696" s="6">
        <v>229849</v>
      </c>
      <c r="H696" s="6">
        <v>40986</v>
      </c>
      <c r="I696" s="6">
        <v>43122</v>
      </c>
      <c r="J696" s="6">
        <v>228537</v>
      </c>
      <c r="K696" s="6">
        <v>427759</v>
      </c>
      <c r="L696" s="6">
        <v>137631</v>
      </c>
      <c r="M696" s="6">
        <v>1703711</v>
      </c>
      <c r="N696" s="42">
        <v>1183146</v>
      </c>
      <c r="O696" s="42">
        <v>16743</v>
      </c>
      <c r="P696" s="42">
        <v>106566</v>
      </c>
      <c r="Q696" s="42">
        <v>267797</v>
      </c>
      <c r="R696" s="42">
        <v>2221709</v>
      </c>
      <c r="S696" s="43">
        <v>66134</v>
      </c>
      <c r="T696" s="42">
        <v>512347</v>
      </c>
    </row>
    <row r="697" spans="1:20" x14ac:dyDescent="0.3">
      <c r="A697" s="7">
        <v>45145</v>
      </c>
      <c r="B697" s="45">
        <v>29293</v>
      </c>
      <c r="C697" s="6">
        <v>178168</v>
      </c>
      <c r="D697" s="6">
        <v>207893</v>
      </c>
      <c r="E697" s="6">
        <v>139454</v>
      </c>
      <c r="F697" s="13">
        <v>761194</v>
      </c>
      <c r="G697" s="6">
        <v>225463</v>
      </c>
      <c r="H697" s="6">
        <v>39245</v>
      </c>
      <c r="I697" s="6">
        <v>42648</v>
      </c>
      <c r="J697" s="6">
        <v>230502</v>
      </c>
      <c r="K697" s="6">
        <v>431434</v>
      </c>
      <c r="L697" s="6">
        <v>141517</v>
      </c>
      <c r="M697" s="6">
        <v>1726215</v>
      </c>
      <c r="N697" s="42">
        <v>1210610</v>
      </c>
      <c r="O697" s="42">
        <v>14667</v>
      </c>
      <c r="P697" s="42">
        <v>109988</v>
      </c>
      <c r="Q697" s="42">
        <v>269729</v>
      </c>
      <c r="R697" s="42">
        <v>2230125</v>
      </c>
      <c r="S697" s="43">
        <v>62848</v>
      </c>
      <c r="T697" s="42">
        <v>515705</v>
      </c>
    </row>
    <row r="698" spans="1:20" x14ac:dyDescent="0.3">
      <c r="A698" s="7">
        <v>45142</v>
      </c>
      <c r="B698" s="45">
        <v>29237</v>
      </c>
      <c r="C698" s="6">
        <v>178554</v>
      </c>
      <c r="D698" s="6">
        <v>208765</v>
      </c>
      <c r="E698" s="6">
        <v>142068</v>
      </c>
      <c r="F698" s="13">
        <v>753745</v>
      </c>
      <c r="G698" s="6">
        <v>225253</v>
      </c>
      <c r="H698" s="6">
        <v>39780</v>
      </c>
      <c r="I698" s="6">
        <v>42227</v>
      </c>
      <c r="J698" s="6">
        <v>230359</v>
      </c>
      <c r="K698" s="6">
        <v>432460</v>
      </c>
      <c r="L698" s="6">
        <v>137957</v>
      </c>
      <c r="M698" s="6">
        <v>1737184</v>
      </c>
      <c r="N698" s="42">
        <v>1226549</v>
      </c>
      <c r="O698" s="42">
        <v>14823</v>
      </c>
      <c r="P698" s="42">
        <v>106944</v>
      </c>
      <c r="Q698" s="42">
        <v>263798</v>
      </c>
      <c r="R698" s="42">
        <v>2212651</v>
      </c>
      <c r="S698" s="43">
        <v>67367</v>
      </c>
      <c r="T698" s="42">
        <v>525377</v>
      </c>
    </row>
    <row r="699" spans="1:20" x14ac:dyDescent="0.3">
      <c r="A699" s="7">
        <v>45141</v>
      </c>
      <c r="B699" s="45">
        <v>29965</v>
      </c>
      <c r="C699" s="6">
        <v>184858</v>
      </c>
      <c r="D699" s="6">
        <v>212794</v>
      </c>
      <c r="E699" s="6">
        <v>144743</v>
      </c>
      <c r="F699" s="13">
        <v>746299</v>
      </c>
      <c r="G699" s="6">
        <v>226641</v>
      </c>
      <c r="H699" s="6">
        <v>39152</v>
      </c>
      <c r="I699" s="6">
        <v>43294</v>
      </c>
      <c r="J699" s="6">
        <v>232322</v>
      </c>
      <c r="K699" s="6">
        <v>435395</v>
      </c>
      <c r="L699" s="6">
        <v>137515</v>
      </c>
      <c r="M699" s="6">
        <v>1743845</v>
      </c>
      <c r="N699" s="42">
        <v>1226582</v>
      </c>
      <c r="O699" s="42">
        <v>14952</v>
      </c>
      <c r="P699" s="42">
        <v>106563</v>
      </c>
      <c r="Q699" s="42">
        <v>265651</v>
      </c>
      <c r="R699" s="42">
        <v>2217475</v>
      </c>
      <c r="S699" s="43">
        <v>67685</v>
      </c>
      <c r="T699" s="42">
        <v>519869</v>
      </c>
    </row>
    <row r="700" spans="1:20" x14ac:dyDescent="0.3">
      <c r="A700" s="7">
        <v>45140</v>
      </c>
      <c r="B700" s="45">
        <v>31200</v>
      </c>
      <c r="C700" s="6">
        <v>172218</v>
      </c>
      <c r="D700" s="6">
        <v>219464</v>
      </c>
      <c r="E700" s="6">
        <v>147157</v>
      </c>
      <c r="F700" s="13">
        <v>753166</v>
      </c>
      <c r="G700" s="6">
        <v>228975</v>
      </c>
      <c r="H700" s="6">
        <v>37305</v>
      </c>
      <c r="I700" s="6">
        <v>43646</v>
      </c>
      <c r="J700" s="6">
        <v>233983</v>
      </c>
      <c r="K700" s="6">
        <v>439412</v>
      </c>
      <c r="L700" s="6">
        <v>141093</v>
      </c>
      <c r="M700" s="6">
        <v>1736099</v>
      </c>
      <c r="N700" s="42">
        <v>1226806</v>
      </c>
      <c r="O700" s="42">
        <v>14801</v>
      </c>
      <c r="P700" s="42">
        <v>109398</v>
      </c>
      <c r="Q700" s="42">
        <v>268948</v>
      </c>
      <c r="R700" s="42">
        <v>2243018</v>
      </c>
      <c r="S700" s="43">
        <v>72041</v>
      </c>
      <c r="T700" s="42">
        <v>522799</v>
      </c>
    </row>
    <row r="701" spans="1:20" x14ac:dyDescent="0.3">
      <c r="A701" s="7">
        <v>45139</v>
      </c>
      <c r="B701" s="45">
        <v>31435</v>
      </c>
      <c r="C701" s="6">
        <v>161298</v>
      </c>
      <c r="D701" s="6">
        <v>220906</v>
      </c>
      <c r="E701" s="6">
        <v>152606</v>
      </c>
      <c r="F701" s="13">
        <v>755156</v>
      </c>
      <c r="G701" s="6">
        <v>229015</v>
      </c>
      <c r="H701" s="6">
        <v>36091</v>
      </c>
      <c r="I701" s="6">
        <v>43983</v>
      </c>
      <c r="J701" s="6">
        <v>236399</v>
      </c>
      <c r="K701" s="6">
        <v>439383</v>
      </c>
      <c r="L701" s="6">
        <v>144138</v>
      </c>
      <c r="M701" s="6">
        <v>1752072</v>
      </c>
      <c r="N701" s="42">
        <v>1206160</v>
      </c>
      <c r="O701" s="42">
        <v>14860</v>
      </c>
      <c r="P701" s="42">
        <v>113039</v>
      </c>
      <c r="Q701" s="42">
        <v>262908</v>
      </c>
      <c r="R701" s="42">
        <v>2241749</v>
      </c>
      <c r="S701" s="3"/>
      <c r="T701" s="42">
        <v>519874</v>
      </c>
    </row>
    <row r="702" spans="1:20" x14ac:dyDescent="0.3">
      <c r="A702" s="7">
        <v>45138</v>
      </c>
      <c r="B702" s="45">
        <v>31302</v>
      </c>
      <c r="C702" s="6">
        <v>147655</v>
      </c>
      <c r="D702" s="6">
        <v>224773</v>
      </c>
      <c r="E702" s="6">
        <v>155634</v>
      </c>
      <c r="F702" s="13">
        <v>748653</v>
      </c>
      <c r="G702" s="6">
        <v>230142</v>
      </c>
      <c r="H702" s="6">
        <v>34911</v>
      </c>
      <c r="I702" s="6">
        <v>43836</v>
      </c>
      <c r="J702" s="6">
        <v>240799</v>
      </c>
      <c r="K702" s="6">
        <v>444586</v>
      </c>
      <c r="L702" s="6">
        <v>144808</v>
      </c>
      <c r="M702" s="6">
        <v>1750069</v>
      </c>
      <c r="N702" s="42">
        <v>1188766</v>
      </c>
      <c r="O702" s="42">
        <v>15752</v>
      </c>
      <c r="P702" s="42">
        <v>110328</v>
      </c>
      <c r="Q702" s="42">
        <v>260515</v>
      </c>
      <c r="R702" s="42">
        <v>2234537</v>
      </c>
      <c r="S702" s="3"/>
      <c r="T702" s="42">
        <v>526364</v>
      </c>
    </row>
    <row r="703" spans="1:20" x14ac:dyDescent="0.3">
      <c r="A703" s="7">
        <v>45135</v>
      </c>
      <c r="B703" s="45">
        <v>31471</v>
      </c>
      <c r="C703" s="6">
        <v>146027</v>
      </c>
      <c r="D703" s="6">
        <v>228586</v>
      </c>
      <c r="E703" s="6">
        <v>158716</v>
      </c>
      <c r="F703" s="13">
        <v>753475</v>
      </c>
      <c r="G703" s="6">
        <v>226437</v>
      </c>
      <c r="H703" s="6">
        <v>35593</v>
      </c>
      <c r="I703" s="6">
        <v>44078</v>
      </c>
      <c r="J703" s="6">
        <v>237156</v>
      </c>
      <c r="K703" s="6">
        <v>446453</v>
      </c>
      <c r="L703" s="6">
        <v>143298</v>
      </c>
      <c r="M703" s="6">
        <v>1737738</v>
      </c>
      <c r="N703" s="42">
        <v>1186267</v>
      </c>
      <c r="O703" s="42">
        <v>15634</v>
      </c>
      <c r="P703" s="42">
        <v>107545</v>
      </c>
      <c r="Q703" s="42">
        <v>264428</v>
      </c>
      <c r="R703" s="42">
        <v>2224965</v>
      </c>
      <c r="S703" s="3"/>
      <c r="T703" s="42">
        <v>526699</v>
      </c>
    </row>
    <row r="704" spans="1:20" x14ac:dyDescent="0.3">
      <c r="A704" s="7">
        <v>45134</v>
      </c>
      <c r="B704" s="45">
        <v>31593</v>
      </c>
      <c r="C704" s="6">
        <v>139317</v>
      </c>
      <c r="D704" s="6">
        <v>233293</v>
      </c>
      <c r="E704" s="6">
        <v>156721</v>
      </c>
      <c r="F704" s="13">
        <v>763398</v>
      </c>
      <c r="G704" s="6">
        <v>229313</v>
      </c>
      <c r="H704" s="6">
        <v>35621</v>
      </c>
      <c r="I704" s="6">
        <v>43805</v>
      </c>
      <c r="J704" s="6">
        <v>235958</v>
      </c>
      <c r="K704" s="6">
        <v>459036</v>
      </c>
      <c r="L704" s="6">
        <v>145266</v>
      </c>
      <c r="M704" s="6">
        <v>1738972</v>
      </c>
      <c r="N704" s="42">
        <v>1189939</v>
      </c>
      <c r="O704" s="42">
        <v>15822</v>
      </c>
      <c r="P704" s="42">
        <v>107745</v>
      </c>
      <c r="Q704" s="42">
        <v>260940</v>
      </c>
      <c r="R704" s="42">
        <v>2220137</v>
      </c>
      <c r="S704" s="3"/>
      <c r="T704" s="42">
        <v>529820</v>
      </c>
    </row>
    <row r="705" spans="1:20" x14ac:dyDescent="0.3">
      <c r="A705" s="7">
        <v>45133</v>
      </c>
      <c r="B705" s="45">
        <v>34192</v>
      </c>
      <c r="C705" s="6">
        <v>141746</v>
      </c>
      <c r="D705" s="6">
        <v>236718</v>
      </c>
      <c r="E705" s="6">
        <v>156825</v>
      </c>
      <c r="F705" s="13">
        <v>769244</v>
      </c>
      <c r="G705" s="6">
        <v>223522</v>
      </c>
      <c r="H705" s="6">
        <v>35871</v>
      </c>
      <c r="I705" s="6">
        <v>43586</v>
      </c>
      <c r="J705" s="6">
        <v>234513</v>
      </c>
      <c r="K705" s="6">
        <v>473607</v>
      </c>
      <c r="L705" s="6">
        <v>146251</v>
      </c>
      <c r="M705" s="6">
        <v>1741916</v>
      </c>
      <c r="N705" s="42">
        <v>1171866</v>
      </c>
      <c r="O705" s="42">
        <v>15760</v>
      </c>
      <c r="P705" s="42">
        <v>113349</v>
      </c>
      <c r="Q705" s="42">
        <v>259665</v>
      </c>
      <c r="R705" s="42">
        <v>2230359</v>
      </c>
      <c r="S705" s="3"/>
      <c r="T705" s="42">
        <v>524422</v>
      </c>
    </row>
    <row r="706" spans="1:20" x14ac:dyDescent="0.3">
      <c r="A706" s="7">
        <v>45132</v>
      </c>
      <c r="B706" s="45">
        <v>34514</v>
      </c>
      <c r="C706" s="6">
        <v>146423</v>
      </c>
      <c r="D706" s="6">
        <v>237340</v>
      </c>
      <c r="E706" s="6">
        <v>156395</v>
      </c>
      <c r="F706" s="13">
        <v>772408</v>
      </c>
      <c r="G706" s="6">
        <v>223760</v>
      </c>
      <c r="H706" s="6">
        <v>36820</v>
      </c>
      <c r="I706" s="6">
        <v>44180</v>
      </c>
      <c r="J706" s="6">
        <v>234713</v>
      </c>
      <c r="K706" s="6">
        <v>476176</v>
      </c>
      <c r="L706" s="6">
        <v>146898</v>
      </c>
      <c r="M706" s="6">
        <v>1743598</v>
      </c>
      <c r="N706" s="42">
        <v>1185638</v>
      </c>
      <c r="O706" s="42">
        <v>16017</v>
      </c>
      <c r="P706" s="42">
        <v>111965</v>
      </c>
      <c r="Q706" s="42">
        <v>260623</v>
      </c>
      <c r="R706" s="42">
        <v>2243361</v>
      </c>
      <c r="S706" s="3"/>
      <c r="T706" s="42">
        <v>525295</v>
      </c>
    </row>
    <row r="707" spans="1:20" x14ac:dyDescent="0.3">
      <c r="A707" s="7">
        <v>45131</v>
      </c>
      <c r="B707" s="46"/>
      <c r="C707" s="6">
        <v>147304</v>
      </c>
      <c r="D707" s="6">
        <v>242091</v>
      </c>
      <c r="E707" s="6">
        <v>156527</v>
      </c>
      <c r="F707" s="13">
        <v>777662</v>
      </c>
      <c r="G707" s="6">
        <v>224527</v>
      </c>
      <c r="H707" s="6">
        <v>37276</v>
      </c>
      <c r="I707" s="6">
        <v>44741</v>
      </c>
      <c r="J707" s="6">
        <v>229944</v>
      </c>
      <c r="K707" s="6">
        <v>487232</v>
      </c>
      <c r="L707" s="6">
        <v>146625</v>
      </c>
      <c r="M707" s="6">
        <v>1715370</v>
      </c>
      <c r="N707" s="42">
        <v>1195206</v>
      </c>
      <c r="O707" s="42">
        <v>16203</v>
      </c>
      <c r="P707" s="42">
        <v>111387</v>
      </c>
      <c r="Q707" s="42">
        <v>258097</v>
      </c>
      <c r="R707" s="42">
        <v>2231481</v>
      </c>
      <c r="S707" s="3"/>
      <c r="T707" s="42">
        <v>526110</v>
      </c>
    </row>
    <row r="708" spans="1:20" x14ac:dyDescent="0.3">
      <c r="A708" s="7">
        <v>45128</v>
      </c>
      <c r="B708" s="43"/>
      <c r="C708" s="6">
        <v>145594</v>
      </c>
      <c r="D708" s="6">
        <v>243833</v>
      </c>
      <c r="E708" s="6">
        <v>151531</v>
      </c>
      <c r="F708" s="13">
        <v>779597</v>
      </c>
      <c r="G708" s="6">
        <v>226438</v>
      </c>
      <c r="H708" s="6">
        <v>39303</v>
      </c>
      <c r="I708" s="6">
        <v>43482</v>
      </c>
      <c r="J708" s="6">
        <v>225008</v>
      </c>
      <c r="K708" s="6">
        <v>479342</v>
      </c>
      <c r="L708" s="6">
        <v>148645</v>
      </c>
      <c r="M708" s="6">
        <v>1702848</v>
      </c>
      <c r="N708" s="42">
        <v>1203953</v>
      </c>
      <c r="O708" s="42">
        <v>15976</v>
      </c>
      <c r="P708" s="42">
        <v>108052</v>
      </c>
      <c r="Q708" s="42">
        <v>262402</v>
      </c>
      <c r="R708" s="42">
        <v>2218078</v>
      </c>
      <c r="S708" s="3"/>
      <c r="T708" s="42">
        <v>527018</v>
      </c>
    </row>
    <row r="709" spans="1:20" x14ac:dyDescent="0.3">
      <c r="A709" s="7">
        <v>45127</v>
      </c>
      <c r="B709" s="43"/>
      <c r="C709" s="6">
        <v>147121</v>
      </c>
      <c r="D709" s="6">
        <v>250127</v>
      </c>
      <c r="E709" s="6">
        <v>151047</v>
      </c>
      <c r="F709" s="13">
        <v>779765</v>
      </c>
      <c r="G709" s="6">
        <v>226034</v>
      </c>
      <c r="H709" s="6">
        <v>40200</v>
      </c>
      <c r="I709" s="6">
        <v>43734</v>
      </c>
      <c r="J709" s="6">
        <v>221446</v>
      </c>
      <c r="K709" s="6">
        <v>483396</v>
      </c>
      <c r="L709" s="6">
        <v>149599</v>
      </c>
      <c r="M709" s="6">
        <v>1689509</v>
      </c>
      <c r="N709" s="42">
        <v>1223493</v>
      </c>
      <c r="O709" s="42">
        <v>15443</v>
      </c>
      <c r="P709" s="42">
        <v>107013</v>
      </c>
      <c r="Q709" s="42">
        <v>269671</v>
      </c>
      <c r="R709" s="42">
        <v>2239957</v>
      </c>
      <c r="S709" s="43">
        <v>71014</v>
      </c>
      <c r="T709" s="42">
        <v>528592</v>
      </c>
    </row>
    <row r="710" spans="1:20" x14ac:dyDescent="0.3">
      <c r="A710" s="7">
        <v>45126</v>
      </c>
      <c r="B710" s="43"/>
      <c r="C710" s="6">
        <v>147678</v>
      </c>
      <c r="D710" s="6">
        <v>256885</v>
      </c>
      <c r="E710" s="6">
        <v>148065</v>
      </c>
      <c r="F710" s="13">
        <v>784540</v>
      </c>
      <c r="G710" s="6">
        <v>227920</v>
      </c>
      <c r="H710" s="6">
        <v>39811</v>
      </c>
      <c r="I710" s="6">
        <v>43988</v>
      </c>
      <c r="J710" s="6">
        <v>218019</v>
      </c>
      <c r="K710" s="6">
        <v>484097</v>
      </c>
      <c r="L710" s="6">
        <v>149808</v>
      </c>
      <c r="M710" s="6">
        <v>1707760</v>
      </c>
      <c r="N710" s="42">
        <v>1231086</v>
      </c>
      <c r="O710" s="42">
        <v>15330</v>
      </c>
      <c r="P710" s="42">
        <v>103335</v>
      </c>
      <c r="Q710" s="42">
        <v>268740</v>
      </c>
      <c r="R710" s="42">
        <v>2264966</v>
      </c>
      <c r="S710" s="43">
        <v>69741</v>
      </c>
      <c r="T710" s="42">
        <v>523060</v>
      </c>
    </row>
    <row r="711" spans="1:20" x14ac:dyDescent="0.3">
      <c r="A711" s="7">
        <v>45125</v>
      </c>
      <c r="B711" s="43"/>
      <c r="C711" s="6">
        <v>148876</v>
      </c>
      <c r="D711" s="6">
        <v>267110</v>
      </c>
      <c r="E711" s="6">
        <v>146171</v>
      </c>
      <c r="F711" s="13">
        <v>783721</v>
      </c>
      <c r="G711" s="6">
        <v>234171</v>
      </c>
      <c r="H711" s="6">
        <v>39402</v>
      </c>
      <c r="I711" s="6">
        <v>43213</v>
      </c>
      <c r="J711" s="6">
        <v>216862</v>
      </c>
      <c r="K711" s="6">
        <v>482104</v>
      </c>
      <c r="L711" s="6">
        <v>146863</v>
      </c>
      <c r="M711" s="6">
        <v>1768189</v>
      </c>
      <c r="N711" s="42">
        <v>1234296</v>
      </c>
      <c r="O711" s="42">
        <v>15455</v>
      </c>
      <c r="P711" s="42">
        <v>102267</v>
      </c>
      <c r="Q711" s="42">
        <v>264119</v>
      </c>
      <c r="R711" s="42">
        <v>2280677</v>
      </c>
      <c r="S711" s="43">
        <v>67294</v>
      </c>
      <c r="T711" s="42">
        <v>523115</v>
      </c>
    </row>
    <row r="712" spans="1:20" x14ac:dyDescent="0.3">
      <c r="A712" s="7">
        <v>45124</v>
      </c>
      <c r="B712" s="43"/>
      <c r="C712" s="6">
        <v>148320</v>
      </c>
      <c r="D712" s="6">
        <v>263133</v>
      </c>
      <c r="E712" s="6">
        <v>146569</v>
      </c>
      <c r="F712" s="13">
        <v>774692</v>
      </c>
      <c r="G712" s="6">
        <v>232285</v>
      </c>
      <c r="H712" s="6">
        <v>38755</v>
      </c>
      <c r="I712" s="6">
        <v>42897</v>
      </c>
      <c r="J712" s="6">
        <v>213954</v>
      </c>
      <c r="K712" s="6">
        <v>486719</v>
      </c>
      <c r="L712" s="6">
        <v>145190</v>
      </c>
      <c r="M712" s="6">
        <v>1784380</v>
      </c>
      <c r="N712" s="42">
        <v>1228604</v>
      </c>
      <c r="O712" s="42">
        <v>15919</v>
      </c>
      <c r="P712" s="42">
        <v>98590</v>
      </c>
      <c r="Q712" s="42">
        <v>263201</v>
      </c>
      <c r="R712" s="42">
        <v>2264639</v>
      </c>
      <c r="S712" s="43">
        <v>69267</v>
      </c>
      <c r="T712" s="42">
        <v>523492</v>
      </c>
    </row>
    <row r="713" spans="1:20" x14ac:dyDescent="0.3">
      <c r="A713" s="7">
        <v>45121</v>
      </c>
      <c r="B713" s="43"/>
      <c r="C713" s="6">
        <v>150239</v>
      </c>
      <c r="D713" s="6">
        <v>255554</v>
      </c>
      <c r="E713" s="6">
        <v>146841</v>
      </c>
      <c r="F713" s="13">
        <v>771061</v>
      </c>
      <c r="G713" s="6">
        <v>236051</v>
      </c>
      <c r="H713" s="6">
        <v>36769</v>
      </c>
      <c r="I713" s="6">
        <v>41932</v>
      </c>
      <c r="J713" s="6">
        <v>213497</v>
      </c>
      <c r="K713" s="6">
        <v>498570</v>
      </c>
      <c r="L713" s="6">
        <v>141937</v>
      </c>
      <c r="M713" s="6">
        <v>1815352</v>
      </c>
      <c r="N713" s="42">
        <v>1242084</v>
      </c>
      <c r="O713" s="42">
        <v>16990</v>
      </c>
      <c r="P713" s="42">
        <v>97594</v>
      </c>
      <c r="Q713" s="42">
        <v>258655</v>
      </c>
      <c r="R713" s="42">
        <v>2261560</v>
      </c>
      <c r="S713" s="43">
        <v>69772</v>
      </c>
      <c r="T713" s="42">
        <v>524708</v>
      </c>
    </row>
    <row r="714" spans="1:20" x14ac:dyDescent="0.3">
      <c r="A714" s="7">
        <v>45120</v>
      </c>
      <c r="B714" s="43"/>
      <c r="C714" s="6">
        <v>154807</v>
      </c>
      <c r="D714" s="6">
        <v>250678</v>
      </c>
      <c r="E714" s="6">
        <v>145928</v>
      </c>
      <c r="F714" s="13">
        <v>770590</v>
      </c>
      <c r="G714" s="6">
        <v>236595</v>
      </c>
      <c r="H714" s="6">
        <v>35716</v>
      </c>
      <c r="I714" s="6">
        <v>42585</v>
      </c>
      <c r="J714" s="6">
        <v>208795</v>
      </c>
      <c r="K714" s="6">
        <v>506210</v>
      </c>
      <c r="L714" s="6">
        <v>137646</v>
      </c>
      <c r="M714" s="6">
        <v>1807153</v>
      </c>
      <c r="N714" s="42">
        <v>1238793</v>
      </c>
      <c r="O714" s="42">
        <v>18802</v>
      </c>
      <c r="P714" s="42">
        <v>96776</v>
      </c>
      <c r="Q714" s="42">
        <v>256364</v>
      </c>
      <c r="R714" s="42">
        <v>2269965</v>
      </c>
      <c r="S714" s="43">
        <v>72680</v>
      </c>
      <c r="T714" s="42">
        <v>522587</v>
      </c>
    </row>
    <row r="715" spans="1:20" x14ac:dyDescent="0.3">
      <c r="A715" s="7">
        <v>45119</v>
      </c>
      <c r="B715" s="43"/>
      <c r="C715" s="6">
        <v>152995</v>
      </c>
      <c r="D715" s="6">
        <v>246412</v>
      </c>
      <c r="E715" s="6">
        <v>140490</v>
      </c>
      <c r="F715" s="13">
        <v>758978</v>
      </c>
      <c r="G715" s="6">
        <v>240109</v>
      </c>
      <c r="H715" s="6">
        <v>36588</v>
      </c>
      <c r="I715" s="6">
        <v>43409</v>
      </c>
      <c r="J715" s="6">
        <v>199532</v>
      </c>
      <c r="K715" s="6">
        <v>505241</v>
      </c>
      <c r="L715" s="6">
        <v>125506</v>
      </c>
      <c r="M715" s="6">
        <v>1805575</v>
      </c>
      <c r="N715" s="42">
        <v>1238527</v>
      </c>
      <c r="O715" s="42">
        <v>16009</v>
      </c>
      <c r="P715" s="42">
        <v>95636</v>
      </c>
      <c r="Q715" s="42">
        <v>256174</v>
      </c>
      <c r="R715" s="42">
        <v>2249056</v>
      </c>
      <c r="S715" s="43">
        <v>74657</v>
      </c>
      <c r="T715" s="42">
        <v>526473</v>
      </c>
    </row>
    <row r="716" spans="1:20" x14ac:dyDescent="0.3">
      <c r="A716" s="7">
        <v>45118</v>
      </c>
      <c r="B716" s="43"/>
      <c r="C716" s="6">
        <v>152495</v>
      </c>
      <c r="D716" s="6">
        <v>239125</v>
      </c>
      <c r="E716" s="6">
        <v>140395</v>
      </c>
      <c r="F716" s="13">
        <v>736056</v>
      </c>
      <c r="G716" s="6">
        <v>252349</v>
      </c>
      <c r="H716" s="6">
        <v>34947</v>
      </c>
      <c r="I716" s="6">
        <v>43563</v>
      </c>
      <c r="J716" s="6">
        <v>197785</v>
      </c>
      <c r="K716" s="6">
        <v>483170</v>
      </c>
      <c r="L716" s="6">
        <v>120282</v>
      </c>
      <c r="M716" s="6">
        <v>1796348</v>
      </c>
      <c r="N716" s="42">
        <v>1236802</v>
      </c>
      <c r="O716" s="42">
        <v>16302</v>
      </c>
      <c r="P716" s="42">
        <v>97782</v>
      </c>
      <c r="Q716" s="42">
        <v>259491</v>
      </c>
      <c r="R716" s="42">
        <v>2209607</v>
      </c>
      <c r="S716" s="43">
        <v>71687</v>
      </c>
      <c r="T716" s="42">
        <v>518629</v>
      </c>
    </row>
    <row r="717" spans="1:20" x14ac:dyDescent="0.3">
      <c r="A717" s="7">
        <v>45117</v>
      </c>
      <c r="B717" s="43"/>
      <c r="C717" s="6">
        <v>152487</v>
      </c>
      <c r="D717" s="6">
        <v>227789</v>
      </c>
      <c r="E717" s="6">
        <v>140869</v>
      </c>
      <c r="F717" s="13">
        <v>731911</v>
      </c>
      <c r="G717" s="6">
        <v>256312</v>
      </c>
      <c r="H717" s="6">
        <v>36191</v>
      </c>
      <c r="I717" s="6">
        <v>42703</v>
      </c>
      <c r="J717" s="6">
        <v>195146</v>
      </c>
      <c r="K717" s="6">
        <v>485952</v>
      </c>
      <c r="L717" s="6">
        <v>121649</v>
      </c>
      <c r="M717" s="6">
        <v>1783320</v>
      </c>
      <c r="N717" s="42">
        <v>1240619</v>
      </c>
      <c r="O717" s="42">
        <v>16612</v>
      </c>
      <c r="P717" s="42">
        <v>96275</v>
      </c>
      <c r="Q717" s="42">
        <v>258310</v>
      </c>
      <c r="R717" s="42">
        <v>2198122</v>
      </c>
      <c r="S717" s="43">
        <v>71484</v>
      </c>
      <c r="T717" s="42">
        <v>514296</v>
      </c>
    </row>
    <row r="718" spans="1:20" x14ac:dyDescent="0.3">
      <c r="A718" s="7">
        <v>45114</v>
      </c>
      <c r="B718" s="43"/>
      <c r="C718" s="6">
        <v>150459</v>
      </c>
      <c r="D718" s="6">
        <v>224173</v>
      </c>
      <c r="E718" s="6">
        <v>142266</v>
      </c>
      <c r="F718" s="13">
        <v>724176</v>
      </c>
      <c r="G718" s="6">
        <v>258174</v>
      </c>
      <c r="H718" s="6">
        <v>36114</v>
      </c>
      <c r="I718" s="6">
        <v>41701</v>
      </c>
      <c r="J718" s="6">
        <v>194781</v>
      </c>
      <c r="K718" s="6">
        <v>463111</v>
      </c>
      <c r="L718" s="6">
        <v>119738</v>
      </c>
      <c r="M718" s="6">
        <v>1797824</v>
      </c>
      <c r="N718" s="42">
        <v>1245732</v>
      </c>
      <c r="O718" s="42">
        <v>16043</v>
      </c>
      <c r="P718" s="42">
        <v>97499</v>
      </c>
      <c r="Q718" s="42">
        <v>252395</v>
      </c>
      <c r="R718" s="42">
        <v>2194390</v>
      </c>
      <c r="S718" s="43">
        <v>80782</v>
      </c>
      <c r="T718" s="42">
        <v>512838</v>
      </c>
    </row>
    <row r="719" spans="1:20" x14ac:dyDescent="0.3">
      <c r="A719" s="7">
        <v>45113</v>
      </c>
      <c r="B719" s="43"/>
      <c r="C719" s="6">
        <v>159634</v>
      </c>
      <c r="D719" s="6">
        <v>225300</v>
      </c>
      <c r="E719" s="6">
        <v>151544</v>
      </c>
      <c r="F719" s="13">
        <v>717644</v>
      </c>
      <c r="G719" s="6">
        <v>271233</v>
      </c>
      <c r="H719" s="6">
        <v>34395</v>
      </c>
      <c r="I719" s="6">
        <v>42847</v>
      </c>
      <c r="J719" s="6">
        <v>194117</v>
      </c>
      <c r="K719" s="6">
        <v>461175</v>
      </c>
      <c r="L719" s="6">
        <v>118845</v>
      </c>
      <c r="M719" s="6">
        <v>1808544</v>
      </c>
      <c r="N719" s="42">
        <v>1241020</v>
      </c>
      <c r="O719" s="42">
        <v>15893</v>
      </c>
      <c r="P719" s="42">
        <v>98007</v>
      </c>
      <c r="Q719" s="42">
        <v>257260</v>
      </c>
      <c r="R719" s="42">
        <v>2215386</v>
      </c>
      <c r="S719" s="43">
        <v>81782</v>
      </c>
      <c r="T719" s="42">
        <v>520296</v>
      </c>
    </row>
    <row r="720" spans="1:20" x14ac:dyDescent="0.3">
      <c r="A720" s="7">
        <v>45112</v>
      </c>
      <c r="B720" s="43"/>
      <c r="C720" s="6">
        <v>155609</v>
      </c>
      <c r="D720" s="6">
        <v>222494</v>
      </c>
      <c r="E720" s="6">
        <v>155065</v>
      </c>
      <c r="F720" s="13">
        <v>715986</v>
      </c>
      <c r="G720" s="6">
        <v>267000</v>
      </c>
      <c r="H720" s="6">
        <v>34367</v>
      </c>
      <c r="I720" s="6">
        <v>41206</v>
      </c>
      <c r="J720" s="6">
        <v>190555</v>
      </c>
      <c r="K720" s="6">
        <v>452654</v>
      </c>
      <c r="L720" s="6">
        <v>117386</v>
      </c>
      <c r="M720" s="6">
        <v>1820921</v>
      </c>
      <c r="N720" s="42">
        <v>1241845</v>
      </c>
      <c r="O720" s="42">
        <v>16339</v>
      </c>
      <c r="P720" s="42">
        <v>94798</v>
      </c>
      <c r="Q720" s="42">
        <v>252405</v>
      </c>
      <c r="R720" s="42">
        <v>2223127</v>
      </c>
      <c r="S720" s="43">
        <v>73527</v>
      </c>
      <c r="T720" s="42">
        <v>520720</v>
      </c>
    </row>
    <row r="721" spans="1:20" x14ac:dyDescent="0.3">
      <c r="A721" s="7">
        <v>45110</v>
      </c>
      <c r="B721" s="43"/>
      <c r="C721" s="6">
        <v>153744</v>
      </c>
      <c r="D721" s="6">
        <v>221021</v>
      </c>
      <c r="E721" s="6">
        <v>156284</v>
      </c>
      <c r="F721" s="13">
        <v>725927</v>
      </c>
      <c r="G721" s="6">
        <v>265066</v>
      </c>
      <c r="H721" s="6">
        <v>34392</v>
      </c>
      <c r="I721" s="6">
        <v>41258</v>
      </c>
      <c r="J721" s="6">
        <v>187371</v>
      </c>
      <c r="K721" s="6">
        <v>448063</v>
      </c>
      <c r="L721" s="6">
        <v>114421</v>
      </c>
      <c r="M721" s="6">
        <v>1816043</v>
      </c>
      <c r="N721" s="42">
        <v>1241419</v>
      </c>
      <c r="O721" s="42">
        <v>19098</v>
      </c>
      <c r="P721" s="42">
        <v>95161</v>
      </c>
      <c r="Q721" s="42">
        <v>248698</v>
      </c>
      <c r="R721" s="42">
        <v>2211004</v>
      </c>
      <c r="S721" s="43">
        <v>73682</v>
      </c>
      <c r="T721" s="42">
        <v>520213</v>
      </c>
    </row>
    <row r="722" spans="1:20" x14ac:dyDescent="0.3">
      <c r="A722" s="7">
        <v>45107</v>
      </c>
      <c r="B722" s="43"/>
      <c r="C722" s="6">
        <v>146712</v>
      </c>
      <c r="D722" s="6">
        <v>219979</v>
      </c>
      <c r="E722" s="6">
        <v>160537</v>
      </c>
      <c r="F722" s="13">
        <v>725122</v>
      </c>
      <c r="G722" s="6">
        <v>262146</v>
      </c>
      <c r="H722" s="6">
        <v>34456</v>
      </c>
      <c r="I722" s="6">
        <v>38163</v>
      </c>
      <c r="J722" s="6">
        <v>190619</v>
      </c>
      <c r="K722" s="6">
        <v>440991</v>
      </c>
      <c r="L722" s="6">
        <v>114102</v>
      </c>
      <c r="M722" s="6">
        <v>1822603</v>
      </c>
      <c r="N722" s="42">
        <v>1234829</v>
      </c>
      <c r="O722" s="42">
        <v>18264</v>
      </c>
      <c r="P722" s="42">
        <v>94731</v>
      </c>
      <c r="Q722" s="42">
        <v>249607</v>
      </c>
      <c r="R722" s="42">
        <v>2217777</v>
      </c>
      <c r="S722" s="43">
        <v>75444</v>
      </c>
      <c r="T722" s="42">
        <v>525465</v>
      </c>
    </row>
    <row r="723" spans="1:20" x14ac:dyDescent="0.3">
      <c r="A723" s="7">
        <v>45106</v>
      </c>
      <c r="B723" s="43"/>
      <c r="C723" s="6">
        <v>143149</v>
      </c>
      <c r="D723" s="6">
        <v>221263</v>
      </c>
      <c r="E723" s="6">
        <v>165810</v>
      </c>
      <c r="F723" s="13">
        <v>727868</v>
      </c>
      <c r="G723" s="6">
        <v>261333</v>
      </c>
      <c r="H723" s="6">
        <v>33964</v>
      </c>
      <c r="I723" s="6">
        <v>37669</v>
      </c>
      <c r="J723" s="6">
        <v>191447</v>
      </c>
      <c r="K723" s="6">
        <v>436825</v>
      </c>
      <c r="L723" s="6">
        <v>117327</v>
      </c>
      <c r="M723" s="6">
        <v>1838738</v>
      </c>
      <c r="N723" s="42">
        <v>1239972</v>
      </c>
      <c r="O723" s="42">
        <v>19285</v>
      </c>
      <c r="P723" s="42">
        <v>93510</v>
      </c>
      <c r="Q723" s="42">
        <v>251186</v>
      </c>
      <c r="R723" s="42">
        <v>2219236</v>
      </c>
      <c r="S723" s="43">
        <v>71209</v>
      </c>
      <c r="T723" s="42">
        <v>535888</v>
      </c>
    </row>
    <row r="724" spans="1:20" x14ac:dyDescent="0.3">
      <c r="A724" s="7">
        <v>45105</v>
      </c>
      <c r="B724" s="43"/>
      <c r="C724" s="6">
        <v>136265</v>
      </c>
      <c r="D724" s="6">
        <v>222927</v>
      </c>
      <c r="E724" s="6">
        <v>166613</v>
      </c>
      <c r="F724" s="13">
        <v>730636</v>
      </c>
      <c r="G724" s="6">
        <v>251431</v>
      </c>
      <c r="H724" s="6">
        <v>34866</v>
      </c>
      <c r="I724" s="6">
        <v>36998</v>
      </c>
      <c r="J724" s="6">
        <v>190912</v>
      </c>
      <c r="K724" s="6">
        <v>429456</v>
      </c>
      <c r="L724" s="6">
        <v>118899</v>
      </c>
      <c r="M724" s="6">
        <v>1853677</v>
      </c>
      <c r="N724" s="42">
        <v>1233659</v>
      </c>
      <c r="O724" s="42">
        <v>18050</v>
      </c>
      <c r="P724" s="42">
        <v>93427</v>
      </c>
      <c r="Q724" s="42">
        <v>252872</v>
      </c>
      <c r="R724" s="42">
        <v>2207302</v>
      </c>
      <c r="S724" s="43">
        <v>73126</v>
      </c>
      <c r="T724" s="42">
        <v>526171</v>
      </c>
    </row>
    <row r="725" spans="1:20" x14ac:dyDescent="0.3">
      <c r="A725" s="7">
        <v>45104</v>
      </c>
      <c r="B725" s="43"/>
      <c r="C725" s="6">
        <v>161257</v>
      </c>
      <c r="D725" s="6">
        <v>229970</v>
      </c>
      <c r="E725" s="6">
        <v>167798</v>
      </c>
      <c r="F725" s="13">
        <v>732123</v>
      </c>
      <c r="G725" s="6">
        <v>251524</v>
      </c>
      <c r="H725" s="6">
        <v>34362</v>
      </c>
      <c r="I725" s="6">
        <v>37379</v>
      </c>
      <c r="J725" s="6">
        <v>194048</v>
      </c>
      <c r="K725" s="6">
        <v>431861</v>
      </c>
      <c r="L725" s="6">
        <v>123491</v>
      </c>
      <c r="M725" s="6">
        <v>1865745</v>
      </c>
      <c r="N725" s="42">
        <v>1232011</v>
      </c>
      <c r="O725" s="42">
        <v>18829</v>
      </c>
      <c r="P725" s="42">
        <v>92561</v>
      </c>
      <c r="Q725" s="42">
        <v>256666</v>
      </c>
      <c r="R725" s="42">
        <v>2187114</v>
      </c>
      <c r="S725" s="43">
        <v>74675</v>
      </c>
      <c r="T725" s="42">
        <v>531005</v>
      </c>
    </row>
    <row r="726" spans="1:20" x14ac:dyDescent="0.3">
      <c r="A726" s="7">
        <v>45103</v>
      </c>
      <c r="B726" s="43"/>
      <c r="C726" s="6">
        <v>140900</v>
      </c>
      <c r="D726" s="6">
        <v>229191</v>
      </c>
      <c r="E726" s="6">
        <v>161257</v>
      </c>
      <c r="F726" s="13">
        <v>730187</v>
      </c>
      <c r="G726" s="6">
        <v>245789</v>
      </c>
      <c r="H726" s="6">
        <v>34457</v>
      </c>
      <c r="I726" s="6">
        <v>37469</v>
      </c>
      <c r="J726" s="6">
        <v>197393</v>
      </c>
      <c r="K726" s="6">
        <v>435489</v>
      </c>
      <c r="L726" s="6">
        <v>134156</v>
      </c>
      <c r="M726" s="6">
        <v>1866900</v>
      </c>
      <c r="N726" s="42">
        <v>1262524</v>
      </c>
      <c r="O726" s="42">
        <v>18297</v>
      </c>
      <c r="P726" s="42">
        <v>95424</v>
      </c>
      <c r="Q726" s="42">
        <v>249344</v>
      </c>
      <c r="R726" s="42">
        <v>2193053</v>
      </c>
      <c r="S726" s="43">
        <v>76147</v>
      </c>
      <c r="T726" s="42">
        <v>530683</v>
      </c>
    </row>
    <row r="727" spans="1:20" x14ac:dyDescent="0.3">
      <c r="A727" s="7">
        <v>45100</v>
      </c>
      <c r="B727" s="43"/>
      <c r="C727" s="6">
        <v>142192</v>
      </c>
      <c r="D727" s="6">
        <v>227822</v>
      </c>
      <c r="E727" s="6">
        <v>156053</v>
      </c>
      <c r="F727" s="13">
        <v>737017</v>
      </c>
      <c r="G727" s="6">
        <v>244792</v>
      </c>
      <c r="H727" s="6">
        <v>33712</v>
      </c>
      <c r="I727" s="6">
        <v>36878</v>
      </c>
      <c r="J727" s="6">
        <v>198646</v>
      </c>
      <c r="K727" s="6">
        <v>435992</v>
      </c>
      <c r="L727" s="6">
        <v>141648</v>
      </c>
      <c r="M727" s="6">
        <v>1860847</v>
      </c>
      <c r="N727" s="42">
        <v>1267013</v>
      </c>
      <c r="O727" s="42">
        <v>18717</v>
      </c>
      <c r="P727" s="42">
        <v>94725</v>
      </c>
      <c r="Q727" s="42">
        <v>253201</v>
      </c>
      <c r="R727" s="42">
        <v>2206706</v>
      </c>
      <c r="S727" s="43">
        <v>79726</v>
      </c>
      <c r="T727" s="42">
        <v>648305</v>
      </c>
    </row>
    <row r="728" spans="1:20" x14ac:dyDescent="0.3">
      <c r="A728" s="7">
        <v>45099</v>
      </c>
      <c r="B728" s="43"/>
      <c r="C728" s="6">
        <v>145223</v>
      </c>
      <c r="D728" s="6">
        <v>229605</v>
      </c>
      <c r="E728" s="6">
        <v>152163</v>
      </c>
      <c r="F728" s="13">
        <v>742083</v>
      </c>
      <c r="G728" s="6">
        <v>244996</v>
      </c>
      <c r="H728" s="6">
        <v>32898</v>
      </c>
      <c r="I728" s="6">
        <v>37571</v>
      </c>
      <c r="J728" s="6">
        <v>203606</v>
      </c>
      <c r="K728" s="6">
        <v>438047</v>
      </c>
      <c r="L728" s="6">
        <v>145054</v>
      </c>
      <c r="M728" s="6">
        <v>1864702</v>
      </c>
      <c r="N728" s="42">
        <v>1273473</v>
      </c>
      <c r="O728" s="42">
        <v>17651</v>
      </c>
      <c r="P728" s="42">
        <v>92240</v>
      </c>
      <c r="Q728" s="42">
        <v>250640</v>
      </c>
      <c r="R728" s="42">
        <v>2209954</v>
      </c>
      <c r="S728" s="43">
        <v>78577</v>
      </c>
      <c r="T728" s="42">
        <v>661112</v>
      </c>
    </row>
    <row r="729" spans="1:20" x14ac:dyDescent="0.3">
      <c r="A729" s="7">
        <v>45098</v>
      </c>
      <c r="B729" s="43"/>
      <c r="C729" s="6">
        <v>146258</v>
      </c>
      <c r="D729" s="6">
        <v>230074</v>
      </c>
      <c r="E729" s="6">
        <v>144050</v>
      </c>
      <c r="F729" s="13">
        <v>737292</v>
      </c>
      <c r="G729" s="6">
        <v>240061</v>
      </c>
      <c r="H729" s="6">
        <v>32273</v>
      </c>
      <c r="I729" s="6">
        <v>36811</v>
      </c>
      <c r="J729" s="6">
        <v>205103</v>
      </c>
      <c r="K729" s="6">
        <v>436676</v>
      </c>
      <c r="L729" s="6">
        <v>148416</v>
      </c>
      <c r="M729" s="6">
        <v>1851493</v>
      </c>
      <c r="N729" s="42">
        <v>1294011</v>
      </c>
      <c r="O729" s="42">
        <v>16689</v>
      </c>
      <c r="P729" s="42">
        <v>90172</v>
      </c>
      <c r="Q729" s="42">
        <v>250298</v>
      </c>
      <c r="R729" s="42">
        <v>2222576</v>
      </c>
      <c r="S729" s="43">
        <v>74878</v>
      </c>
      <c r="T729" s="42">
        <v>661616</v>
      </c>
    </row>
    <row r="730" spans="1:20" x14ac:dyDescent="0.3">
      <c r="A730" s="7">
        <v>45097</v>
      </c>
      <c r="B730" s="43"/>
      <c r="C730" s="6">
        <v>170539</v>
      </c>
      <c r="D730" s="6">
        <v>308755</v>
      </c>
      <c r="E730" s="6">
        <v>184106</v>
      </c>
      <c r="F730" s="13">
        <v>861528</v>
      </c>
      <c r="G730" s="6">
        <v>293986</v>
      </c>
      <c r="H730" s="6">
        <v>41385</v>
      </c>
      <c r="I730" s="6">
        <v>43203</v>
      </c>
      <c r="J730" s="6">
        <v>204399</v>
      </c>
      <c r="K730" s="6">
        <v>438037</v>
      </c>
      <c r="L730" s="6">
        <v>152633</v>
      </c>
      <c r="M730" s="6">
        <v>1846816</v>
      </c>
      <c r="N730" s="42">
        <v>1303558</v>
      </c>
      <c r="O730" s="42">
        <v>15687</v>
      </c>
      <c r="P730" s="42">
        <v>87911</v>
      </c>
      <c r="Q730" s="42">
        <v>247640</v>
      </c>
      <c r="R730" s="42">
        <v>2224431</v>
      </c>
      <c r="S730" s="43">
        <v>75431</v>
      </c>
      <c r="T730" s="42">
        <v>653558</v>
      </c>
    </row>
    <row r="731" spans="1:20" x14ac:dyDescent="0.3">
      <c r="A731" s="7">
        <v>45093</v>
      </c>
      <c r="B731" s="43"/>
      <c r="C731" s="6">
        <v>170418</v>
      </c>
      <c r="D731" s="6">
        <v>302114</v>
      </c>
      <c r="E731" s="6">
        <v>175941</v>
      </c>
      <c r="F731" s="13">
        <v>856391</v>
      </c>
      <c r="G731" s="6">
        <v>297078</v>
      </c>
      <c r="H731" s="6">
        <v>41139</v>
      </c>
      <c r="I731" s="6">
        <v>42162</v>
      </c>
      <c r="J731" s="6">
        <v>206071</v>
      </c>
      <c r="K731" s="6">
        <v>432037</v>
      </c>
      <c r="L731" s="6">
        <v>151591</v>
      </c>
      <c r="M731" s="6">
        <v>1830050</v>
      </c>
      <c r="N731" s="42">
        <v>1314184</v>
      </c>
      <c r="O731" s="42">
        <v>13404</v>
      </c>
      <c r="P731" s="42">
        <v>106004</v>
      </c>
      <c r="Q731" s="42">
        <v>332221</v>
      </c>
      <c r="R731" s="42">
        <v>2846557</v>
      </c>
      <c r="S731" s="43">
        <v>77269</v>
      </c>
      <c r="T731" s="42">
        <v>613598</v>
      </c>
    </row>
    <row r="732" spans="1:20" x14ac:dyDescent="0.3">
      <c r="A732" s="7">
        <v>45092</v>
      </c>
      <c r="B732" s="43"/>
      <c r="C732" s="6">
        <v>172537</v>
      </c>
      <c r="D732" s="6">
        <v>295603</v>
      </c>
      <c r="E732" s="6">
        <v>173444</v>
      </c>
      <c r="F732" s="13">
        <v>855805</v>
      </c>
      <c r="G732" s="6">
        <v>289220</v>
      </c>
      <c r="H732" s="6">
        <v>42088</v>
      </c>
      <c r="I732" s="6">
        <v>42402</v>
      </c>
      <c r="J732" s="6">
        <v>206956</v>
      </c>
      <c r="K732" s="6">
        <v>431912</v>
      </c>
      <c r="L732" s="6">
        <v>153100</v>
      </c>
      <c r="M732" s="6">
        <v>1853308</v>
      </c>
      <c r="N732" s="42">
        <v>1329184</v>
      </c>
      <c r="O732" s="42">
        <v>13448</v>
      </c>
      <c r="P732" s="42">
        <v>105257</v>
      </c>
      <c r="Q732" s="42">
        <v>333425</v>
      </c>
      <c r="R732" s="42">
        <v>2890134</v>
      </c>
      <c r="S732" s="43">
        <v>69311</v>
      </c>
      <c r="T732" s="42">
        <v>547784</v>
      </c>
    </row>
    <row r="733" spans="1:20" x14ac:dyDescent="0.3">
      <c r="A733" s="7">
        <v>45091</v>
      </c>
      <c r="B733" s="43"/>
      <c r="C733" s="6">
        <v>181908</v>
      </c>
      <c r="D733" s="6">
        <v>286862</v>
      </c>
      <c r="E733" s="6">
        <v>165189</v>
      </c>
      <c r="F733" s="13">
        <v>844267</v>
      </c>
      <c r="G733" s="6">
        <v>286285</v>
      </c>
      <c r="H733" s="6">
        <v>43833</v>
      </c>
      <c r="I733" s="6">
        <v>45461</v>
      </c>
      <c r="J733" s="6">
        <v>207381</v>
      </c>
      <c r="K733" s="6">
        <v>430387</v>
      </c>
      <c r="L733" s="6">
        <v>151834</v>
      </c>
      <c r="M733" s="6">
        <v>1862477</v>
      </c>
      <c r="N733" s="42">
        <v>1332852</v>
      </c>
      <c r="O733" s="42">
        <v>13088</v>
      </c>
      <c r="P733" s="42">
        <v>105785</v>
      </c>
      <c r="Q733" s="42">
        <v>335680</v>
      </c>
      <c r="R733" s="42">
        <v>2924249</v>
      </c>
      <c r="S733" s="43">
        <v>59580</v>
      </c>
      <c r="T733" s="42">
        <v>528056</v>
      </c>
    </row>
    <row r="734" spans="1:20" x14ac:dyDescent="0.3">
      <c r="A734" s="7">
        <v>45090</v>
      </c>
      <c r="B734" s="43"/>
      <c r="C734" s="6">
        <v>182562</v>
      </c>
      <c r="D734" s="6">
        <v>290350</v>
      </c>
      <c r="E734" s="6">
        <v>167232</v>
      </c>
      <c r="F734" s="13">
        <v>818294</v>
      </c>
      <c r="G734" s="6">
        <v>252566</v>
      </c>
      <c r="H734" s="6">
        <v>46496</v>
      </c>
      <c r="I734" s="6">
        <v>48163</v>
      </c>
      <c r="J734" s="6">
        <v>211957</v>
      </c>
      <c r="K734" s="6">
        <v>432898</v>
      </c>
      <c r="L734" s="6">
        <v>153853</v>
      </c>
      <c r="M734" s="6">
        <v>1886782</v>
      </c>
      <c r="N734" s="42">
        <v>1342162</v>
      </c>
      <c r="O734" s="42">
        <v>13251</v>
      </c>
      <c r="P734" s="42">
        <v>103298</v>
      </c>
      <c r="Q734" s="42">
        <v>322087</v>
      </c>
      <c r="R734" s="42">
        <v>2907468</v>
      </c>
      <c r="S734" s="43">
        <v>71405</v>
      </c>
      <c r="T734" s="42">
        <v>531354</v>
      </c>
    </row>
    <row r="735" spans="1:20" x14ac:dyDescent="0.3">
      <c r="A735" s="7">
        <v>45089</v>
      </c>
      <c r="B735" s="43"/>
      <c r="C735" s="6">
        <v>185617</v>
      </c>
      <c r="D735" s="6">
        <v>254073</v>
      </c>
      <c r="E735" s="6">
        <v>162052</v>
      </c>
      <c r="F735" s="13">
        <v>793759</v>
      </c>
      <c r="G735" s="6">
        <v>251217</v>
      </c>
      <c r="H735" s="6">
        <v>42092</v>
      </c>
      <c r="I735" s="6">
        <v>45569</v>
      </c>
      <c r="J735" s="6">
        <v>218576</v>
      </c>
      <c r="K735" s="6">
        <v>432912</v>
      </c>
      <c r="L735" s="6">
        <v>149471</v>
      </c>
      <c r="M735" s="6">
        <v>1907708</v>
      </c>
      <c r="N735" s="42">
        <v>1341363</v>
      </c>
      <c r="O735" s="42">
        <v>13269</v>
      </c>
      <c r="P735" s="42">
        <v>100543</v>
      </c>
      <c r="Q735" s="42">
        <v>306716</v>
      </c>
      <c r="R735" s="42">
        <v>2766399</v>
      </c>
      <c r="S735" s="43">
        <v>77924</v>
      </c>
      <c r="T735" s="42">
        <v>525412</v>
      </c>
    </row>
    <row r="736" spans="1:20" x14ac:dyDescent="0.3">
      <c r="A736" s="7">
        <v>45086</v>
      </c>
      <c r="B736" s="43"/>
      <c r="C736" s="6">
        <v>195889</v>
      </c>
      <c r="D736" s="6">
        <v>249491</v>
      </c>
      <c r="E736" s="6">
        <v>164373</v>
      </c>
      <c r="F736" s="13">
        <v>778368</v>
      </c>
      <c r="G736" s="6">
        <v>248831</v>
      </c>
      <c r="H736" s="6">
        <v>39614</v>
      </c>
      <c r="I736" s="6">
        <v>44057</v>
      </c>
      <c r="J736" s="6">
        <v>223669</v>
      </c>
      <c r="K736" s="6">
        <v>435598</v>
      </c>
      <c r="L736" s="6">
        <v>145963</v>
      </c>
      <c r="M736" s="6">
        <v>1897548</v>
      </c>
      <c r="N736" s="42">
        <v>1349624</v>
      </c>
      <c r="O736" s="42">
        <v>13278</v>
      </c>
      <c r="P736" s="42">
        <v>95802</v>
      </c>
      <c r="Q736" s="42">
        <v>290526</v>
      </c>
      <c r="R736" s="42">
        <v>2642614</v>
      </c>
      <c r="S736" s="43">
        <v>72098</v>
      </c>
      <c r="T736" s="42">
        <v>524194</v>
      </c>
    </row>
    <row r="737" spans="1:20" x14ac:dyDescent="0.3">
      <c r="A737" s="7">
        <v>45085</v>
      </c>
      <c r="B737" s="43"/>
      <c r="C737" s="6">
        <v>196347</v>
      </c>
      <c r="D737" s="6">
        <v>249618</v>
      </c>
      <c r="E737" s="6">
        <v>164019</v>
      </c>
      <c r="F737" s="13">
        <v>782342</v>
      </c>
      <c r="G737" s="6">
        <v>257292</v>
      </c>
      <c r="H737" s="6">
        <v>41399</v>
      </c>
      <c r="I737" s="6">
        <v>46595</v>
      </c>
      <c r="J737" s="6">
        <v>227728</v>
      </c>
      <c r="K737" s="6">
        <v>436592</v>
      </c>
      <c r="L737" s="6">
        <v>143353</v>
      </c>
      <c r="M737" s="6">
        <v>1920038</v>
      </c>
      <c r="N737" s="42">
        <v>1349870</v>
      </c>
      <c r="O737" s="42">
        <v>13444</v>
      </c>
      <c r="P737" s="42">
        <v>96537</v>
      </c>
      <c r="Q737" s="42">
        <v>296021</v>
      </c>
      <c r="R737" s="42">
        <v>2544324</v>
      </c>
      <c r="S737" s="43">
        <v>72010</v>
      </c>
      <c r="T737" s="42">
        <v>523422</v>
      </c>
    </row>
    <row r="738" spans="1:20" x14ac:dyDescent="0.3">
      <c r="A738" s="7">
        <v>45084</v>
      </c>
      <c r="B738" s="43"/>
      <c r="C738" s="6">
        <v>200341</v>
      </c>
      <c r="D738" s="6">
        <v>241935</v>
      </c>
      <c r="E738" s="6">
        <v>164457</v>
      </c>
      <c r="F738" s="13">
        <v>780051</v>
      </c>
      <c r="G738" s="6">
        <v>263994</v>
      </c>
      <c r="H738" s="6">
        <v>42611</v>
      </c>
      <c r="I738" s="6">
        <v>45381</v>
      </c>
      <c r="J738" s="6">
        <v>228094</v>
      </c>
      <c r="K738" s="6">
        <v>435775</v>
      </c>
      <c r="L738" s="6">
        <v>139250</v>
      </c>
      <c r="M738" s="6">
        <v>1936376</v>
      </c>
      <c r="N738" s="42">
        <v>1371196</v>
      </c>
      <c r="O738" s="42">
        <v>13139</v>
      </c>
      <c r="P738" s="42">
        <v>99684</v>
      </c>
      <c r="Q738" s="42">
        <v>293542</v>
      </c>
      <c r="R738" s="42">
        <v>2507877</v>
      </c>
      <c r="S738" s="43">
        <v>75186</v>
      </c>
      <c r="T738" s="42">
        <v>533216</v>
      </c>
    </row>
    <row r="739" spans="1:20" x14ac:dyDescent="0.3">
      <c r="A739" s="7">
        <v>45083</v>
      </c>
      <c r="B739" s="43"/>
      <c r="C739" s="6">
        <v>209680</v>
      </c>
      <c r="D739" s="6">
        <v>242117</v>
      </c>
      <c r="E739" s="6">
        <v>168025</v>
      </c>
      <c r="F739" s="13">
        <v>781967</v>
      </c>
      <c r="G739" s="6">
        <v>245332</v>
      </c>
      <c r="H739" s="6">
        <v>41665</v>
      </c>
      <c r="I739" s="6">
        <v>44087</v>
      </c>
      <c r="J739" s="6">
        <v>229756</v>
      </c>
      <c r="K739" s="6">
        <v>436301</v>
      </c>
      <c r="L739" s="6">
        <v>137871</v>
      </c>
      <c r="M739" s="6">
        <v>1951628</v>
      </c>
      <c r="N739" s="42">
        <v>1389864</v>
      </c>
      <c r="O739" s="42">
        <v>13026</v>
      </c>
      <c r="P739" s="42">
        <v>100587</v>
      </c>
      <c r="Q739" s="42">
        <v>306736</v>
      </c>
      <c r="R739" s="42">
        <v>2500232</v>
      </c>
      <c r="S739" s="43">
        <v>73723</v>
      </c>
      <c r="T739" s="42">
        <v>535220</v>
      </c>
    </row>
    <row r="740" spans="1:20" x14ac:dyDescent="0.3">
      <c r="A740" s="7">
        <v>45082</v>
      </c>
      <c r="B740" s="43"/>
      <c r="C740" s="6">
        <v>200242</v>
      </c>
      <c r="D740" s="6">
        <v>235531</v>
      </c>
      <c r="E740" s="6">
        <v>169701</v>
      </c>
      <c r="F740" s="13">
        <v>774817</v>
      </c>
      <c r="G740" s="6">
        <v>242690</v>
      </c>
      <c r="H740" s="6">
        <v>41760</v>
      </c>
      <c r="I740" s="6">
        <v>42579</v>
      </c>
      <c r="J740" s="6">
        <v>227276</v>
      </c>
      <c r="K740" s="6">
        <v>434223</v>
      </c>
      <c r="L740" s="6">
        <v>135245</v>
      </c>
      <c r="M740" s="6">
        <v>1937979</v>
      </c>
      <c r="N740" s="42">
        <v>1388415</v>
      </c>
      <c r="O740" s="42">
        <v>13763</v>
      </c>
      <c r="P740" s="42">
        <v>99155</v>
      </c>
      <c r="Q740" s="42">
        <v>304153</v>
      </c>
      <c r="R740" s="42">
        <v>2498625</v>
      </c>
      <c r="S740" s="43">
        <v>78682</v>
      </c>
      <c r="T740" s="42">
        <v>524042</v>
      </c>
    </row>
    <row r="741" spans="1:20" x14ac:dyDescent="0.3">
      <c r="A741" s="7">
        <v>45079</v>
      </c>
      <c r="B741" s="43"/>
      <c r="C741" s="6">
        <v>204637</v>
      </c>
      <c r="D741" s="6">
        <v>238194</v>
      </c>
      <c r="E741" s="6">
        <v>172067</v>
      </c>
      <c r="F741" s="13">
        <v>775530</v>
      </c>
      <c r="G741" s="6">
        <v>248013</v>
      </c>
      <c r="H741" s="6">
        <v>40883</v>
      </c>
      <c r="I741" s="6">
        <v>41892</v>
      </c>
      <c r="J741" s="6">
        <v>228044</v>
      </c>
      <c r="K741" s="6">
        <v>435965</v>
      </c>
      <c r="L741" s="6">
        <v>133806</v>
      </c>
      <c r="M741" s="6">
        <v>1928062</v>
      </c>
      <c r="N741" s="42">
        <v>1383700</v>
      </c>
      <c r="O741" s="42">
        <v>12189</v>
      </c>
      <c r="P741" s="42">
        <v>102453</v>
      </c>
      <c r="Q741" s="42">
        <v>297383</v>
      </c>
      <c r="R741" s="42">
        <v>2489291</v>
      </c>
      <c r="S741" s="43">
        <v>78941</v>
      </c>
      <c r="T741" s="42">
        <v>518764</v>
      </c>
    </row>
    <row r="742" spans="1:20" x14ac:dyDescent="0.3">
      <c r="A742" s="7">
        <v>45078</v>
      </c>
      <c r="B742" s="43"/>
      <c r="C742" s="6">
        <v>210222</v>
      </c>
      <c r="D742" s="6">
        <v>239370</v>
      </c>
      <c r="E742" s="6">
        <v>177597</v>
      </c>
      <c r="F742" s="13">
        <v>774208</v>
      </c>
      <c r="G742" s="6">
        <v>239569</v>
      </c>
      <c r="H742" s="6">
        <v>42054</v>
      </c>
      <c r="I742" s="6">
        <v>42877</v>
      </c>
      <c r="J742" s="6">
        <v>226000</v>
      </c>
      <c r="K742" s="6">
        <v>443362</v>
      </c>
      <c r="L742" s="6">
        <v>133796</v>
      </c>
      <c r="M742" s="6">
        <v>1923461</v>
      </c>
      <c r="N742" s="42">
        <v>1386983</v>
      </c>
      <c r="O742" s="42">
        <v>12324</v>
      </c>
      <c r="P742" s="42">
        <v>97122</v>
      </c>
      <c r="Q742" s="42">
        <v>297471</v>
      </c>
      <c r="R742" s="42">
        <v>2459295</v>
      </c>
      <c r="S742" s="43">
        <v>80560</v>
      </c>
      <c r="T742" s="42">
        <v>520209</v>
      </c>
    </row>
    <row r="743" spans="1:20" x14ac:dyDescent="0.3">
      <c r="A743" s="7">
        <v>45077</v>
      </c>
      <c r="B743" s="43"/>
      <c r="C743" s="6">
        <v>209578</v>
      </c>
      <c r="D743" s="6">
        <v>237248</v>
      </c>
      <c r="E743" s="6">
        <v>182549</v>
      </c>
      <c r="F743" s="13">
        <v>782170</v>
      </c>
      <c r="G743" s="6">
        <v>247641</v>
      </c>
      <c r="H743" s="6">
        <v>40399</v>
      </c>
      <c r="I743" s="6">
        <v>43630</v>
      </c>
      <c r="J743" s="6">
        <v>225332</v>
      </c>
      <c r="K743" s="6">
        <v>445179</v>
      </c>
      <c r="L743" s="6">
        <v>133598</v>
      </c>
      <c r="M743" s="6">
        <v>1922759</v>
      </c>
      <c r="N743" s="42">
        <v>1371662</v>
      </c>
      <c r="O743" s="42">
        <v>12289</v>
      </c>
      <c r="P743" s="42">
        <v>96614</v>
      </c>
      <c r="Q743" s="42">
        <v>299220</v>
      </c>
      <c r="R743" s="42">
        <v>2450957</v>
      </c>
      <c r="S743" s="43">
        <v>82908</v>
      </c>
      <c r="T743" s="42">
        <v>512571</v>
      </c>
    </row>
    <row r="744" spans="1:20" x14ac:dyDescent="0.3">
      <c r="A744" s="7">
        <v>45076</v>
      </c>
      <c r="B744" s="43"/>
      <c r="C744" s="6">
        <v>204963</v>
      </c>
      <c r="D744" s="6">
        <v>240301</v>
      </c>
      <c r="E744" s="6">
        <v>179871</v>
      </c>
      <c r="F744" s="13">
        <v>775142</v>
      </c>
      <c r="G744" s="6">
        <v>243237</v>
      </c>
      <c r="H744" s="6">
        <v>39507</v>
      </c>
      <c r="I744" s="6">
        <v>41354</v>
      </c>
      <c r="J744" s="6">
        <v>223185</v>
      </c>
      <c r="K744" s="6">
        <v>449515</v>
      </c>
      <c r="L744" s="6">
        <v>133619</v>
      </c>
      <c r="M744" s="6">
        <v>1920740</v>
      </c>
      <c r="N744" s="42">
        <v>1359496</v>
      </c>
      <c r="O744" s="42">
        <v>13116</v>
      </c>
      <c r="P744" s="42">
        <v>94921</v>
      </c>
      <c r="Q744" s="42">
        <v>298403</v>
      </c>
      <c r="R744" s="42">
        <v>2494943</v>
      </c>
      <c r="S744" s="43">
        <v>77051</v>
      </c>
      <c r="T744" s="42">
        <v>516279</v>
      </c>
    </row>
    <row r="745" spans="1:20" x14ac:dyDescent="0.3">
      <c r="A745" s="7">
        <v>45072</v>
      </c>
      <c r="B745" s="43"/>
      <c r="C745" s="6">
        <v>203252</v>
      </c>
      <c r="D745" s="6">
        <v>236015</v>
      </c>
      <c r="E745" s="6">
        <v>176207</v>
      </c>
      <c r="F745" s="13">
        <v>775500</v>
      </c>
      <c r="G745" s="6">
        <v>241603</v>
      </c>
      <c r="H745" s="6">
        <v>39906</v>
      </c>
      <c r="I745" s="6">
        <v>42021</v>
      </c>
      <c r="J745" s="6">
        <v>220192</v>
      </c>
      <c r="K745" s="6">
        <v>453348</v>
      </c>
      <c r="L745" s="6">
        <v>135152</v>
      </c>
      <c r="M745" s="6">
        <v>1900254</v>
      </c>
      <c r="N745" s="42">
        <v>1343053</v>
      </c>
      <c r="O745" s="42">
        <v>13155</v>
      </c>
      <c r="P745" s="42">
        <v>91849</v>
      </c>
      <c r="Q745" s="42">
        <v>291553</v>
      </c>
      <c r="R745" s="42">
        <v>2462164</v>
      </c>
      <c r="S745" s="43">
        <v>78994</v>
      </c>
      <c r="T745" s="42">
        <v>524311</v>
      </c>
    </row>
    <row r="746" spans="1:20" x14ac:dyDescent="0.3">
      <c r="A746" s="7">
        <v>45071</v>
      </c>
      <c r="B746" s="43"/>
      <c r="C746" s="6">
        <v>202330</v>
      </c>
      <c r="D746" s="6">
        <v>236842</v>
      </c>
      <c r="E746" s="6">
        <v>172765</v>
      </c>
      <c r="F746" s="13">
        <v>781728</v>
      </c>
      <c r="G746" s="6">
        <v>236050</v>
      </c>
      <c r="H746" s="6">
        <v>39585</v>
      </c>
      <c r="I746" s="6">
        <v>42171</v>
      </c>
      <c r="J746" s="6">
        <v>218760</v>
      </c>
      <c r="K746" s="6">
        <v>466116</v>
      </c>
      <c r="L746" s="6">
        <v>136177</v>
      </c>
      <c r="M746" s="6">
        <v>1903067</v>
      </c>
      <c r="N746" s="42">
        <v>1336278</v>
      </c>
      <c r="O746" s="42">
        <v>13670</v>
      </c>
      <c r="P746" s="42">
        <v>92398</v>
      </c>
      <c r="Q746" s="42">
        <v>281480</v>
      </c>
      <c r="R746" s="42">
        <v>2418846</v>
      </c>
      <c r="S746" s="43">
        <v>82440</v>
      </c>
      <c r="T746" s="42">
        <v>527468</v>
      </c>
    </row>
    <row r="747" spans="1:20" x14ac:dyDescent="0.3">
      <c r="A747" s="7">
        <v>45070</v>
      </c>
      <c r="B747" s="43"/>
      <c r="C747" s="6">
        <v>194837</v>
      </c>
      <c r="D747" s="6">
        <v>237444</v>
      </c>
      <c r="E747" s="6">
        <v>167481</v>
      </c>
      <c r="F747" s="13">
        <v>781762</v>
      </c>
      <c r="G747" s="6">
        <v>228421</v>
      </c>
      <c r="H747" s="6">
        <v>39047</v>
      </c>
      <c r="I747" s="6">
        <v>42599</v>
      </c>
      <c r="J747" s="6">
        <v>220972</v>
      </c>
      <c r="K747" s="6">
        <v>477002</v>
      </c>
      <c r="L747" s="6">
        <v>135658</v>
      </c>
      <c r="M747" s="6">
        <v>1865081</v>
      </c>
      <c r="N747" s="42">
        <v>1342400</v>
      </c>
      <c r="O747" s="42">
        <v>14800</v>
      </c>
      <c r="P747" s="42">
        <v>92382</v>
      </c>
      <c r="Q747" s="42">
        <v>277518</v>
      </c>
      <c r="R747" s="42">
        <v>2399697</v>
      </c>
      <c r="S747" s="43">
        <v>85120</v>
      </c>
      <c r="T747" s="42">
        <v>533535</v>
      </c>
    </row>
    <row r="748" spans="1:20" x14ac:dyDescent="0.3">
      <c r="A748" s="7">
        <v>45069</v>
      </c>
      <c r="B748" s="43"/>
      <c r="C748" s="6">
        <v>180138</v>
      </c>
      <c r="D748" s="6">
        <v>237614</v>
      </c>
      <c r="E748" s="6">
        <v>159199</v>
      </c>
      <c r="F748" s="13">
        <v>781123</v>
      </c>
      <c r="G748" s="6">
        <v>226400</v>
      </c>
      <c r="H748" s="6">
        <v>39011</v>
      </c>
      <c r="I748" s="6">
        <v>44808</v>
      </c>
      <c r="J748" s="6">
        <v>215394</v>
      </c>
      <c r="K748" s="6">
        <v>479080</v>
      </c>
      <c r="L748" s="6">
        <v>135740</v>
      </c>
      <c r="M748" s="6">
        <v>1847901</v>
      </c>
      <c r="N748" s="42">
        <v>1338868</v>
      </c>
      <c r="O748" s="42">
        <v>13043</v>
      </c>
      <c r="P748" s="42">
        <v>93883</v>
      </c>
      <c r="Q748" s="42">
        <v>275175</v>
      </c>
      <c r="R748" s="42">
        <v>2385936</v>
      </c>
      <c r="S748" s="43">
        <v>79583</v>
      </c>
      <c r="T748" s="42">
        <v>540077</v>
      </c>
    </row>
    <row r="749" spans="1:20" x14ac:dyDescent="0.3">
      <c r="A749" s="7">
        <v>45068</v>
      </c>
      <c r="B749" s="43"/>
      <c r="C749" s="6">
        <v>178286</v>
      </c>
      <c r="D749" s="6">
        <v>240321</v>
      </c>
      <c r="E749" s="6">
        <v>158368</v>
      </c>
      <c r="F749" s="13">
        <v>784187</v>
      </c>
      <c r="G749" s="6">
        <v>220224</v>
      </c>
      <c r="H749" s="6">
        <v>39351</v>
      </c>
      <c r="I749" s="6">
        <v>45179</v>
      </c>
      <c r="J749" s="6">
        <v>209864</v>
      </c>
      <c r="K749" s="6">
        <v>480505</v>
      </c>
      <c r="L749" s="6">
        <v>137678</v>
      </c>
      <c r="M749" s="6">
        <v>1838348</v>
      </c>
      <c r="N749" s="42">
        <v>1340489</v>
      </c>
      <c r="O749" s="42">
        <v>13228</v>
      </c>
      <c r="P749" s="42">
        <v>93808</v>
      </c>
      <c r="Q749" s="42">
        <v>278424</v>
      </c>
      <c r="R749" s="42">
        <v>2397941</v>
      </c>
      <c r="S749" s="43">
        <v>80783</v>
      </c>
      <c r="T749" s="42">
        <v>546521</v>
      </c>
    </row>
    <row r="750" spans="1:20" x14ac:dyDescent="0.3">
      <c r="A750" s="7">
        <v>45065</v>
      </c>
      <c r="B750" s="43"/>
      <c r="C750" s="6">
        <v>176500</v>
      </c>
      <c r="D750" s="6">
        <v>240132</v>
      </c>
      <c r="E750" s="6">
        <v>159482</v>
      </c>
      <c r="F750" s="13">
        <v>784714</v>
      </c>
      <c r="G750" s="6">
        <v>217447</v>
      </c>
      <c r="H750" s="6">
        <v>38157</v>
      </c>
      <c r="I750" s="6">
        <v>44344</v>
      </c>
      <c r="J750" s="6">
        <v>208674</v>
      </c>
      <c r="K750" s="6">
        <v>486697</v>
      </c>
      <c r="L750" s="6">
        <v>137716</v>
      </c>
      <c r="M750" s="6">
        <v>1827592</v>
      </c>
      <c r="N750" s="42">
        <v>1352442</v>
      </c>
      <c r="O750" s="42">
        <v>13274</v>
      </c>
      <c r="P750" s="42">
        <v>96830</v>
      </c>
      <c r="Q750" s="42">
        <v>275687</v>
      </c>
      <c r="R750" s="42">
        <v>2400077</v>
      </c>
      <c r="S750" s="43">
        <v>84991</v>
      </c>
      <c r="T750" s="42">
        <v>551437</v>
      </c>
    </row>
    <row r="751" spans="1:20" x14ac:dyDescent="0.3">
      <c r="A751" s="7">
        <v>45064</v>
      </c>
      <c r="B751" s="43"/>
      <c r="C751" s="6">
        <v>176599</v>
      </c>
      <c r="D751" s="6">
        <v>240251</v>
      </c>
      <c r="E751" s="6">
        <v>161422</v>
      </c>
      <c r="F751" s="13">
        <v>793546</v>
      </c>
      <c r="G751" s="6">
        <v>216809</v>
      </c>
      <c r="H751" s="6">
        <v>36740</v>
      </c>
      <c r="I751" s="6">
        <v>44042</v>
      </c>
      <c r="J751" s="6">
        <v>210807</v>
      </c>
      <c r="K751" s="6">
        <v>487911</v>
      </c>
      <c r="L751" s="6">
        <v>138674</v>
      </c>
      <c r="M751" s="6">
        <v>1842615</v>
      </c>
      <c r="N751" s="42">
        <v>1381763</v>
      </c>
      <c r="O751" s="42">
        <v>13690</v>
      </c>
      <c r="P751" s="42">
        <v>97591</v>
      </c>
      <c r="Q751" s="42">
        <v>283193</v>
      </c>
      <c r="R751" s="42">
        <v>2395377</v>
      </c>
      <c r="S751" s="43">
        <v>86359</v>
      </c>
      <c r="T751" s="42">
        <v>556261</v>
      </c>
    </row>
    <row r="752" spans="1:20" x14ac:dyDescent="0.3">
      <c r="A752" s="7">
        <v>45063</v>
      </c>
      <c r="B752" s="43"/>
      <c r="C752" s="6">
        <v>170937</v>
      </c>
      <c r="D752" s="6">
        <v>245277</v>
      </c>
      <c r="E752" s="6">
        <v>159976</v>
      </c>
      <c r="F752" s="13">
        <v>791963</v>
      </c>
      <c r="G752" s="6">
        <v>208176</v>
      </c>
      <c r="H752" s="6">
        <v>37067</v>
      </c>
      <c r="I752" s="6">
        <v>43891</v>
      </c>
      <c r="J752" s="6">
        <v>207293</v>
      </c>
      <c r="K752" s="6">
        <v>499256</v>
      </c>
      <c r="L752" s="6">
        <v>139304</v>
      </c>
      <c r="M752" s="6">
        <v>1834374</v>
      </c>
      <c r="N752" s="42">
        <v>1366060</v>
      </c>
      <c r="O752" s="42">
        <v>13228</v>
      </c>
      <c r="P752" s="42">
        <v>95319</v>
      </c>
      <c r="Q752" s="42">
        <v>280685</v>
      </c>
      <c r="R752" s="42">
        <v>2360500</v>
      </c>
      <c r="S752" s="43">
        <v>80949</v>
      </c>
      <c r="T752" s="42">
        <v>555550</v>
      </c>
    </row>
    <row r="753" spans="1:20" x14ac:dyDescent="0.3">
      <c r="A753" s="7">
        <v>45062</v>
      </c>
      <c r="B753" s="43"/>
      <c r="C753" s="6">
        <v>167579</v>
      </c>
      <c r="D753" s="6">
        <v>247712</v>
      </c>
      <c r="E753" s="6">
        <v>161195</v>
      </c>
      <c r="F753" s="13">
        <v>790094</v>
      </c>
      <c r="G753" s="6">
        <v>201153</v>
      </c>
      <c r="H753" s="6">
        <v>36187</v>
      </c>
      <c r="I753" s="6">
        <v>43681</v>
      </c>
      <c r="J753" s="6">
        <v>210415</v>
      </c>
      <c r="K753" s="6">
        <v>521832</v>
      </c>
      <c r="L753" s="6">
        <v>140139</v>
      </c>
      <c r="M753" s="6">
        <v>1856570</v>
      </c>
      <c r="N753" s="42">
        <v>1365954</v>
      </c>
      <c r="O753" s="42">
        <v>13043</v>
      </c>
      <c r="P753" s="42">
        <v>96208</v>
      </c>
      <c r="Q753" s="42">
        <v>273355</v>
      </c>
      <c r="R753" s="42">
        <v>2306298</v>
      </c>
      <c r="S753" s="43">
        <v>81032</v>
      </c>
      <c r="T753" s="42">
        <v>543833</v>
      </c>
    </row>
    <row r="754" spans="1:20" x14ac:dyDescent="0.3">
      <c r="A754" s="7">
        <v>45061</v>
      </c>
      <c r="B754" s="43"/>
      <c r="C754" s="6">
        <v>167556</v>
      </c>
      <c r="D754" s="6">
        <v>246405</v>
      </c>
      <c r="E754" s="6">
        <v>160947</v>
      </c>
      <c r="F754" s="13">
        <v>790890</v>
      </c>
      <c r="G754" s="6">
        <v>196522</v>
      </c>
      <c r="H754" s="6">
        <v>36917</v>
      </c>
      <c r="I754" s="6">
        <v>44108</v>
      </c>
      <c r="J754" s="6">
        <v>208212</v>
      </c>
      <c r="K754" s="6">
        <v>536021</v>
      </c>
      <c r="L754" s="6">
        <v>141131</v>
      </c>
      <c r="M754" s="6">
        <v>1864275</v>
      </c>
      <c r="N754" s="42">
        <v>1380111</v>
      </c>
      <c r="O754" s="42">
        <v>13140</v>
      </c>
      <c r="P754" s="42">
        <v>95463</v>
      </c>
      <c r="Q754" s="42">
        <v>267708</v>
      </c>
      <c r="R754" s="42">
        <v>2317662</v>
      </c>
      <c r="S754" s="43">
        <v>77182</v>
      </c>
      <c r="T754" s="42">
        <v>540460</v>
      </c>
    </row>
    <row r="755" spans="1:20" x14ac:dyDescent="0.3">
      <c r="A755" s="7">
        <v>45058</v>
      </c>
      <c r="B755" s="43"/>
      <c r="C755" s="6">
        <v>169795</v>
      </c>
      <c r="D755" s="6">
        <v>245924</v>
      </c>
      <c r="E755" s="6">
        <v>161138</v>
      </c>
      <c r="F755" s="13">
        <v>794473</v>
      </c>
      <c r="G755" s="6">
        <v>194863</v>
      </c>
      <c r="H755" s="6">
        <v>38883</v>
      </c>
      <c r="I755" s="6">
        <v>44303</v>
      </c>
      <c r="J755" s="6">
        <v>211704</v>
      </c>
      <c r="K755" s="6">
        <v>521605</v>
      </c>
      <c r="L755" s="6">
        <v>142934</v>
      </c>
      <c r="M755" s="6">
        <v>1868404</v>
      </c>
      <c r="N755" s="42">
        <v>1382068</v>
      </c>
      <c r="O755" s="42">
        <v>13470</v>
      </c>
      <c r="P755" s="42">
        <v>96836</v>
      </c>
      <c r="Q755" s="42">
        <v>259524</v>
      </c>
      <c r="R755" s="42">
        <v>2304479</v>
      </c>
      <c r="S755" s="43">
        <v>77903</v>
      </c>
      <c r="T755" s="42">
        <v>543655</v>
      </c>
    </row>
    <row r="756" spans="1:20" x14ac:dyDescent="0.3">
      <c r="A756" s="7">
        <v>45057</v>
      </c>
      <c r="B756" s="43"/>
      <c r="C756" s="6">
        <v>165208</v>
      </c>
      <c r="D756" s="6">
        <v>246528</v>
      </c>
      <c r="E756" s="6">
        <v>158403</v>
      </c>
      <c r="F756" s="13">
        <v>794145</v>
      </c>
      <c r="G756" s="6">
        <v>193168</v>
      </c>
      <c r="H756" s="6">
        <v>41375</v>
      </c>
      <c r="I756" s="6">
        <v>43824</v>
      </c>
      <c r="J756" s="6">
        <v>211583</v>
      </c>
      <c r="K756" s="6">
        <v>523752</v>
      </c>
      <c r="L756" s="6">
        <v>148225</v>
      </c>
      <c r="M756" s="6">
        <v>1878335</v>
      </c>
      <c r="N756" s="42">
        <v>1372006</v>
      </c>
      <c r="O756" s="42">
        <v>13577</v>
      </c>
      <c r="P756" s="42">
        <v>97349</v>
      </c>
      <c r="Q756" s="42">
        <v>259972</v>
      </c>
      <c r="R756" s="42">
        <v>2303430</v>
      </c>
      <c r="S756" s="43">
        <v>83642</v>
      </c>
      <c r="T756" s="42">
        <v>542868</v>
      </c>
    </row>
    <row r="757" spans="1:20" x14ac:dyDescent="0.3">
      <c r="A757" s="7">
        <v>45056</v>
      </c>
      <c r="B757" s="43"/>
      <c r="C757" s="6">
        <v>164618</v>
      </c>
      <c r="D757" s="6">
        <v>248859</v>
      </c>
      <c r="E757" s="6">
        <v>158801</v>
      </c>
      <c r="F757" s="13">
        <v>792933</v>
      </c>
      <c r="G757" s="6">
        <v>196029</v>
      </c>
      <c r="H757" s="6">
        <v>40913</v>
      </c>
      <c r="I757" s="6">
        <v>43884</v>
      </c>
      <c r="J757" s="6">
        <v>200164</v>
      </c>
      <c r="K757" s="6">
        <v>523668</v>
      </c>
      <c r="L757" s="6">
        <v>146796</v>
      </c>
      <c r="M757" s="6">
        <v>1881512</v>
      </c>
      <c r="N757" s="42">
        <v>1369021</v>
      </c>
      <c r="O757" s="42">
        <v>13249</v>
      </c>
      <c r="P757" s="42">
        <v>94295</v>
      </c>
      <c r="Q757" s="42">
        <v>259291</v>
      </c>
      <c r="R757" s="42">
        <v>2304584</v>
      </c>
      <c r="S757" s="43">
        <v>83352</v>
      </c>
      <c r="T757" s="42">
        <v>547487</v>
      </c>
    </row>
    <row r="758" spans="1:20" x14ac:dyDescent="0.3">
      <c r="A758" s="7">
        <v>45055</v>
      </c>
      <c r="B758" s="43"/>
      <c r="C758" s="6">
        <v>165532</v>
      </c>
      <c r="D758" s="6">
        <v>242576</v>
      </c>
      <c r="E758" s="6">
        <v>159364</v>
      </c>
      <c r="F758" s="13">
        <v>794721</v>
      </c>
      <c r="G758" s="6">
        <v>192574</v>
      </c>
      <c r="H758" s="6">
        <v>41583</v>
      </c>
      <c r="I758" s="6">
        <v>43389</v>
      </c>
      <c r="J758" s="6">
        <v>194243</v>
      </c>
      <c r="K758" s="6">
        <v>518951</v>
      </c>
      <c r="L758" s="6">
        <v>145445</v>
      </c>
      <c r="M758" s="6">
        <v>1885886</v>
      </c>
      <c r="N758" s="42">
        <v>1357306</v>
      </c>
      <c r="O758" s="42">
        <v>13102</v>
      </c>
      <c r="P758" s="42">
        <v>93824</v>
      </c>
      <c r="Q758" s="42">
        <v>255173</v>
      </c>
      <c r="R758" s="42">
        <v>2296259</v>
      </c>
      <c r="S758" s="43">
        <v>79422</v>
      </c>
      <c r="T758" s="42">
        <v>539273</v>
      </c>
    </row>
    <row r="759" spans="1:20" x14ac:dyDescent="0.3">
      <c r="A759" s="7">
        <v>45054</v>
      </c>
      <c r="B759" s="43"/>
      <c r="C759" s="6">
        <v>169044</v>
      </c>
      <c r="D759" s="6">
        <v>239642</v>
      </c>
      <c r="E759" s="6">
        <v>161085</v>
      </c>
      <c r="F759" s="13">
        <v>795573</v>
      </c>
      <c r="G759" s="6">
        <v>190368</v>
      </c>
      <c r="H759" s="6">
        <v>41058</v>
      </c>
      <c r="I759" s="6">
        <v>43371</v>
      </c>
      <c r="J759" s="6">
        <v>195096</v>
      </c>
      <c r="K759" s="6">
        <v>515785</v>
      </c>
      <c r="L759" s="6">
        <v>145787</v>
      </c>
      <c r="M759" s="6">
        <v>1880511</v>
      </c>
      <c r="N759" s="42">
        <v>1353365</v>
      </c>
      <c r="O759" s="42">
        <v>12999</v>
      </c>
      <c r="P759" s="42">
        <v>93864</v>
      </c>
      <c r="Q759" s="42">
        <v>261087</v>
      </c>
      <c r="R759" s="42">
        <v>2288481</v>
      </c>
      <c r="S759" s="43">
        <v>77035</v>
      </c>
      <c r="T759" s="42">
        <v>540747</v>
      </c>
    </row>
    <row r="760" spans="1:20" x14ac:dyDescent="0.3">
      <c r="A760" s="7">
        <v>45051</v>
      </c>
      <c r="B760" s="43"/>
      <c r="C760" s="6">
        <v>175470</v>
      </c>
      <c r="D760" s="6">
        <v>235299</v>
      </c>
      <c r="E760" s="6">
        <v>168877</v>
      </c>
      <c r="F760" s="13">
        <v>792061</v>
      </c>
      <c r="G760" s="6">
        <v>190317</v>
      </c>
      <c r="H760" s="6">
        <v>40712</v>
      </c>
      <c r="I760" s="6">
        <v>43114</v>
      </c>
      <c r="J760" s="6">
        <v>195770</v>
      </c>
      <c r="K760" s="6">
        <v>510576</v>
      </c>
      <c r="L760" s="6">
        <v>145543</v>
      </c>
      <c r="M760" s="6">
        <v>1885972</v>
      </c>
      <c r="N760" s="42">
        <v>1356201</v>
      </c>
      <c r="O760" s="42">
        <v>13234</v>
      </c>
      <c r="P760" s="42">
        <v>93367</v>
      </c>
      <c r="Q760" s="42">
        <v>265585</v>
      </c>
      <c r="R760" s="42">
        <v>2282542</v>
      </c>
      <c r="S760" s="43">
        <v>83118</v>
      </c>
      <c r="T760" s="42">
        <v>529443</v>
      </c>
    </row>
    <row r="761" spans="1:20" x14ac:dyDescent="0.3">
      <c r="A761" s="7">
        <v>45050</v>
      </c>
      <c r="B761" s="43"/>
      <c r="C761" s="6">
        <v>185138</v>
      </c>
      <c r="D761" s="6">
        <v>236066</v>
      </c>
      <c r="E761" s="6">
        <v>172056</v>
      </c>
      <c r="F761" s="13">
        <v>787618</v>
      </c>
      <c r="G761" s="6">
        <v>193524</v>
      </c>
      <c r="H761" s="6">
        <v>39589</v>
      </c>
      <c r="I761" s="6">
        <v>43667</v>
      </c>
      <c r="J761" s="6">
        <v>195592</v>
      </c>
      <c r="K761" s="6">
        <v>520664</v>
      </c>
      <c r="L761" s="6">
        <v>148139</v>
      </c>
      <c r="M761" s="6">
        <v>1881729</v>
      </c>
      <c r="N761" s="42">
        <v>1348616</v>
      </c>
      <c r="O761" s="42">
        <v>12446</v>
      </c>
      <c r="P761" s="42">
        <v>96261</v>
      </c>
      <c r="Q761" s="42">
        <v>250173</v>
      </c>
      <c r="R761" s="42">
        <v>2275889</v>
      </c>
      <c r="S761" s="43">
        <v>85607</v>
      </c>
      <c r="T761" s="42">
        <v>526993</v>
      </c>
    </row>
    <row r="762" spans="1:20" x14ac:dyDescent="0.3">
      <c r="A762" s="7">
        <v>45049</v>
      </c>
      <c r="B762" s="43"/>
      <c r="C762" s="6">
        <v>182562</v>
      </c>
      <c r="D762" s="6">
        <v>231934</v>
      </c>
      <c r="E762" s="6">
        <v>170797</v>
      </c>
      <c r="F762" s="13">
        <v>785431</v>
      </c>
      <c r="G762" s="6">
        <v>197695</v>
      </c>
      <c r="H762" s="6">
        <v>39271</v>
      </c>
      <c r="I762" s="6">
        <v>43704</v>
      </c>
      <c r="J762" s="6">
        <v>195983</v>
      </c>
      <c r="K762" s="6">
        <v>504204</v>
      </c>
      <c r="L762" s="6">
        <v>142490</v>
      </c>
      <c r="M762" s="6">
        <v>1881061</v>
      </c>
      <c r="N762" s="42">
        <v>1340919</v>
      </c>
      <c r="O762" s="42">
        <v>12328</v>
      </c>
      <c r="P762" s="42">
        <v>95537</v>
      </c>
      <c r="Q762" s="42">
        <v>248537</v>
      </c>
      <c r="R762" s="42">
        <v>2280556</v>
      </c>
      <c r="S762" s="43">
        <v>80096</v>
      </c>
      <c r="T762" s="42">
        <v>521937</v>
      </c>
    </row>
    <row r="763" spans="1:20" x14ac:dyDescent="0.3">
      <c r="A763" s="7">
        <v>45048</v>
      </c>
      <c r="B763" s="43"/>
      <c r="C763" s="6">
        <v>181229</v>
      </c>
      <c r="D763" s="6">
        <v>231602</v>
      </c>
      <c r="E763" s="6">
        <v>171054</v>
      </c>
      <c r="F763" s="13">
        <v>779458</v>
      </c>
      <c r="G763" s="6">
        <v>202996</v>
      </c>
      <c r="H763" s="6">
        <v>38910</v>
      </c>
      <c r="I763" s="6">
        <v>43251</v>
      </c>
      <c r="J763" s="6">
        <v>195462</v>
      </c>
      <c r="K763" s="6">
        <v>493804</v>
      </c>
      <c r="L763" s="6">
        <v>142538</v>
      </c>
      <c r="M763" s="6">
        <v>1908299</v>
      </c>
      <c r="N763" s="42">
        <v>1330247</v>
      </c>
      <c r="O763" s="42">
        <v>12521</v>
      </c>
      <c r="P763" s="42">
        <v>97094</v>
      </c>
      <c r="Q763" s="42">
        <v>246962</v>
      </c>
      <c r="R763" s="42">
        <v>2276183</v>
      </c>
      <c r="S763" s="43">
        <v>82619</v>
      </c>
      <c r="T763" s="42">
        <v>520838</v>
      </c>
    </row>
    <row r="764" spans="1:20" x14ac:dyDescent="0.3">
      <c r="A764" s="7">
        <v>45047</v>
      </c>
      <c r="B764" s="43"/>
      <c r="C764" s="6">
        <v>178011</v>
      </c>
      <c r="D764" s="6">
        <v>234853</v>
      </c>
      <c r="E764" s="6">
        <v>166497</v>
      </c>
      <c r="F764" s="13">
        <v>778774</v>
      </c>
      <c r="G764" s="6">
        <v>199229</v>
      </c>
      <c r="H764" s="6">
        <v>37605</v>
      </c>
      <c r="I764" s="6">
        <v>44107</v>
      </c>
      <c r="J764" s="6">
        <v>194111</v>
      </c>
      <c r="K764" s="6">
        <v>481534</v>
      </c>
      <c r="L764" s="6">
        <v>141795</v>
      </c>
      <c r="M764" s="6">
        <v>1886091</v>
      </c>
      <c r="N764" s="42">
        <v>1305380</v>
      </c>
      <c r="O764" s="42">
        <v>13409</v>
      </c>
      <c r="P764" s="42">
        <v>100103</v>
      </c>
      <c r="Q764" s="42">
        <v>258219</v>
      </c>
      <c r="R764" s="42">
        <v>2293807</v>
      </c>
      <c r="S764" s="3"/>
      <c r="T764" s="42">
        <v>514829</v>
      </c>
    </row>
    <row r="765" spans="1:20" x14ac:dyDescent="0.3">
      <c r="A765" s="7">
        <v>45044</v>
      </c>
      <c r="B765" s="43"/>
      <c r="C765" s="6">
        <v>183445</v>
      </c>
      <c r="D765" s="6">
        <v>241606</v>
      </c>
      <c r="E765" s="6">
        <v>165152</v>
      </c>
      <c r="F765" s="13">
        <v>778739</v>
      </c>
      <c r="G765" s="6">
        <v>198780</v>
      </c>
      <c r="H765" s="6">
        <v>37715</v>
      </c>
      <c r="I765" s="6">
        <v>43925</v>
      </c>
      <c r="J765" s="6">
        <v>196596</v>
      </c>
      <c r="K765" s="6">
        <v>475817</v>
      </c>
      <c r="L765" s="6">
        <v>140253</v>
      </c>
      <c r="M765" s="6">
        <v>1881769</v>
      </c>
      <c r="N765" s="42">
        <v>1303690</v>
      </c>
      <c r="O765" s="42">
        <v>13412</v>
      </c>
      <c r="P765" s="42">
        <v>98412</v>
      </c>
      <c r="Q765" s="42">
        <v>262074</v>
      </c>
      <c r="R765" s="42">
        <v>2308482</v>
      </c>
      <c r="S765" s="43">
        <v>83397</v>
      </c>
      <c r="T765" s="42">
        <v>504516</v>
      </c>
    </row>
    <row r="766" spans="1:20" x14ac:dyDescent="0.3">
      <c r="A766" s="7">
        <v>45043</v>
      </c>
      <c r="B766" s="43"/>
      <c r="C766" s="6">
        <v>183120</v>
      </c>
      <c r="D766" s="6">
        <v>234706</v>
      </c>
      <c r="E766" s="6">
        <v>163716</v>
      </c>
      <c r="F766" s="13">
        <v>779043</v>
      </c>
      <c r="G766" s="6">
        <v>187720</v>
      </c>
      <c r="H766" s="6">
        <v>37145</v>
      </c>
      <c r="I766" s="6">
        <v>42590</v>
      </c>
      <c r="J766" s="6">
        <v>198289</v>
      </c>
      <c r="K766" s="6">
        <v>475737</v>
      </c>
      <c r="L766" s="6">
        <v>140794</v>
      </c>
      <c r="M766" s="6">
        <v>1880445</v>
      </c>
      <c r="N766" s="42">
        <v>1294596</v>
      </c>
      <c r="O766" s="42">
        <v>13952</v>
      </c>
      <c r="P766" s="42">
        <v>97518</v>
      </c>
      <c r="Q766" s="42">
        <v>265466</v>
      </c>
      <c r="R766" s="42">
        <v>2276152</v>
      </c>
      <c r="S766" s="43">
        <v>79227</v>
      </c>
      <c r="T766" s="42">
        <v>503814</v>
      </c>
    </row>
    <row r="767" spans="1:20" x14ac:dyDescent="0.3">
      <c r="A767" s="7">
        <v>45042</v>
      </c>
      <c r="B767" s="43"/>
      <c r="C767" s="6">
        <v>184142</v>
      </c>
      <c r="D767" s="6">
        <v>233669</v>
      </c>
      <c r="E767" s="6">
        <v>156049</v>
      </c>
      <c r="F767" s="13">
        <v>778906</v>
      </c>
      <c r="G767" s="6">
        <v>183925</v>
      </c>
      <c r="H767" s="6">
        <v>37314</v>
      </c>
      <c r="I767" s="6">
        <v>43435</v>
      </c>
      <c r="J767" s="6">
        <v>200120</v>
      </c>
      <c r="K767" s="6">
        <v>479256</v>
      </c>
      <c r="L767" s="6">
        <v>143963</v>
      </c>
      <c r="M767" s="6">
        <v>1862150</v>
      </c>
      <c r="N767" s="42">
        <v>1293994</v>
      </c>
      <c r="O767" s="42">
        <v>13481</v>
      </c>
      <c r="P767" s="42">
        <v>98162</v>
      </c>
      <c r="Q767" s="42">
        <v>251964</v>
      </c>
      <c r="R767" s="42">
        <v>2264299</v>
      </c>
      <c r="S767" s="43">
        <v>83119</v>
      </c>
      <c r="T767" s="42">
        <v>506080</v>
      </c>
    </row>
    <row r="768" spans="1:20" x14ac:dyDescent="0.3">
      <c r="A768" s="7">
        <v>45041</v>
      </c>
      <c r="B768" s="43"/>
      <c r="C768" s="6">
        <v>178757</v>
      </c>
      <c r="D768" s="6">
        <v>231666</v>
      </c>
      <c r="E768" s="6">
        <v>151786</v>
      </c>
      <c r="F768" s="13">
        <v>772882</v>
      </c>
      <c r="G768" s="6">
        <v>184041</v>
      </c>
      <c r="H768" s="6">
        <v>36603</v>
      </c>
      <c r="I768" s="6">
        <v>41736</v>
      </c>
      <c r="J768" s="6">
        <v>202422</v>
      </c>
      <c r="K768" s="6">
        <v>473209</v>
      </c>
      <c r="L768" s="6">
        <v>149692</v>
      </c>
      <c r="M768" s="6">
        <v>1826195</v>
      </c>
      <c r="N768" s="42">
        <v>1274536</v>
      </c>
      <c r="O768" s="42">
        <v>14064</v>
      </c>
      <c r="P768" s="42">
        <v>99217</v>
      </c>
      <c r="Q768" s="42">
        <v>247654</v>
      </c>
      <c r="R768" s="42">
        <v>2265794</v>
      </c>
      <c r="S768" s="43">
        <v>79244</v>
      </c>
      <c r="T768" s="42">
        <v>502874</v>
      </c>
    </row>
    <row r="769" spans="1:20" x14ac:dyDescent="0.3">
      <c r="A769" s="7">
        <v>45040</v>
      </c>
      <c r="B769" s="43"/>
      <c r="C769" s="6">
        <v>170000</v>
      </c>
      <c r="D769" s="6">
        <v>233491</v>
      </c>
      <c r="E769" s="6">
        <v>145358</v>
      </c>
      <c r="F769" s="13">
        <v>776574</v>
      </c>
      <c r="G769" s="6">
        <v>181513</v>
      </c>
      <c r="H769" s="6">
        <v>36035</v>
      </c>
      <c r="I769" s="6">
        <v>41722</v>
      </c>
      <c r="J769" s="6">
        <v>203343</v>
      </c>
      <c r="K769" s="6">
        <v>473847</v>
      </c>
      <c r="L769" s="6">
        <v>156290</v>
      </c>
      <c r="M769" s="6">
        <v>1843366</v>
      </c>
      <c r="N769" s="42">
        <v>1282476</v>
      </c>
      <c r="O769" s="42">
        <v>14085</v>
      </c>
      <c r="P769" s="42">
        <v>96592</v>
      </c>
      <c r="Q769" s="42">
        <v>242851</v>
      </c>
      <c r="R769" s="42">
        <v>2262331</v>
      </c>
      <c r="S769" s="43">
        <v>75807</v>
      </c>
      <c r="T769" s="42">
        <v>503787</v>
      </c>
    </row>
    <row r="770" spans="1:20" x14ac:dyDescent="0.3">
      <c r="A770" s="7">
        <v>45037</v>
      </c>
      <c r="B770" s="43"/>
      <c r="C770" s="6">
        <v>169235</v>
      </c>
      <c r="D770" s="6">
        <v>230913</v>
      </c>
      <c r="E770" s="6">
        <v>144701</v>
      </c>
      <c r="F770" s="13">
        <v>770969</v>
      </c>
      <c r="G770" s="6">
        <v>182613</v>
      </c>
      <c r="H770" s="6">
        <v>35527</v>
      </c>
      <c r="I770" s="6">
        <v>41166</v>
      </c>
      <c r="J770" s="6">
        <v>200382</v>
      </c>
      <c r="K770" s="6">
        <v>473041</v>
      </c>
      <c r="L770" s="6">
        <v>157120</v>
      </c>
      <c r="M770" s="6">
        <v>1866376</v>
      </c>
      <c r="N770" s="42">
        <v>1284268</v>
      </c>
      <c r="O770" s="42">
        <v>14164</v>
      </c>
      <c r="P770" s="42">
        <v>96211</v>
      </c>
      <c r="Q770" s="42">
        <v>247997</v>
      </c>
      <c r="R770" s="42">
        <v>2252367</v>
      </c>
      <c r="S770" s="43">
        <v>80813</v>
      </c>
      <c r="T770" s="42">
        <v>493954</v>
      </c>
    </row>
    <row r="771" spans="1:20" x14ac:dyDescent="0.3">
      <c r="A771" s="7">
        <v>45036</v>
      </c>
      <c r="B771" s="43"/>
      <c r="C771" s="6">
        <v>160382</v>
      </c>
      <c r="D771" s="6">
        <v>231262</v>
      </c>
      <c r="E771" s="6">
        <v>141753</v>
      </c>
      <c r="F771" s="13">
        <v>769009</v>
      </c>
      <c r="G771" s="6">
        <v>180621</v>
      </c>
      <c r="H771" s="6">
        <v>33025</v>
      </c>
      <c r="I771" s="6">
        <v>41407</v>
      </c>
      <c r="J771" s="6">
        <v>200816</v>
      </c>
      <c r="K771" s="6">
        <v>478479</v>
      </c>
      <c r="L771" s="6">
        <v>156741</v>
      </c>
      <c r="M771" s="6">
        <v>1889933</v>
      </c>
      <c r="N771" s="42">
        <v>1300135</v>
      </c>
      <c r="O771" s="42">
        <v>14519</v>
      </c>
      <c r="P771" s="42">
        <v>96158</v>
      </c>
      <c r="Q771" s="42">
        <v>248529</v>
      </c>
      <c r="R771" s="42">
        <v>2258461</v>
      </c>
      <c r="S771" s="43">
        <v>81005</v>
      </c>
      <c r="T771" s="42">
        <v>494232</v>
      </c>
    </row>
    <row r="772" spans="1:20" x14ac:dyDescent="0.3">
      <c r="A772" s="7">
        <v>45035</v>
      </c>
      <c r="B772" s="43"/>
      <c r="C772" s="6">
        <v>159326</v>
      </c>
      <c r="D772" s="6">
        <v>227420</v>
      </c>
      <c r="E772" s="6">
        <v>143831</v>
      </c>
      <c r="F772" s="13">
        <v>768570</v>
      </c>
      <c r="G772" s="6">
        <v>179220</v>
      </c>
      <c r="H772" s="6">
        <v>33564</v>
      </c>
      <c r="I772" s="6">
        <v>41297</v>
      </c>
      <c r="J772" s="6">
        <v>203140</v>
      </c>
      <c r="K772" s="6">
        <v>474380</v>
      </c>
      <c r="L772" s="6">
        <v>158950</v>
      </c>
      <c r="M772" s="6">
        <v>1896623</v>
      </c>
      <c r="N772" s="42">
        <v>1312018</v>
      </c>
      <c r="O772" s="42">
        <v>14981</v>
      </c>
      <c r="P772" s="42">
        <v>96637</v>
      </c>
      <c r="Q772" s="42">
        <v>251224</v>
      </c>
      <c r="R772" s="42">
        <v>2258619</v>
      </c>
      <c r="S772" s="43">
        <v>77815</v>
      </c>
      <c r="T772" s="42">
        <v>491254</v>
      </c>
    </row>
    <row r="773" spans="1:20" x14ac:dyDescent="0.3">
      <c r="A773" s="7">
        <v>45034</v>
      </c>
      <c r="B773" s="43"/>
      <c r="C773" s="6">
        <v>160165</v>
      </c>
      <c r="D773" s="6">
        <v>227055</v>
      </c>
      <c r="E773" s="6">
        <v>148638</v>
      </c>
      <c r="F773" s="13">
        <v>766928</v>
      </c>
      <c r="G773" s="6">
        <v>177854</v>
      </c>
      <c r="H773" s="6">
        <v>33377</v>
      </c>
      <c r="I773" s="6">
        <v>40870</v>
      </c>
      <c r="J773" s="6">
        <v>206216</v>
      </c>
      <c r="K773" s="6">
        <v>482254</v>
      </c>
      <c r="L773" s="6">
        <v>158371</v>
      </c>
      <c r="M773" s="6">
        <v>1913192</v>
      </c>
      <c r="N773" s="42">
        <v>1330947</v>
      </c>
      <c r="O773" s="42">
        <v>15385</v>
      </c>
      <c r="P773" s="42">
        <v>96061</v>
      </c>
      <c r="Q773" s="42">
        <v>245059</v>
      </c>
      <c r="R773" s="42">
        <v>2278321</v>
      </c>
      <c r="S773" s="43">
        <v>77915</v>
      </c>
      <c r="T773" s="42">
        <v>491271</v>
      </c>
    </row>
    <row r="774" spans="1:20" x14ac:dyDescent="0.3">
      <c r="A774" s="7">
        <v>45033</v>
      </c>
      <c r="B774" s="43"/>
      <c r="C774" s="6">
        <v>160384</v>
      </c>
      <c r="D774" s="6">
        <v>225587</v>
      </c>
      <c r="E774" s="6">
        <v>152105</v>
      </c>
      <c r="F774" s="13">
        <v>770545</v>
      </c>
      <c r="G774" s="6">
        <v>178436</v>
      </c>
      <c r="H774" s="6">
        <v>33975</v>
      </c>
      <c r="I774" s="6">
        <v>40762</v>
      </c>
      <c r="J774" s="6">
        <v>208046</v>
      </c>
      <c r="K774" s="6">
        <v>481532</v>
      </c>
      <c r="L774" s="6">
        <v>157861</v>
      </c>
      <c r="M774" s="6">
        <v>1919527</v>
      </c>
      <c r="N774" s="42">
        <v>1333765</v>
      </c>
      <c r="O774" s="42">
        <v>14801</v>
      </c>
      <c r="P774" s="42">
        <v>94978</v>
      </c>
      <c r="Q774" s="42">
        <v>241704</v>
      </c>
      <c r="R774" s="42">
        <v>2275213</v>
      </c>
      <c r="S774" s="43">
        <v>76712</v>
      </c>
      <c r="T774" s="42">
        <v>491143</v>
      </c>
    </row>
    <row r="775" spans="1:20" x14ac:dyDescent="0.3">
      <c r="A775" s="7">
        <v>45030</v>
      </c>
      <c r="B775" s="43"/>
      <c r="C775" s="6">
        <v>160761</v>
      </c>
      <c r="D775" s="6">
        <v>229053</v>
      </c>
      <c r="E775" s="6">
        <v>156069</v>
      </c>
      <c r="F775" s="13">
        <v>768105</v>
      </c>
      <c r="G775" s="6">
        <v>177331</v>
      </c>
      <c r="H775" s="6">
        <v>35089</v>
      </c>
      <c r="I775" s="6">
        <v>41368</v>
      </c>
      <c r="J775" s="6">
        <v>210928</v>
      </c>
      <c r="K775" s="6">
        <v>483401</v>
      </c>
      <c r="L775" s="6">
        <v>155747</v>
      </c>
      <c r="M775" s="6">
        <v>1896776</v>
      </c>
      <c r="N775" s="42">
        <v>1345735</v>
      </c>
      <c r="O775" s="42">
        <v>15147</v>
      </c>
      <c r="P775" s="42">
        <v>93819</v>
      </c>
      <c r="Q775" s="42">
        <v>232369</v>
      </c>
      <c r="R775" s="42">
        <v>2259705</v>
      </c>
      <c r="S775" s="43">
        <v>76626</v>
      </c>
      <c r="T775" s="42">
        <v>489858</v>
      </c>
    </row>
    <row r="776" spans="1:20" x14ac:dyDescent="0.3">
      <c r="A776" s="7">
        <v>45029</v>
      </c>
      <c r="B776" s="43"/>
      <c r="C776" s="6">
        <v>163081</v>
      </c>
      <c r="D776" s="6">
        <v>233924</v>
      </c>
      <c r="E776" s="6">
        <v>162315</v>
      </c>
      <c r="F776" s="13">
        <v>773503</v>
      </c>
      <c r="G776" s="6">
        <v>174667</v>
      </c>
      <c r="H776" s="6">
        <v>35723</v>
      </c>
      <c r="I776" s="6">
        <v>41770</v>
      </c>
      <c r="J776" s="6">
        <v>206986</v>
      </c>
      <c r="K776" s="6">
        <v>492348</v>
      </c>
      <c r="L776" s="6">
        <v>152363</v>
      </c>
      <c r="M776" s="6">
        <v>1883200</v>
      </c>
      <c r="N776" s="42">
        <v>1340394</v>
      </c>
      <c r="O776" s="42">
        <v>15743</v>
      </c>
      <c r="P776" s="42">
        <v>91449</v>
      </c>
      <c r="Q776" s="42">
        <v>245061</v>
      </c>
      <c r="R776" s="42">
        <v>2268812</v>
      </c>
      <c r="S776" s="43">
        <v>74910</v>
      </c>
      <c r="T776" s="42">
        <v>492921</v>
      </c>
    </row>
    <row r="777" spans="1:20" x14ac:dyDescent="0.3">
      <c r="A777" s="7">
        <v>45028</v>
      </c>
      <c r="B777" s="43"/>
      <c r="C777" s="6">
        <v>161444</v>
      </c>
      <c r="D777" s="6">
        <v>228758</v>
      </c>
      <c r="E777" s="6">
        <v>167066</v>
      </c>
      <c r="F777" s="13">
        <v>766661</v>
      </c>
      <c r="G777" s="6">
        <v>172935</v>
      </c>
      <c r="H777" s="6">
        <v>36270</v>
      </c>
      <c r="I777" s="6">
        <v>40162</v>
      </c>
      <c r="J777" s="6">
        <v>208415</v>
      </c>
      <c r="K777" s="6">
        <v>483431</v>
      </c>
      <c r="L777" s="6">
        <v>145695</v>
      </c>
      <c r="M777" s="6">
        <v>1896968</v>
      </c>
      <c r="N777" s="42">
        <v>1332623</v>
      </c>
      <c r="O777" s="42">
        <v>15560</v>
      </c>
      <c r="P777" s="42">
        <v>89905</v>
      </c>
      <c r="Q777" s="42">
        <v>238654</v>
      </c>
      <c r="R777" s="42">
        <v>2255531</v>
      </c>
      <c r="S777" s="43">
        <v>75840</v>
      </c>
      <c r="T777" s="42">
        <v>493716</v>
      </c>
    </row>
    <row r="778" spans="1:20" x14ac:dyDescent="0.3">
      <c r="A778" s="7">
        <v>45027</v>
      </c>
      <c r="B778" s="43"/>
      <c r="C778" s="6">
        <v>159441</v>
      </c>
      <c r="D778" s="6">
        <v>225292</v>
      </c>
      <c r="E778" s="6">
        <v>164875</v>
      </c>
      <c r="F778" s="13">
        <v>759439</v>
      </c>
      <c r="G778" s="6">
        <v>176822</v>
      </c>
      <c r="H778" s="6">
        <v>35806</v>
      </c>
      <c r="I778" s="6">
        <v>38272</v>
      </c>
      <c r="J778" s="6">
        <v>209501</v>
      </c>
      <c r="K778" s="6">
        <v>476567</v>
      </c>
      <c r="L778" s="6">
        <v>142699</v>
      </c>
      <c r="M778" s="6">
        <v>1875140</v>
      </c>
      <c r="N778" s="42">
        <v>1355672</v>
      </c>
      <c r="O778" s="42">
        <v>15977</v>
      </c>
      <c r="P778" s="42">
        <v>90263</v>
      </c>
      <c r="Q778" s="42">
        <v>237470</v>
      </c>
      <c r="R778" s="42">
        <v>2248469</v>
      </c>
      <c r="S778" s="43">
        <v>72446</v>
      </c>
      <c r="T778" s="42">
        <v>500081</v>
      </c>
    </row>
    <row r="779" spans="1:20" x14ac:dyDescent="0.3">
      <c r="A779" s="7">
        <v>45026</v>
      </c>
      <c r="B779" s="43"/>
      <c r="C779" s="6">
        <v>157354</v>
      </c>
      <c r="D779" s="6">
        <v>224673</v>
      </c>
      <c r="E779" s="6">
        <v>163433</v>
      </c>
      <c r="F779" s="13">
        <v>754249</v>
      </c>
      <c r="G779" s="6">
        <v>179291</v>
      </c>
      <c r="H779" s="6">
        <v>36219</v>
      </c>
      <c r="I779" s="6">
        <v>38349</v>
      </c>
      <c r="J779" s="6">
        <v>212368</v>
      </c>
      <c r="K779" s="6">
        <v>474361</v>
      </c>
      <c r="L779" s="6">
        <v>138476</v>
      </c>
      <c r="M779" s="6">
        <v>1875858</v>
      </c>
      <c r="N779" s="42">
        <v>1370596</v>
      </c>
      <c r="O779" s="42">
        <v>15626</v>
      </c>
      <c r="P779" s="42">
        <v>88410</v>
      </c>
      <c r="Q779" s="42">
        <v>238720</v>
      </c>
      <c r="R779" s="42">
        <v>2252170</v>
      </c>
      <c r="S779" s="3"/>
      <c r="T779" s="42">
        <v>490740</v>
      </c>
    </row>
    <row r="780" spans="1:20" x14ac:dyDescent="0.3">
      <c r="A780" s="7">
        <v>45023</v>
      </c>
      <c r="B780" s="43"/>
      <c r="C780" s="6">
        <v>155190</v>
      </c>
      <c r="D780" s="6">
        <v>225792</v>
      </c>
      <c r="E780" s="6">
        <v>161844</v>
      </c>
      <c r="F780" s="13">
        <v>748704</v>
      </c>
      <c r="G780" s="6">
        <v>170756</v>
      </c>
      <c r="H780" s="6">
        <v>35384</v>
      </c>
      <c r="I780" s="6">
        <v>38247</v>
      </c>
      <c r="J780" s="6">
        <v>212948</v>
      </c>
      <c r="K780" s="6">
        <v>477088</v>
      </c>
      <c r="L780" s="6">
        <v>135279</v>
      </c>
      <c r="M780" s="6">
        <v>1889117</v>
      </c>
      <c r="N780" s="42">
        <v>1378998</v>
      </c>
      <c r="O780" s="42">
        <v>13481</v>
      </c>
      <c r="P780" s="42">
        <v>86428</v>
      </c>
      <c r="Q780" s="42">
        <v>235255</v>
      </c>
      <c r="R780" s="42">
        <v>2232263</v>
      </c>
      <c r="S780" s="43"/>
      <c r="T780" s="42">
        <v>486460</v>
      </c>
    </row>
    <row r="781" spans="1:20" x14ac:dyDescent="0.3">
      <c r="A781" s="7">
        <v>45022</v>
      </c>
      <c r="B781" s="43"/>
      <c r="C781" s="6">
        <v>156417</v>
      </c>
      <c r="D781" s="6">
        <v>226385</v>
      </c>
      <c r="E781" s="6">
        <v>162573</v>
      </c>
      <c r="F781" s="13">
        <v>750009</v>
      </c>
      <c r="G781" s="6">
        <v>171370</v>
      </c>
      <c r="H781" s="6">
        <v>34986</v>
      </c>
      <c r="I781" s="6">
        <v>37968</v>
      </c>
      <c r="J781" s="6">
        <v>212975</v>
      </c>
      <c r="K781" s="6">
        <v>477136</v>
      </c>
      <c r="L781" s="6">
        <v>135291</v>
      </c>
      <c r="M781" s="6">
        <v>1889705</v>
      </c>
      <c r="N781" s="42">
        <v>1379096</v>
      </c>
      <c r="O781" s="42">
        <v>13524</v>
      </c>
      <c r="P781" s="42">
        <v>86273</v>
      </c>
      <c r="Q781" s="42">
        <v>235247</v>
      </c>
      <c r="R781" s="42">
        <v>2232246</v>
      </c>
      <c r="S781" s="43">
        <v>72239</v>
      </c>
      <c r="T781" s="42">
        <v>487840</v>
      </c>
    </row>
    <row r="782" spans="1:20" x14ac:dyDescent="0.3">
      <c r="A782" s="7">
        <v>45021</v>
      </c>
      <c r="B782" s="43"/>
      <c r="C782" s="6">
        <v>154846</v>
      </c>
      <c r="D782" s="6">
        <v>227655</v>
      </c>
      <c r="E782" s="6">
        <v>165904</v>
      </c>
      <c r="F782" s="13">
        <v>748218</v>
      </c>
      <c r="G782" s="6">
        <v>178633</v>
      </c>
      <c r="H782" s="6">
        <v>35177</v>
      </c>
      <c r="I782" s="6">
        <v>37509</v>
      </c>
      <c r="J782" s="6">
        <v>215888</v>
      </c>
      <c r="K782" s="6">
        <v>477122</v>
      </c>
      <c r="L782" s="6">
        <v>134231</v>
      </c>
      <c r="M782" s="6">
        <v>1880340</v>
      </c>
      <c r="N782" s="42">
        <v>1366688</v>
      </c>
      <c r="O782" s="42">
        <v>13300</v>
      </c>
      <c r="P782" s="42">
        <v>86750</v>
      </c>
      <c r="Q782" s="42">
        <v>236895</v>
      </c>
      <c r="R782" s="42">
        <v>2211418</v>
      </c>
      <c r="S782" s="43">
        <v>74313</v>
      </c>
      <c r="T782" s="42">
        <v>490727</v>
      </c>
    </row>
    <row r="783" spans="1:20" x14ac:dyDescent="0.3">
      <c r="A783" s="7">
        <v>45020</v>
      </c>
      <c r="B783" s="43"/>
      <c r="C783" s="6">
        <v>151242</v>
      </c>
      <c r="D783" s="6">
        <v>224690</v>
      </c>
      <c r="E783" s="6">
        <v>169138</v>
      </c>
      <c r="F783" s="13">
        <v>747095</v>
      </c>
      <c r="G783" s="6">
        <v>178828</v>
      </c>
      <c r="H783" s="6">
        <v>36080</v>
      </c>
      <c r="I783" s="6">
        <v>37177</v>
      </c>
      <c r="J783" s="6">
        <v>218687</v>
      </c>
      <c r="K783" s="6">
        <v>476592</v>
      </c>
      <c r="L783" s="6">
        <v>131210</v>
      </c>
      <c r="M783" s="6">
        <v>1858446</v>
      </c>
      <c r="N783" s="42">
        <v>1365656</v>
      </c>
      <c r="O783" s="42">
        <v>13380</v>
      </c>
      <c r="P783" s="42">
        <v>88291</v>
      </c>
      <c r="Q783" s="42">
        <v>232186</v>
      </c>
      <c r="R783" s="42">
        <v>2219512</v>
      </c>
      <c r="S783" s="43">
        <v>75285</v>
      </c>
      <c r="T783" s="42">
        <v>480596</v>
      </c>
    </row>
    <row r="784" spans="1:20" x14ac:dyDescent="0.3">
      <c r="A784" s="7">
        <v>45019</v>
      </c>
      <c r="B784" s="43"/>
      <c r="C784" s="6">
        <v>155014</v>
      </c>
      <c r="D784" s="6">
        <v>217123</v>
      </c>
      <c r="E784" s="6">
        <v>171024</v>
      </c>
      <c r="F784" s="13">
        <v>739271</v>
      </c>
      <c r="G784" s="6">
        <v>172444</v>
      </c>
      <c r="H784" s="6">
        <v>35797</v>
      </c>
      <c r="I784" s="6">
        <v>36721</v>
      </c>
      <c r="J784" s="6">
        <v>219205</v>
      </c>
      <c r="K784" s="6">
        <v>461152</v>
      </c>
      <c r="L784" s="6">
        <v>123738</v>
      </c>
      <c r="M784" s="6">
        <v>1859532</v>
      </c>
      <c r="N784" s="42">
        <v>1365671</v>
      </c>
      <c r="O784" s="42">
        <v>15078</v>
      </c>
      <c r="P784" s="42">
        <v>86833</v>
      </c>
      <c r="Q784" s="42">
        <v>229991</v>
      </c>
      <c r="R784" s="42">
        <v>2213375</v>
      </c>
      <c r="S784" s="43">
        <v>74274</v>
      </c>
      <c r="T784" s="42">
        <v>478841</v>
      </c>
    </row>
    <row r="785" spans="1:20" x14ac:dyDescent="0.3">
      <c r="A785" s="7">
        <v>45016</v>
      </c>
      <c r="B785" s="43"/>
      <c r="C785" s="6">
        <v>154210</v>
      </c>
      <c r="D785" s="6">
        <v>211755</v>
      </c>
      <c r="E785" s="6">
        <v>173983</v>
      </c>
      <c r="F785" s="13">
        <v>743516</v>
      </c>
      <c r="G785" s="6">
        <v>167721</v>
      </c>
      <c r="H785" s="6">
        <v>34363</v>
      </c>
      <c r="I785" s="6">
        <v>36315</v>
      </c>
      <c r="J785" s="6">
        <v>218280</v>
      </c>
      <c r="K785" s="6">
        <v>456507</v>
      </c>
      <c r="L785" s="6">
        <v>121387</v>
      </c>
      <c r="M785" s="6">
        <v>1838157</v>
      </c>
      <c r="N785" s="42">
        <v>1338812</v>
      </c>
      <c r="O785" s="42">
        <v>15835</v>
      </c>
      <c r="P785" s="42">
        <v>83108</v>
      </c>
      <c r="Q785" s="42">
        <v>237351</v>
      </c>
      <c r="R785" s="42">
        <v>2218326</v>
      </c>
      <c r="S785" s="43">
        <v>74999</v>
      </c>
      <c r="T785" s="42">
        <v>479327</v>
      </c>
    </row>
    <row r="786" spans="1:20" x14ac:dyDescent="0.3">
      <c r="A786" s="7">
        <v>45015</v>
      </c>
      <c r="B786" s="43"/>
      <c r="C786" s="6">
        <v>153921</v>
      </c>
      <c r="D786" s="6">
        <v>211868</v>
      </c>
      <c r="E786" s="6">
        <v>175266</v>
      </c>
      <c r="F786" s="13">
        <v>740637</v>
      </c>
      <c r="G786" s="6">
        <v>166841</v>
      </c>
      <c r="H786" s="6">
        <v>34816</v>
      </c>
      <c r="I786" s="6">
        <v>36272</v>
      </c>
      <c r="J786" s="6">
        <v>217755</v>
      </c>
      <c r="K786" s="6">
        <v>474852</v>
      </c>
      <c r="L786" s="6">
        <v>121382</v>
      </c>
      <c r="M786" s="6">
        <v>1818389</v>
      </c>
      <c r="N786" s="42">
        <v>1318310</v>
      </c>
      <c r="O786" s="42">
        <v>15268</v>
      </c>
      <c r="P786" s="42">
        <v>81926</v>
      </c>
      <c r="Q786" s="42">
        <v>229132</v>
      </c>
      <c r="R786" s="42">
        <v>2187949</v>
      </c>
      <c r="S786" s="43">
        <v>72758</v>
      </c>
      <c r="T786" s="42">
        <v>482968</v>
      </c>
    </row>
    <row r="787" spans="1:20" x14ac:dyDescent="0.3">
      <c r="A787" s="7">
        <v>45014</v>
      </c>
      <c r="B787" s="43"/>
      <c r="C787" s="6">
        <v>153789</v>
      </c>
      <c r="D787" s="6">
        <v>205744</v>
      </c>
      <c r="E787" s="6">
        <v>175023</v>
      </c>
      <c r="F787" s="13">
        <v>737164</v>
      </c>
      <c r="G787" s="6">
        <v>167275</v>
      </c>
      <c r="H787" s="6">
        <v>32060</v>
      </c>
      <c r="I787" s="6">
        <v>35749</v>
      </c>
      <c r="J787" s="6">
        <v>215440</v>
      </c>
      <c r="K787" s="6">
        <v>473865</v>
      </c>
      <c r="L787" s="6">
        <v>118382</v>
      </c>
      <c r="M787" s="6">
        <v>1805944</v>
      </c>
      <c r="N787" s="42">
        <v>1298217</v>
      </c>
      <c r="O787" s="42">
        <v>14667</v>
      </c>
      <c r="P787" s="42">
        <v>79353</v>
      </c>
      <c r="Q787" s="42">
        <v>226607</v>
      </c>
      <c r="R787" s="42">
        <v>2167273</v>
      </c>
      <c r="S787" s="43">
        <v>72313</v>
      </c>
      <c r="T787" s="42">
        <v>481790</v>
      </c>
    </row>
    <row r="788" spans="1:20" x14ac:dyDescent="0.3">
      <c r="A788" s="7">
        <v>45013</v>
      </c>
      <c r="B788" s="43"/>
      <c r="C788" s="6">
        <v>151238</v>
      </c>
      <c r="D788" s="6">
        <v>199868</v>
      </c>
      <c r="E788" s="6">
        <v>176559</v>
      </c>
      <c r="F788" s="13">
        <v>732506</v>
      </c>
      <c r="G788" s="6">
        <v>169473</v>
      </c>
      <c r="H788" s="6">
        <v>31981</v>
      </c>
      <c r="I788" s="6">
        <v>34856</v>
      </c>
      <c r="J788" s="6">
        <v>211889</v>
      </c>
      <c r="K788" s="6">
        <v>478611</v>
      </c>
      <c r="L788" s="6">
        <v>117395</v>
      </c>
      <c r="M788" s="6">
        <v>1785807</v>
      </c>
      <c r="N788" s="42">
        <v>1279180</v>
      </c>
      <c r="O788" s="42">
        <v>14409</v>
      </c>
      <c r="P788" s="42">
        <v>76349</v>
      </c>
      <c r="Q788" s="42">
        <v>220074</v>
      </c>
      <c r="R788" s="42">
        <v>2142232</v>
      </c>
      <c r="S788" s="43">
        <v>71658</v>
      </c>
      <c r="T788" s="42">
        <v>483092</v>
      </c>
    </row>
    <row r="789" spans="1:20" x14ac:dyDescent="0.3">
      <c r="A789" s="7">
        <v>45012</v>
      </c>
      <c r="B789" s="43"/>
      <c r="C789" s="6">
        <v>152840</v>
      </c>
      <c r="D789" s="6">
        <v>197108</v>
      </c>
      <c r="E789" s="6">
        <v>178188</v>
      </c>
      <c r="F789" s="13">
        <v>732306</v>
      </c>
      <c r="G789" s="6">
        <v>170431</v>
      </c>
      <c r="H789" s="6">
        <v>31377</v>
      </c>
      <c r="I789" s="6">
        <v>34804</v>
      </c>
      <c r="J789" s="6">
        <v>207537</v>
      </c>
      <c r="K789" s="6">
        <v>483174</v>
      </c>
      <c r="L789" s="6">
        <v>117842</v>
      </c>
      <c r="M789" s="6">
        <v>1798836</v>
      </c>
      <c r="N789" s="42">
        <v>1277630</v>
      </c>
      <c r="O789" s="42">
        <v>13971</v>
      </c>
      <c r="P789" s="42">
        <v>78390</v>
      </c>
      <c r="Q789" s="42">
        <v>221543</v>
      </c>
      <c r="R789" s="42">
        <v>2152371</v>
      </c>
      <c r="S789" s="43">
        <v>75470</v>
      </c>
      <c r="T789" s="42">
        <v>480490</v>
      </c>
    </row>
    <row r="790" spans="1:20" x14ac:dyDescent="0.3">
      <c r="A790" s="7">
        <v>45009</v>
      </c>
      <c r="B790" s="43"/>
      <c r="C790" s="6">
        <v>155450</v>
      </c>
      <c r="D790" s="6">
        <v>194549</v>
      </c>
      <c r="E790" s="6">
        <v>181289</v>
      </c>
      <c r="F790" s="13">
        <v>734706</v>
      </c>
      <c r="G790" s="6">
        <v>171512</v>
      </c>
      <c r="H790" s="6">
        <v>30919</v>
      </c>
      <c r="I790" s="6">
        <v>35419</v>
      </c>
      <c r="J790" s="6">
        <v>206432</v>
      </c>
      <c r="K790" s="6">
        <v>496094</v>
      </c>
      <c r="L790" s="6">
        <v>117871</v>
      </c>
      <c r="M790" s="6">
        <v>1825838</v>
      </c>
      <c r="N790" s="42">
        <v>1269229</v>
      </c>
      <c r="O790" s="42">
        <v>14522</v>
      </c>
      <c r="P790" s="42">
        <v>77521</v>
      </c>
      <c r="Q790" s="42">
        <v>226471</v>
      </c>
      <c r="R790" s="42">
        <v>2137202</v>
      </c>
      <c r="S790" s="43">
        <v>82162</v>
      </c>
      <c r="T790" s="42">
        <v>483914</v>
      </c>
    </row>
    <row r="791" spans="1:20" x14ac:dyDescent="0.3">
      <c r="A791" s="7">
        <v>45008</v>
      </c>
      <c r="B791" s="43"/>
      <c r="C791" s="6">
        <v>151262</v>
      </c>
      <c r="D791" s="6">
        <v>194843</v>
      </c>
      <c r="E791" s="6">
        <v>179935</v>
      </c>
      <c r="F791" s="13">
        <v>751474</v>
      </c>
      <c r="G791" s="6">
        <v>175166</v>
      </c>
      <c r="H791" s="6">
        <v>30133</v>
      </c>
      <c r="I791" s="6">
        <v>35632</v>
      </c>
      <c r="J791" s="6">
        <v>206313</v>
      </c>
      <c r="K791" s="6">
        <v>480174</v>
      </c>
      <c r="L791" s="6">
        <v>118082</v>
      </c>
      <c r="M791" s="6">
        <v>1820292</v>
      </c>
      <c r="N791" s="42">
        <v>1275324</v>
      </c>
      <c r="O791" s="42">
        <v>14670</v>
      </c>
      <c r="P791" s="42">
        <v>76827</v>
      </c>
      <c r="Q791" s="42">
        <v>221437</v>
      </c>
      <c r="R791" s="42">
        <v>2151218</v>
      </c>
      <c r="S791" s="43">
        <v>77052</v>
      </c>
      <c r="T791" s="42">
        <v>594701</v>
      </c>
    </row>
    <row r="792" spans="1:20" x14ac:dyDescent="0.3">
      <c r="A792" s="7">
        <v>45007</v>
      </c>
      <c r="B792" s="43"/>
      <c r="C792" s="6">
        <v>149582</v>
      </c>
      <c r="D792" s="6">
        <v>190820</v>
      </c>
      <c r="E792" s="6">
        <v>179002</v>
      </c>
      <c r="F792" s="13">
        <v>737324</v>
      </c>
      <c r="G792" s="6">
        <v>170634</v>
      </c>
      <c r="H792" s="6">
        <v>30529</v>
      </c>
      <c r="I792" s="6">
        <v>35238</v>
      </c>
      <c r="J792" s="6">
        <v>203410</v>
      </c>
      <c r="K792" s="6">
        <v>469857</v>
      </c>
      <c r="L792" s="6">
        <v>119281</v>
      </c>
      <c r="M792" s="6">
        <v>1814575</v>
      </c>
      <c r="N792" s="42">
        <v>1275167</v>
      </c>
      <c r="O792" s="42">
        <v>14163</v>
      </c>
      <c r="P792" s="42">
        <v>79225</v>
      </c>
      <c r="Q792" s="42">
        <v>219575</v>
      </c>
      <c r="R792" s="42">
        <v>2142459</v>
      </c>
      <c r="S792" s="43">
        <v>76465</v>
      </c>
      <c r="T792" s="42">
        <v>597175</v>
      </c>
    </row>
    <row r="793" spans="1:20" x14ac:dyDescent="0.3">
      <c r="A793" s="7">
        <v>45006</v>
      </c>
      <c r="B793" s="43"/>
      <c r="C793" s="6">
        <v>151836</v>
      </c>
      <c r="D793" s="6">
        <v>190796</v>
      </c>
      <c r="E793" s="6">
        <v>178185</v>
      </c>
      <c r="F793" s="13">
        <v>737437</v>
      </c>
      <c r="G793" s="6">
        <v>169188</v>
      </c>
      <c r="H793" s="6">
        <v>32179</v>
      </c>
      <c r="I793" s="6">
        <v>35837</v>
      </c>
      <c r="J793" s="6">
        <v>201636</v>
      </c>
      <c r="K793" s="6">
        <v>469874</v>
      </c>
      <c r="L793" s="6">
        <v>119082</v>
      </c>
      <c r="M793" s="6">
        <v>1791902</v>
      </c>
      <c r="N793" s="42">
        <v>1283037</v>
      </c>
      <c r="O793" s="42">
        <v>14049</v>
      </c>
      <c r="P793" s="42">
        <v>81747</v>
      </c>
      <c r="Q793" s="42">
        <v>214878</v>
      </c>
      <c r="R793" s="42">
        <v>2149006</v>
      </c>
      <c r="S793" s="43">
        <v>78948</v>
      </c>
      <c r="T793" s="42">
        <v>585558</v>
      </c>
    </row>
    <row r="794" spans="1:20" x14ac:dyDescent="0.3">
      <c r="A794" s="7">
        <v>45005</v>
      </c>
      <c r="B794" s="43"/>
      <c r="C794" s="6">
        <v>148697</v>
      </c>
      <c r="D794" s="6">
        <v>190771</v>
      </c>
      <c r="E794" s="6">
        <v>180269</v>
      </c>
      <c r="F794" s="13">
        <v>733725</v>
      </c>
      <c r="G794" s="6">
        <v>172085</v>
      </c>
      <c r="H794" s="6">
        <v>32117</v>
      </c>
      <c r="I794" s="6">
        <v>35834</v>
      </c>
      <c r="J794" s="6">
        <v>200491</v>
      </c>
      <c r="K794" s="6">
        <v>480136</v>
      </c>
      <c r="L794" s="6">
        <v>120906</v>
      </c>
      <c r="M794" s="6">
        <v>1788446</v>
      </c>
      <c r="N794" s="42">
        <v>1262180</v>
      </c>
      <c r="O794" s="42">
        <v>13311</v>
      </c>
      <c r="P794" s="42">
        <v>79929</v>
      </c>
      <c r="Q794" s="42">
        <v>213456</v>
      </c>
      <c r="R794" s="42">
        <v>2134029</v>
      </c>
      <c r="S794" s="43">
        <v>87262</v>
      </c>
      <c r="T794" s="42">
        <v>581634</v>
      </c>
    </row>
    <row r="795" spans="1:20" x14ac:dyDescent="0.3">
      <c r="A795" s="7">
        <v>45002</v>
      </c>
      <c r="B795" s="43"/>
      <c r="C795" s="6">
        <v>149037</v>
      </c>
      <c r="D795" s="6">
        <v>187996</v>
      </c>
      <c r="E795" s="6">
        <v>183866</v>
      </c>
      <c r="F795" s="13">
        <v>731993</v>
      </c>
      <c r="G795" s="6">
        <v>174935</v>
      </c>
      <c r="H795" s="6">
        <v>32030</v>
      </c>
      <c r="I795" s="6">
        <v>35953</v>
      </c>
      <c r="J795" s="6">
        <v>202607</v>
      </c>
      <c r="K795" s="6">
        <v>475728</v>
      </c>
      <c r="L795" s="6">
        <v>120717</v>
      </c>
      <c r="M795" s="6">
        <v>1795230</v>
      </c>
      <c r="N795" s="42">
        <v>1251673</v>
      </c>
      <c r="O795" s="42">
        <v>13115</v>
      </c>
      <c r="P795" s="42">
        <v>101546</v>
      </c>
      <c r="Q795" s="42">
        <v>292858</v>
      </c>
      <c r="R795" s="42">
        <v>2528038</v>
      </c>
      <c r="S795" s="43">
        <v>88608</v>
      </c>
      <c r="T795" s="42">
        <v>567067</v>
      </c>
    </row>
    <row r="796" spans="1:20" x14ac:dyDescent="0.3">
      <c r="A796" s="7">
        <v>45001</v>
      </c>
      <c r="B796" s="43"/>
      <c r="C796" s="6">
        <v>150293</v>
      </c>
      <c r="D796" s="6">
        <v>186634</v>
      </c>
      <c r="E796" s="6">
        <v>185920</v>
      </c>
      <c r="F796" s="13">
        <v>732157</v>
      </c>
      <c r="G796" s="6">
        <v>172891</v>
      </c>
      <c r="H796" s="6">
        <v>33994</v>
      </c>
      <c r="I796" s="6">
        <v>35946</v>
      </c>
      <c r="J796" s="6">
        <v>201694</v>
      </c>
      <c r="K796" s="6">
        <v>457252</v>
      </c>
      <c r="L796" s="6">
        <v>119412</v>
      </c>
      <c r="M796" s="6">
        <v>1790657</v>
      </c>
      <c r="N796" s="42">
        <v>1248993</v>
      </c>
      <c r="O796" s="42">
        <v>12820</v>
      </c>
      <c r="P796" s="42">
        <v>101670</v>
      </c>
      <c r="Q796" s="42">
        <v>305296</v>
      </c>
      <c r="R796" s="42">
        <v>2529519</v>
      </c>
      <c r="S796" s="43">
        <v>83473</v>
      </c>
      <c r="T796" s="42">
        <v>482334</v>
      </c>
    </row>
    <row r="797" spans="1:20" x14ac:dyDescent="0.3">
      <c r="A797" s="7">
        <v>45000</v>
      </c>
      <c r="B797" s="43"/>
      <c r="C797" s="6">
        <v>153811</v>
      </c>
      <c r="D797" s="6">
        <v>192237</v>
      </c>
      <c r="E797" s="6">
        <v>194157</v>
      </c>
      <c r="F797" s="13">
        <v>740972</v>
      </c>
      <c r="G797" s="6">
        <v>178889</v>
      </c>
      <c r="H797" s="6">
        <v>33780</v>
      </c>
      <c r="I797" s="6">
        <v>37431</v>
      </c>
      <c r="J797" s="6">
        <v>204682</v>
      </c>
      <c r="K797" s="6">
        <v>455720</v>
      </c>
      <c r="L797" s="6">
        <v>121313</v>
      </c>
      <c r="M797" s="6">
        <v>1782299</v>
      </c>
      <c r="N797" s="42">
        <v>1242843</v>
      </c>
      <c r="O797" s="42">
        <v>12938</v>
      </c>
      <c r="P797" s="42">
        <v>104116</v>
      </c>
      <c r="Q797" s="42">
        <v>303392</v>
      </c>
      <c r="R797" s="42">
        <v>2536103</v>
      </c>
      <c r="S797" s="43">
        <v>70934</v>
      </c>
      <c r="T797" s="42">
        <v>447470</v>
      </c>
    </row>
    <row r="798" spans="1:20" x14ac:dyDescent="0.3">
      <c r="A798" s="7">
        <v>44999</v>
      </c>
      <c r="B798" s="43"/>
      <c r="C798" s="6">
        <v>193110</v>
      </c>
      <c r="D798" s="6">
        <v>234333</v>
      </c>
      <c r="E798" s="6">
        <v>244421</v>
      </c>
      <c r="F798" s="13">
        <v>842781</v>
      </c>
      <c r="G798" s="6">
        <v>213363</v>
      </c>
      <c r="H798" s="6">
        <v>49964</v>
      </c>
      <c r="I798" s="6">
        <v>59064</v>
      </c>
      <c r="J798" s="6">
        <v>205997</v>
      </c>
      <c r="K798" s="6">
        <v>459064</v>
      </c>
      <c r="L798" s="6">
        <v>121772</v>
      </c>
      <c r="M798" s="6">
        <v>1767660</v>
      </c>
      <c r="N798" s="42">
        <v>1255396</v>
      </c>
      <c r="O798" s="42">
        <v>13472</v>
      </c>
      <c r="P798" s="42">
        <v>104237</v>
      </c>
      <c r="Q798" s="42">
        <v>306461</v>
      </c>
      <c r="R798" s="42">
        <v>2550984</v>
      </c>
      <c r="S798" s="43">
        <v>95072</v>
      </c>
      <c r="T798" s="42">
        <v>437171</v>
      </c>
    </row>
    <row r="799" spans="1:20" x14ac:dyDescent="0.3">
      <c r="A799" s="7">
        <v>44998</v>
      </c>
      <c r="B799" s="43"/>
      <c r="C799" s="6">
        <v>193987</v>
      </c>
      <c r="D799" s="6">
        <v>236352</v>
      </c>
      <c r="E799" s="6">
        <v>250509</v>
      </c>
      <c r="F799" s="13">
        <v>842427</v>
      </c>
      <c r="G799" s="6">
        <v>219620</v>
      </c>
      <c r="H799" s="6">
        <v>49728</v>
      </c>
      <c r="I799" s="6">
        <v>58625</v>
      </c>
      <c r="J799" s="6">
        <v>207169</v>
      </c>
      <c r="K799" s="6">
        <v>468037</v>
      </c>
      <c r="L799" s="6">
        <v>123906</v>
      </c>
      <c r="M799" s="6">
        <v>1772536</v>
      </c>
      <c r="N799" s="42">
        <v>1258657</v>
      </c>
      <c r="O799" s="42">
        <v>13302</v>
      </c>
      <c r="P799" s="42">
        <v>100880</v>
      </c>
      <c r="Q799" s="42">
        <v>286121</v>
      </c>
      <c r="R799" s="42">
        <v>2593537</v>
      </c>
      <c r="S799" s="43">
        <v>106151</v>
      </c>
      <c r="T799" s="42">
        <v>440865</v>
      </c>
    </row>
    <row r="800" spans="1:20" x14ac:dyDescent="0.3">
      <c r="A800" s="7">
        <v>44995</v>
      </c>
      <c r="B800" s="43"/>
      <c r="C800" s="6">
        <v>196444</v>
      </c>
      <c r="D800" s="6">
        <v>237815</v>
      </c>
      <c r="E800" s="6">
        <v>253077</v>
      </c>
      <c r="F800" s="13">
        <v>842048</v>
      </c>
      <c r="G800" s="6">
        <v>214782</v>
      </c>
      <c r="H800" s="6">
        <v>49213</v>
      </c>
      <c r="I800" s="6">
        <v>59153</v>
      </c>
      <c r="J800" s="6">
        <v>209085</v>
      </c>
      <c r="K800" s="6">
        <v>469260</v>
      </c>
      <c r="L800" s="6">
        <v>128972</v>
      </c>
      <c r="M800" s="6">
        <v>1769780</v>
      </c>
      <c r="N800" s="42">
        <v>1251031</v>
      </c>
      <c r="O800" s="42">
        <v>13720</v>
      </c>
      <c r="P800" s="42">
        <v>99439</v>
      </c>
      <c r="Q800" s="42">
        <v>267552</v>
      </c>
      <c r="R800" s="42">
        <v>2296897</v>
      </c>
      <c r="S800" s="43">
        <v>99662</v>
      </c>
      <c r="T800" s="42">
        <v>438971</v>
      </c>
    </row>
    <row r="801" spans="1:20" x14ac:dyDescent="0.3">
      <c r="A801" s="7">
        <v>44994</v>
      </c>
      <c r="B801" s="43"/>
      <c r="C801" s="6">
        <v>198139</v>
      </c>
      <c r="D801" s="6">
        <v>249997</v>
      </c>
      <c r="E801" s="6">
        <v>239526</v>
      </c>
      <c r="F801" s="13">
        <v>840426</v>
      </c>
      <c r="G801" s="6">
        <v>213983</v>
      </c>
      <c r="H801" s="6">
        <v>49562</v>
      </c>
      <c r="I801" s="6">
        <v>60111</v>
      </c>
      <c r="J801" s="6">
        <v>209373</v>
      </c>
      <c r="K801" s="6">
        <v>454259</v>
      </c>
      <c r="L801" s="6">
        <v>128413</v>
      </c>
      <c r="M801" s="6">
        <v>1769150</v>
      </c>
      <c r="N801" s="42">
        <v>1250400</v>
      </c>
      <c r="O801" s="42">
        <v>13981</v>
      </c>
      <c r="P801" s="42">
        <v>92565</v>
      </c>
      <c r="Q801" s="42">
        <v>262877</v>
      </c>
      <c r="R801" s="42">
        <v>2187704</v>
      </c>
      <c r="S801" s="43">
        <v>90084</v>
      </c>
      <c r="T801" s="42">
        <v>428749</v>
      </c>
    </row>
    <row r="802" spans="1:20" x14ac:dyDescent="0.3">
      <c r="A802" s="7">
        <v>44993</v>
      </c>
      <c r="B802" s="43"/>
      <c r="C802" s="6">
        <v>189709</v>
      </c>
      <c r="D802" s="6">
        <v>232860</v>
      </c>
      <c r="E802" s="6">
        <v>205918</v>
      </c>
      <c r="F802" s="13">
        <v>828494</v>
      </c>
      <c r="G802" s="6">
        <v>214967</v>
      </c>
      <c r="H802" s="6">
        <v>46341</v>
      </c>
      <c r="I802" s="6">
        <v>54523</v>
      </c>
      <c r="J802" s="6">
        <v>209416</v>
      </c>
      <c r="K802" s="6">
        <v>455561</v>
      </c>
      <c r="L802" s="6">
        <v>128467</v>
      </c>
      <c r="M802" s="6">
        <v>1759977</v>
      </c>
      <c r="N802" s="42">
        <v>1249542</v>
      </c>
      <c r="O802" s="42">
        <v>12817</v>
      </c>
      <c r="P802" s="42">
        <v>89343</v>
      </c>
      <c r="Q802" s="42">
        <v>263934</v>
      </c>
      <c r="R802" s="42">
        <v>2143877</v>
      </c>
      <c r="S802" s="43">
        <v>86002</v>
      </c>
      <c r="T802" s="42">
        <v>431468</v>
      </c>
    </row>
    <row r="803" spans="1:20" x14ac:dyDescent="0.3">
      <c r="A803" s="7">
        <v>44992</v>
      </c>
      <c r="B803" s="43"/>
      <c r="C803" s="6">
        <v>157990</v>
      </c>
      <c r="D803" s="6">
        <v>222558</v>
      </c>
      <c r="E803" s="6">
        <v>203816</v>
      </c>
      <c r="F803" s="13">
        <v>821057</v>
      </c>
      <c r="G803" s="6">
        <v>211297</v>
      </c>
      <c r="H803" s="6">
        <v>48777</v>
      </c>
      <c r="I803" s="6">
        <v>46745</v>
      </c>
      <c r="J803" s="6">
        <v>210430</v>
      </c>
      <c r="K803" s="6">
        <v>458474</v>
      </c>
      <c r="L803" s="6">
        <v>127503</v>
      </c>
      <c r="M803" s="6">
        <v>1755027</v>
      </c>
      <c r="N803" s="42">
        <v>1250073</v>
      </c>
      <c r="O803" s="42">
        <v>12821</v>
      </c>
      <c r="P803" s="42">
        <v>89418</v>
      </c>
      <c r="Q803" s="42">
        <v>260810</v>
      </c>
      <c r="R803" s="42">
        <v>2133169</v>
      </c>
      <c r="S803" s="43">
        <v>87530</v>
      </c>
      <c r="T803" s="42">
        <v>432808</v>
      </c>
    </row>
    <row r="804" spans="1:20" x14ac:dyDescent="0.3">
      <c r="A804" s="7">
        <v>44991</v>
      </c>
      <c r="B804" s="43"/>
      <c r="C804" s="6">
        <v>135327</v>
      </c>
      <c r="D804" s="6">
        <v>214252</v>
      </c>
      <c r="E804" s="6">
        <v>176887</v>
      </c>
      <c r="F804" s="13">
        <v>835311</v>
      </c>
      <c r="G804" s="6">
        <v>202571</v>
      </c>
      <c r="H804" s="6">
        <v>43621</v>
      </c>
      <c r="I804" s="6">
        <v>43955</v>
      </c>
      <c r="J804" s="6">
        <v>208545</v>
      </c>
      <c r="K804" s="6">
        <v>441454</v>
      </c>
      <c r="L804" s="6">
        <v>122402</v>
      </c>
      <c r="M804" s="6">
        <v>1754733</v>
      </c>
      <c r="N804" s="42">
        <v>1246657</v>
      </c>
      <c r="O804" s="42">
        <v>12769</v>
      </c>
      <c r="P804" s="42">
        <v>89573</v>
      </c>
      <c r="Q804" s="42">
        <v>264471</v>
      </c>
      <c r="R804" s="42">
        <v>2134185</v>
      </c>
      <c r="S804" s="43">
        <v>88186</v>
      </c>
      <c r="T804" s="42">
        <v>440142</v>
      </c>
    </row>
    <row r="805" spans="1:20" x14ac:dyDescent="0.3">
      <c r="A805" s="7">
        <v>44988</v>
      </c>
      <c r="B805" s="43"/>
      <c r="C805" s="6">
        <v>131512</v>
      </c>
      <c r="D805" s="6">
        <v>211998</v>
      </c>
      <c r="E805" s="6">
        <v>178408</v>
      </c>
      <c r="F805" s="13">
        <v>821266</v>
      </c>
      <c r="G805" s="6">
        <v>202718</v>
      </c>
      <c r="H805" s="6">
        <v>40758</v>
      </c>
      <c r="I805" s="6">
        <v>42985</v>
      </c>
      <c r="J805" s="6">
        <v>208324</v>
      </c>
      <c r="K805" s="6">
        <v>437990</v>
      </c>
      <c r="L805" s="6">
        <v>122042</v>
      </c>
      <c r="M805" s="6">
        <v>1757818</v>
      </c>
      <c r="N805" s="42">
        <v>1251378</v>
      </c>
      <c r="O805" s="42">
        <v>13215</v>
      </c>
      <c r="P805" s="42">
        <v>89757</v>
      </c>
      <c r="Q805" s="42">
        <v>265384</v>
      </c>
      <c r="R805" s="42">
        <v>2130727</v>
      </c>
      <c r="S805" s="43">
        <v>89753</v>
      </c>
      <c r="T805" s="42">
        <v>433215</v>
      </c>
    </row>
    <row r="806" spans="1:20" x14ac:dyDescent="0.3">
      <c r="A806" s="7">
        <v>44987</v>
      </c>
      <c r="B806" s="43"/>
      <c r="C806" s="6">
        <v>132454</v>
      </c>
      <c r="D806" s="6">
        <v>215541</v>
      </c>
      <c r="E806" s="6">
        <v>171242</v>
      </c>
      <c r="F806" s="13">
        <v>814917</v>
      </c>
      <c r="G806" s="6">
        <v>208246</v>
      </c>
      <c r="H806" s="6">
        <v>41431</v>
      </c>
      <c r="I806" s="6">
        <v>42187</v>
      </c>
      <c r="J806" s="6">
        <v>206826</v>
      </c>
      <c r="K806" s="6">
        <v>436462</v>
      </c>
      <c r="L806" s="6">
        <v>121299</v>
      </c>
      <c r="M806" s="6">
        <v>1754383</v>
      </c>
      <c r="N806" s="42">
        <v>1244133</v>
      </c>
      <c r="O806" s="42">
        <v>14550</v>
      </c>
      <c r="P806" s="42">
        <v>88192</v>
      </c>
      <c r="Q806" s="42">
        <v>265192</v>
      </c>
      <c r="R806" s="42">
        <v>2128428</v>
      </c>
      <c r="S806" s="43">
        <v>89753</v>
      </c>
      <c r="T806" s="42">
        <v>434484</v>
      </c>
    </row>
    <row r="807" spans="1:20" x14ac:dyDescent="0.3">
      <c r="A807" s="7">
        <v>44986</v>
      </c>
      <c r="B807" s="43"/>
      <c r="C807" s="6">
        <v>130898</v>
      </c>
      <c r="D807" s="6">
        <v>208279</v>
      </c>
      <c r="E807" s="6">
        <v>169619</v>
      </c>
      <c r="F807" s="13">
        <v>810376</v>
      </c>
      <c r="G807" s="6">
        <v>200865</v>
      </c>
      <c r="H807" s="6">
        <v>41941</v>
      </c>
      <c r="I807" s="6">
        <v>42165</v>
      </c>
      <c r="J807" s="6">
        <v>201660</v>
      </c>
      <c r="K807" s="6">
        <v>431116</v>
      </c>
      <c r="L807" s="6">
        <v>123436</v>
      </c>
      <c r="M807" s="6">
        <v>1755350</v>
      </c>
      <c r="N807" s="42">
        <v>1250520</v>
      </c>
      <c r="O807" s="42">
        <v>14865</v>
      </c>
      <c r="P807" s="42">
        <v>89430</v>
      </c>
      <c r="Q807" s="42">
        <v>263665</v>
      </c>
      <c r="R807" s="42">
        <v>2112604</v>
      </c>
      <c r="S807" s="43">
        <v>89413</v>
      </c>
      <c r="T807" s="42">
        <v>430904</v>
      </c>
    </row>
    <row r="808" spans="1:20" x14ac:dyDescent="0.3">
      <c r="A808" s="7">
        <v>44985</v>
      </c>
      <c r="B808" s="43"/>
      <c r="C808" s="6">
        <v>126681</v>
      </c>
      <c r="D808" s="6">
        <v>212064</v>
      </c>
      <c r="E808" s="6">
        <v>165097</v>
      </c>
      <c r="F808" s="13">
        <v>803963</v>
      </c>
      <c r="G808" s="6">
        <v>200047</v>
      </c>
      <c r="H808" s="6">
        <v>40006</v>
      </c>
      <c r="I808" s="6">
        <v>41991</v>
      </c>
      <c r="J808" s="6">
        <v>196143</v>
      </c>
      <c r="K808" s="6">
        <v>426890</v>
      </c>
      <c r="L808" s="6">
        <v>123900</v>
      </c>
      <c r="M808" s="6">
        <v>1750212</v>
      </c>
      <c r="N808" s="42">
        <v>1239613</v>
      </c>
      <c r="O808" s="42">
        <v>15161</v>
      </c>
      <c r="P808" s="42">
        <v>89912</v>
      </c>
      <c r="Q808" s="42">
        <v>268253</v>
      </c>
      <c r="R808" s="42">
        <v>2113159</v>
      </c>
      <c r="S808" s="43">
        <v>89406</v>
      </c>
      <c r="T808" s="42">
        <v>433301</v>
      </c>
    </row>
    <row r="809" spans="1:20" x14ac:dyDescent="0.3">
      <c r="A809" s="7">
        <v>44984</v>
      </c>
      <c r="B809" s="43"/>
      <c r="C809" s="6">
        <v>126166</v>
      </c>
      <c r="D809" s="6">
        <v>214892</v>
      </c>
      <c r="E809" s="6">
        <v>165394</v>
      </c>
      <c r="F809" s="13">
        <v>794956</v>
      </c>
      <c r="G809" s="6">
        <v>200855</v>
      </c>
      <c r="H809" s="6">
        <v>41112</v>
      </c>
      <c r="I809" s="6">
        <v>41371</v>
      </c>
      <c r="J809" s="6">
        <v>196384</v>
      </c>
      <c r="K809" s="6">
        <v>423217</v>
      </c>
      <c r="L809" s="6">
        <v>124567</v>
      </c>
      <c r="M809" s="6">
        <v>1750215</v>
      </c>
      <c r="N809" s="42">
        <v>1241992</v>
      </c>
      <c r="O809" s="42">
        <v>15706</v>
      </c>
      <c r="P809" s="42">
        <v>89046</v>
      </c>
      <c r="Q809" s="42">
        <v>264339</v>
      </c>
      <c r="R809" s="42">
        <v>2109846</v>
      </c>
      <c r="S809" s="43">
        <v>92025</v>
      </c>
      <c r="T809" s="42">
        <v>434533</v>
      </c>
    </row>
    <row r="810" spans="1:20" x14ac:dyDescent="0.3">
      <c r="A810" s="7">
        <v>44974</v>
      </c>
      <c r="B810" s="43"/>
      <c r="C810" s="42">
        <v>123507</v>
      </c>
      <c r="D810" s="42">
        <v>214747</v>
      </c>
      <c r="E810" s="42">
        <v>153285</v>
      </c>
      <c r="F810" s="42">
        <v>792428</v>
      </c>
      <c r="G810" s="42">
        <v>179684</v>
      </c>
      <c r="H810" s="42">
        <v>30846</v>
      </c>
      <c r="I810" s="42">
        <v>40388</v>
      </c>
      <c r="J810" s="42">
        <v>215427</v>
      </c>
      <c r="K810" s="42">
        <v>423809</v>
      </c>
      <c r="L810" s="42">
        <v>127082</v>
      </c>
      <c r="M810" s="42">
        <v>1773636</v>
      </c>
      <c r="N810" s="42">
        <v>1257413</v>
      </c>
      <c r="O810" s="42">
        <v>16341</v>
      </c>
      <c r="P810" s="42">
        <v>87745</v>
      </c>
      <c r="Q810" s="42">
        <v>268702</v>
      </c>
      <c r="R810" s="42">
        <v>2080045</v>
      </c>
      <c r="S810" s="43">
        <v>92951</v>
      </c>
      <c r="T810" s="42">
        <v>432779</v>
      </c>
    </row>
    <row r="811" spans="1:20" x14ac:dyDescent="0.3">
      <c r="A811" s="7">
        <v>44973</v>
      </c>
      <c r="B811" s="43"/>
      <c r="C811" s="42">
        <v>124915</v>
      </c>
      <c r="D811" s="42">
        <v>215533</v>
      </c>
      <c r="E811" s="42">
        <v>151559</v>
      </c>
      <c r="F811" s="42">
        <v>786767</v>
      </c>
      <c r="G811" s="42">
        <v>180833</v>
      </c>
      <c r="H811" s="42">
        <v>30738</v>
      </c>
      <c r="I811" s="42">
        <v>39069</v>
      </c>
      <c r="J811" s="42">
        <v>218982</v>
      </c>
      <c r="K811" s="42">
        <v>422997</v>
      </c>
      <c r="L811" s="42">
        <v>127385</v>
      </c>
      <c r="M811" s="42">
        <v>1787275</v>
      </c>
      <c r="N811" s="42">
        <v>1244863</v>
      </c>
      <c r="O811" s="42">
        <v>16566</v>
      </c>
      <c r="P811" s="42">
        <v>88279</v>
      </c>
      <c r="Q811" s="42">
        <v>267782</v>
      </c>
      <c r="R811" s="42">
        <v>2084672</v>
      </c>
      <c r="S811" s="43">
        <v>93082</v>
      </c>
      <c r="T811" s="42">
        <v>434147</v>
      </c>
    </row>
    <row r="812" spans="1:20" x14ac:dyDescent="0.3">
      <c r="A812" s="7">
        <v>44972</v>
      </c>
      <c r="B812" s="43"/>
      <c r="C812" s="42">
        <v>127760</v>
      </c>
      <c r="D812" s="42">
        <v>216885</v>
      </c>
      <c r="E812" s="42">
        <v>149264</v>
      </c>
      <c r="F812" s="42">
        <v>786125</v>
      </c>
      <c r="G812" s="42">
        <v>180256</v>
      </c>
      <c r="H812" s="42">
        <v>30667</v>
      </c>
      <c r="I812" s="42">
        <v>38914</v>
      </c>
      <c r="J812" s="42">
        <v>217838</v>
      </c>
      <c r="K812" s="42">
        <v>422963</v>
      </c>
      <c r="L812" s="42">
        <v>130646</v>
      </c>
      <c r="M812" s="42">
        <v>1806591</v>
      </c>
      <c r="N812" s="42">
        <v>1239996</v>
      </c>
      <c r="O812" s="42">
        <v>15989</v>
      </c>
      <c r="P812" s="42">
        <v>88889</v>
      </c>
      <c r="Q812" s="42">
        <v>275049</v>
      </c>
      <c r="R812" s="42">
        <v>2096531</v>
      </c>
      <c r="S812" s="43">
        <v>89638</v>
      </c>
      <c r="T812" s="42">
        <v>434287</v>
      </c>
    </row>
    <row r="813" spans="1:20" x14ac:dyDescent="0.3">
      <c r="A813" s="7">
        <v>44971</v>
      </c>
      <c r="B813" s="43"/>
      <c r="C813" s="42">
        <v>126129</v>
      </c>
      <c r="D813" s="42">
        <v>206009</v>
      </c>
      <c r="E813" s="42">
        <v>149059</v>
      </c>
      <c r="F813" s="42">
        <v>789331</v>
      </c>
      <c r="G813" s="42">
        <v>175392</v>
      </c>
      <c r="H813" s="42">
        <v>29900</v>
      </c>
      <c r="I813" s="42">
        <v>37591</v>
      </c>
      <c r="J813" s="42">
        <v>218099</v>
      </c>
      <c r="K813" s="42">
        <v>426116</v>
      </c>
      <c r="L813" s="42">
        <v>132132</v>
      </c>
      <c r="M813" s="42">
        <v>1821601</v>
      </c>
      <c r="N813" s="42">
        <v>1234837</v>
      </c>
      <c r="O813" s="42">
        <v>15158</v>
      </c>
      <c r="P813" s="42">
        <v>87450</v>
      </c>
      <c r="Q813" s="42">
        <v>276184</v>
      </c>
      <c r="R813" s="42">
        <v>2076347</v>
      </c>
      <c r="S813" s="43">
        <v>92357</v>
      </c>
      <c r="T813" s="42">
        <v>434568</v>
      </c>
    </row>
    <row r="814" spans="1:20" x14ac:dyDescent="0.3">
      <c r="A814" s="7">
        <v>44970</v>
      </c>
      <c r="B814" s="43"/>
      <c r="C814" s="42">
        <v>127606</v>
      </c>
      <c r="D814" s="42">
        <v>206513</v>
      </c>
      <c r="E814" s="42">
        <v>151806</v>
      </c>
      <c r="F814" s="42">
        <v>781829</v>
      </c>
      <c r="G814" s="42">
        <v>172774</v>
      </c>
      <c r="H814" s="42">
        <v>30537</v>
      </c>
      <c r="I814" s="42">
        <v>37817</v>
      </c>
      <c r="J814" s="42">
        <v>215737</v>
      </c>
      <c r="K814" s="42">
        <v>427278</v>
      </c>
      <c r="L814" s="42">
        <v>133089</v>
      </c>
      <c r="M814" s="42">
        <v>1818358</v>
      </c>
      <c r="N814" s="42">
        <v>1235108</v>
      </c>
      <c r="O814" s="42">
        <v>14931</v>
      </c>
      <c r="P814" s="42">
        <v>87260</v>
      </c>
      <c r="Q814" s="42">
        <v>273974</v>
      </c>
      <c r="R814" s="42">
        <v>2081968</v>
      </c>
      <c r="S814" s="43">
        <v>88813</v>
      </c>
      <c r="T814" s="42">
        <v>433562</v>
      </c>
    </row>
    <row r="815" spans="1:20" x14ac:dyDescent="0.3">
      <c r="A815" s="7">
        <v>44967</v>
      </c>
      <c r="B815" s="43"/>
      <c r="C815" s="42">
        <v>127751</v>
      </c>
      <c r="D815" s="42">
        <v>209374</v>
      </c>
      <c r="E815" s="42">
        <v>148156</v>
      </c>
      <c r="F815" s="42">
        <v>780304</v>
      </c>
      <c r="G815" s="42">
        <v>166343</v>
      </c>
      <c r="H815" s="42">
        <v>31239</v>
      </c>
      <c r="I815" s="42">
        <v>37874</v>
      </c>
      <c r="J815" s="42">
        <v>219994</v>
      </c>
      <c r="K815" s="42">
        <v>430056</v>
      </c>
      <c r="L815" s="42">
        <v>131282</v>
      </c>
      <c r="M815" s="42">
        <v>1803375</v>
      </c>
      <c r="N815" s="42">
        <v>1222701</v>
      </c>
      <c r="O815" s="42">
        <v>15581</v>
      </c>
      <c r="P815" s="42">
        <v>85021</v>
      </c>
      <c r="Q815" s="42">
        <v>274997</v>
      </c>
      <c r="R815" s="42">
        <v>2042704</v>
      </c>
      <c r="S815" s="43">
        <v>95323</v>
      </c>
      <c r="T815" s="42">
        <v>438703</v>
      </c>
    </row>
    <row r="816" spans="1:20" x14ac:dyDescent="0.3">
      <c r="A816" s="7">
        <v>44966</v>
      </c>
      <c r="B816" s="43"/>
      <c r="C816" s="42">
        <v>126449</v>
      </c>
      <c r="D816" s="42">
        <v>208492</v>
      </c>
      <c r="E816" s="42">
        <v>153634</v>
      </c>
      <c r="F816" s="42">
        <v>782899</v>
      </c>
      <c r="G816" s="42">
        <v>164828</v>
      </c>
      <c r="H816" s="42">
        <v>29667</v>
      </c>
      <c r="I816" s="42">
        <v>37930</v>
      </c>
      <c r="J816" s="42">
        <v>225120</v>
      </c>
      <c r="K816" s="42">
        <v>435993</v>
      </c>
      <c r="L816" s="42">
        <v>132960</v>
      </c>
      <c r="M816" s="42">
        <v>1788438</v>
      </c>
      <c r="N816" s="42">
        <v>1224845</v>
      </c>
      <c r="O816" s="42">
        <v>16080</v>
      </c>
      <c r="P816" s="42">
        <v>85475</v>
      </c>
      <c r="Q816" s="42">
        <v>276227</v>
      </c>
      <c r="R816" s="42">
        <v>2056123</v>
      </c>
      <c r="S816" s="43">
        <v>94850</v>
      </c>
      <c r="T816" s="42">
        <v>442553</v>
      </c>
    </row>
    <row r="817" spans="1:20" x14ac:dyDescent="0.3">
      <c r="A817" s="7">
        <v>44965</v>
      </c>
      <c r="B817" s="43"/>
      <c r="C817" s="42">
        <v>123760</v>
      </c>
      <c r="D817" s="42">
        <v>208759</v>
      </c>
      <c r="E817" s="42">
        <v>153537</v>
      </c>
      <c r="F817" s="42">
        <v>782465</v>
      </c>
      <c r="G817" s="42">
        <v>164782</v>
      </c>
      <c r="H817" s="42">
        <v>30180</v>
      </c>
      <c r="I817" s="42">
        <v>38456</v>
      </c>
      <c r="J817" s="42">
        <v>218276</v>
      </c>
      <c r="K817" s="42">
        <v>438714</v>
      </c>
      <c r="L817" s="42">
        <v>132954</v>
      </c>
      <c r="M817" s="42">
        <v>1792412</v>
      </c>
      <c r="N817" s="42">
        <v>1224459</v>
      </c>
      <c r="O817" s="42">
        <v>16323</v>
      </c>
      <c r="P817" s="42">
        <v>84645</v>
      </c>
      <c r="Q817" s="42">
        <v>276914</v>
      </c>
      <c r="R817" s="42">
        <v>2034830</v>
      </c>
      <c r="S817" s="43">
        <v>91897</v>
      </c>
      <c r="T817" s="42">
        <v>438107</v>
      </c>
    </row>
    <row r="818" spans="1:20" x14ac:dyDescent="0.3">
      <c r="A818" s="7">
        <v>44964</v>
      </c>
      <c r="B818" s="43"/>
      <c r="C818" s="42">
        <v>124006</v>
      </c>
      <c r="D818" s="42">
        <v>203720</v>
      </c>
      <c r="E818" s="42">
        <v>149621</v>
      </c>
      <c r="F818" s="42">
        <v>781287</v>
      </c>
      <c r="G818" s="42">
        <v>164069</v>
      </c>
      <c r="H818" s="42">
        <v>31410</v>
      </c>
      <c r="I818" s="42">
        <v>38842</v>
      </c>
      <c r="J818" s="42">
        <v>222502</v>
      </c>
      <c r="K818" s="42">
        <v>439755</v>
      </c>
      <c r="L818" s="42">
        <v>133601</v>
      </c>
      <c r="M818" s="42">
        <v>1791955</v>
      </c>
      <c r="N818" s="42">
        <v>1220272</v>
      </c>
      <c r="O818" s="42">
        <v>16843</v>
      </c>
      <c r="P818" s="42">
        <v>86299</v>
      </c>
      <c r="Q818" s="42">
        <v>279306</v>
      </c>
      <c r="R818" s="42">
        <v>2053086</v>
      </c>
      <c r="S818" s="43">
        <v>88564</v>
      </c>
      <c r="T818" s="42">
        <v>437574</v>
      </c>
    </row>
    <row r="819" spans="1:20" x14ac:dyDescent="0.3">
      <c r="A819" s="7">
        <v>44963</v>
      </c>
      <c r="B819" s="43"/>
      <c r="C819" s="42">
        <v>127174</v>
      </c>
      <c r="D819" s="42">
        <v>200341</v>
      </c>
      <c r="E819" s="42">
        <v>149382</v>
      </c>
      <c r="F819" s="42">
        <v>785131</v>
      </c>
      <c r="G819" s="42">
        <v>168184</v>
      </c>
      <c r="H819" s="42">
        <v>31923</v>
      </c>
      <c r="I819" s="42">
        <v>39447</v>
      </c>
      <c r="J819" s="42">
        <v>219905</v>
      </c>
      <c r="K819" s="42">
        <v>441312</v>
      </c>
      <c r="L819" s="42">
        <v>135663</v>
      </c>
      <c r="M819" s="42">
        <v>1802117</v>
      </c>
      <c r="N819" s="42">
        <v>1212910</v>
      </c>
      <c r="O819" s="42">
        <v>16735</v>
      </c>
      <c r="P819" s="42">
        <v>81575</v>
      </c>
      <c r="Q819" s="42">
        <v>277103</v>
      </c>
      <c r="R819" s="42">
        <v>2056775</v>
      </c>
      <c r="S819" s="43">
        <v>86667</v>
      </c>
      <c r="T819" s="42">
        <v>435764</v>
      </c>
    </row>
    <row r="820" spans="1:20" x14ac:dyDescent="0.3">
      <c r="A820" s="7">
        <v>44960</v>
      </c>
      <c r="B820" s="43"/>
      <c r="C820" s="42">
        <v>131721</v>
      </c>
      <c r="D820" s="42">
        <v>198991</v>
      </c>
      <c r="E820" s="42">
        <v>144810</v>
      </c>
      <c r="F820" s="42">
        <v>788054</v>
      </c>
      <c r="G820" s="42">
        <v>171164</v>
      </c>
      <c r="H820" s="42">
        <v>33051</v>
      </c>
      <c r="I820" s="42">
        <v>40126</v>
      </c>
      <c r="J820" s="42">
        <v>223350</v>
      </c>
      <c r="K820" s="42">
        <v>449090</v>
      </c>
      <c r="L820" s="42">
        <v>139779</v>
      </c>
      <c r="M820" s="42">
        <v>1775843</v>
      </c>
      <c r="N820" s="42">
        <v>1197391</v>
      </c>
      <c r="O820" s="42">
        <v>17037</v>
      </c>
      <c r="P820" s="42">
        <v>83018</v>
      </c>
      <c r="Q820" s="42">
        <v>281061</v>
      </c>
      <c r="R820" s="42">
        <v>2076249</v>
      </c>
      <c r="S820" s="43">
        <v>89606</v>
      </c>
      <c r="T820" s="42">
        <v>438553</v>
      </c>
    </row>
    <row r="821" spans="1:20" x14ac:dyDescent="0.3">
      <c r="A821" s="7">
        <v>44959</v>
      </c>
      <c r="B821" s="43"/>
      <c r="C821" s="6">
        <v>136367</v>
      </c>
      <c r="D821" s="6">
        <v>198987</v>
      </c>
      <c r="E821" s="6">
        <v>137913</v>
      </c>
      <c r="F821" s="13">
        <v>792028</v>
      </c>
      <c r="G821" s="6">
        <v>170265</v>
      </c>
      <c r="H821" s="6">
        <v>35447</v>
      </c>
      <c r="I821" s="6">
        <v>40077</v>
      </c>
      <c r="J821" s="6">
        <v>225288</v>
      </c>
      <c r="K821" s="6">
        <v>468356</v>
      </c>
      <c r="L821" s="6">
        <v>141471</v>
      </c>
      <c r="M821" s="6">
        <v>1750696</v>
      </c>
      <c r="N821" s="42">
        <v>1186431</v>
      </c>
      <c r="O821" s="42">
        <v>17439</v>
      </c>
      <c r="P821" s="42">
        <v>83806</v>
      </c>
      <c r="Q821" s="42">
        <v>280074</v>
      </c>
      <c r="R821" s="42">
        <v>2087027</v>
      </c>
      <c r="S821" s="43">
        <v>97419</v>
      </c>
      <c r="T821" s="42">
        <v>439729</v>
      </c>
    </row>
    <row r="822" spans="1:20" x14ac:dyDescent="0.3">
      <c r="A822" s="7">
        <v>44958</v>
      </c>
      <c r="B822" s="43"/>
      <c r="C822" s="6">
        <v>136733</v>
      </c>
      <c r="D822" s="6">
        <v>195104</v>
      </c>
      <c r="E822" s="6">
        <v>138288</v>
      </c>
      <c r="F822" s="13">
        <v>802352</v>
      </c>
      <c r="G822" s="6">
        <v>169689</v>
      </c>
      <c r="H822" s="6">
        <v>35160</v>
      </c>
      <c r="I822" s="6">
        <v>39323</v>
      </c>
      <c r="J822" s="6">
        <v>227286</v>
      </c>
      <c r="K822" s="6">
        <v>478425</v>
      </c>
      <c r="L822" s="6">
        <v>138987</v>
      </c>
      <c r="M822" s="6">
        <v>1726724</v>
      </c>
      <c r="N822" s="42">
        <v>1172902</v>
      </c>
      <c r="O822" s="42">
        <v>17838</v>
      </c>
      <c r="P822" s="42">
        <v>81273</v>
      </c>
      <c r="Q822" s="42">
        <v>278753</v>
      </c>
      <c r="R822" s="42">
        <v>2063419</v>
      </c>
      <c r="S822" s="43">
        <v>91701</v>
      </c>
      <c r="T822" s="42">
        <v>432331</v>
      </c>
    </row>
    <row r="823" spans="1:20" x14ac:dyDescent="0.3">
      <c r="A823" s="7">
        <v>44957</v>
      </c>
      <c r="B823" s="43"/>
      <c r="C823" s="6">
        <v>136304</v>
      </c>
      <c r="D823" s="6">
        <v>196113</v>
      </c>
      <c r="E823" s="6">
        <v>140167</v>
      </c>
      <c r="F823" s="13">
        <v>796738</v>
      </c>
      <c r="G823" s="6">
        <v>168540</v>
      </c>
      <c r="H823" s="6">
        <v>34587</v>
      </c>
      <c r="I823" s="6">
        <v>38345</v>
      </c>
      <c r="J823" s="6">
        <v>224824</v>
      </c>
      <c r="K823" s="6">
        <v>471642</v>
      </c>
      <c r="L823" s="6">
        <v>138263</v>
      </c>
      <c r="M823" s="6">
        <v>1726378</v>
      </c>
      <c r="N823" s="42">
        <v>1146709</v>
      </c>
      <c r="O823" s="42">
        <v>17542</v>
      </c>
      <c r="P823" s="42">
        <v>80386</v>
      </c>
      <c r="Q823" s="42">
        <v>278449</v>
      </c>
      <c r="R823" s="42">
        <v>2061419</v>
      </c>
      <c r="S823" s="43">
        <v>90343</v>
      </c>
      <c r="T823" s="42">
        <v>430828</v>
      </c>
    </row>
    <row r="824" spans="1:20" x14ac:dyDescent="0.3">
      <c r="A824" s="7">
        <v>44956</v>
      </c>
      <c r="B824" s="43"/>
      <c r="C824" s="6">
        <v>139016</v>
      </c>
      <c r="D824" s="6">
        <v>195138</v>
      </c>
      <c r="E824" s="6">
        <v>138622</v>
      </c>
      <c r="F824" s="13">
        <v>799013</v>
      </c>
      <c r="G824" s="6">
        <v>171171</v>
      </c>
      <c r="H824" s="6">
        <v>35807</v>
      </c>
      <c r="I824" s="6">
        <v>36749</v>
      </c>
      <c r="J824" s="6">
        <v>222164</v>
      </c>
      <c r="K824" s="6">
        <v>472666</v>
      </c>
      <c r="L824" s="6">
        <v>136767</v>
      </c>
      <c r="M824" s="6">
        <v>1711398</v>
      </c>
      <c r="N824" s="42">
        <v>1138325</v>
      </c>
      <c r="O824" s="42">
        <v>19177</v>
      </c>
      <c r="P824" s="42">
        <v>77553</v>
      </c>
      <c r="Q824" s="42">
        <v>271390</v>
      </c>
      <c r="R824" s="42">
        <v>2051058</v>
      </c>
      <c r="S824" s="43">
        <v>89714</v>
      </c>
      <c r="T824" s="42">
        <v>426248</v>
      </c>
    </row>
    <row r="825" spans="1:20" x14ac:dyDescent="0.3">
      <c r="A825" s="7">
        <v>44953</v>
      </c>
      <c r="B825" s="43"/>
      <c r="C825" s="6">
        <v>135460</v>
      </c>
      <c r="D825" s="6">
        <v>193450</v>
      </c>
      <c r="E825" s="6">
        <v>139153</v>
      </c>
      <c r="F825" s="13">
        <v>789010</v>
      </c>
      <c r="G825" s="6">
        <v>169462</v>
      </c>
      <c r="H825" s="6">
        <v>33078</v>
      </c>
      <c r="I825" s="6">
        <v>35657</v>
      </c>
      <c r="J825" s="6">
        <v>220806</v>
      </c>
      <c r="K825" s="6">
        <v>479646</v>
      </c>
      <c r="L825" s="6">
        <v>136380</v>
      </c>
      <c r="M825" s="6">
        <v>1697557</v>
      </c>
      <c r="N825" s="42">
        <v>1136505</v>
      </c>
      <c r="O825" s="42">
        <v>19328</v>
      </c>
      <c r="P825" s="42">
        <v>79293</v>
      </c>
      <c r="Q825" s="42">
        <v>272127</v>
      </c>
      <c r="R825" s="42">
        <v>2054872</v>
      </c>
      <c r="S825" s="43">
        <v>85037</v>
      </c>
      <c r="T825" s="42">
        <v>425281</v>
      </c>
    </row>
    <row r="826" spans="1:20" x14ac:dyDescent="0.3">
      <c r="A826" s="7">
        <v>44952</v>
      </c>
      <c r="B826" s="43"/>
      <c r="C826" s="6">
        <v>132556</v>
      </c>
      <c r="D826" s="6">
        <v>193920</v>
      </c>
      <c r="E826" s="6">
        <v>139843</v>
      </c>
      <c r="F826" s="13">
        <v>782836</v>
      </c>
      <c r="G826" s="6">
        <v>171868</v>
      </c>
      <c r="H826" s="6">
        <v>35376</v>
      </c>
      <c r="I826" s="6">
        <v>35285</v>
      </c>
      <c r="J826" s="6">
        <v>218700</v>
      </c>
      <c r="K826" s="6">
        <v>492098</v>
      </c>
      <c r="L826" s="6">
        <v>136370</v>
      </c>
      <c r="M826" s="6">
        <v>1681911</v>
      </c>
      <c r="N826" s="42">
        <v>1128165</v>
      </c>
      <c r="O826" s="42">
        <v>18528</v>
      </c>
      <c r="P826" s="42">
        <v>79725</v>
      </c>
      <c r="Q826" s="42">
        <v>272092</v>
      </c>
      <c r="R826" s="42">
        <v>2045750</v>
      </c>
      <c r="S826" s="43">
        <v>85328</v>
      </c>
      <c r="T826" s="42">
        <v>423824</v>
      </c>
    </row>
    <row r="827" spans="1:20" x14ac:dyDescent="0.3">
      <c r="A827" s="7">
        <v>44951</v>
      </c>
      <c r="B827" s="43"/>
      <c r="C827" s="6">
        <v>129768</v>
      </c>
      <c r="D827" s="6">
        <v>194147</v>
      </c>
      <c r="E827" s="6">
        <v>137975</v>
      </c>
      <c r="F827" s="13">
        <v>782228</v>
      </c>
      <c r="G827" s="6">
        <v>174978</v>
      </c>
      <c r="H827" s="6">
        <v>33754</v>
      </c>
      <c r="I827" s="6">
        <v>35103</v>
      </c>
      <c r="J827" s="6">
        <v>213935</v>
      </c>
      <c r="K827" s="6">
        <v>507068</v>
      </c>
      <c r="L827" s="6">
        <v>135090</v>
      </c>
      <c r="M827" s="6">
        <v>1666551</v>
      </c>
      <c r="N827" s="42">
        <v>1119280</v>
      </c>
      <c r="O827" s="42">
        <v>17620</v>
      </c>
      <c r="P827" s="42">
        <v>78198</v>
      </c>
      <c r="Q827" s="42">
        <v>269697</v>
      </c>
      <c r="R827" s="42">
        <v>2027772</v>
      </c>
      <c r="S827" s="43">
        <v>85491</v>
      </c>
      <c r="T827" s="42">
        <v>420928</v>
      </c>
    </row>
    <row r="828" spans="1:20" x14ac:dyDescent="0.3">
      <c r="A828" s="7">
        <v>44950</v>
      </c>
      <c r="B828" s="43"/>
      <c r="C828" s="6">
        <v>129490</v>
      </c>
      <c r="D828" s="6">
        <v>194051</v>
      </c>
      <c r="E828" s="6">
        <v>137476</v>
      </c>
      <c r="F828" s="13">
        <v>777569</v>
      </c>
      <c r="G828" s="6">
        <v>173321</v>
      </c>
      <c r="H828" s="6">
        <v>32710</v>
      </c>
      <c r="I828" s="6">
        <v>35368</v>
      </c>
      <c r="J828" s="6">
        <v>213398</v>
      </c>
      <c r="K828" s="6">
        <v>499927</v>
      </c>
      <c r="L828" s="6">
        <v>134922</v>
      </c>
      <c r="M828" s="6">
        <v>1660450</v>
      </c>
      <c r="N828" s="42">
        <v>1102760</v>
      </c>
      <c r="O828" s="42">
        <v>17390</v>
      </c>
      <c r="P828" s="42">
        <v>77652</v>
      </c>
      <c r="Q828" s="42">
        <v>273887</v>
      </c>
      <c r="R828" s="42">
        <v>2024437</v>
      </c>
      <c r="S828" s="43">
        <v>83337</v>
      </c>
      <c r="T828" s="42">
        <v>423664</v>
      </c>
    </row>
    <row r="829" spans="1:20" x14ac:dyDescent="0.3">
      <c r="A829" s="7">
        <v>44949</v>
      </c>
      <c r="B829" s="43"/>
      <c r="C829" s="6">
        <v>127996</v>
      </c>
      <c r="D829" s="6">
        <v>194549</v>
      </c>
      <c r="E829" s="6">
        <v>136429</v>
      </c>
      <c r="F829" s="13">
        <v>776045</v>
      </c>
      <c r="G829" s="6">
        <v>175750</v>
      </c>
      <c r="H829" s="6">
        <v>30080</v>
      </c>
      <c r="I829" s="6">
        <v>36180</v>
      </c>
      <c r="J829" s="6">
        <v>210609</v>
      </c>
      <c r="K829" s="6">
        <v>502492</v>
      </c>
      <c r="L829" s="6">
        <v>134669</v>
      </c>
      <c r="M829" s="6">
        <v>1644135</v>
      </c>
      <c r="N829" s="42">
        <v>1098479</v>
      </c>
      <c r="O829" s="42">
        <v>16847</v>
      </c>
      <c r="P829" s="42">
        <v>77852</v>
      </c>
      <c r="Q829" s="42">
        <v>274688</v>
      </c>
      <c r="R829" s="42">
        <v>2030176</v>
      </c>
      <c r="S829" s="43">
        <v>83020</v>
      </c>
      <c r="T829" s="42">
        <v>424175</v>
      </c>
    </row>
    <row r="830" spans="1:20" x14ac:dyDescent="0.3">
      <c r="A830" s="7">
        <v>44946</v>
      </c>
      <c r="B830" s="43"/>
      <c r="C830" s="6">
        <v>127574</v>
      </c>
      <c r="D830" s="6">
        <v>195671</v>
      </c>
      <c r="E830" s="6">
        <v>135247</v>
      </c>
      <c r="F830" s="13">
        <v>770685</v>
      </c>
      <c r="G830" s="6">
        <v>176717</v>
      </c>
      <c r="H830" s="6">
        <v>30711</v>
      </c>
      <c r="I830" s="6">
        <v>36073</v>
      </c>
      <c r="J830" s="6">
        <v>205946</v>
      </c>
      <c r="K830" s="6">
        <v>497500</v>
      </c>
      <c r="L830" s="6">
        <v>132414</v>
      </c>
      <c r="M830" s="6">
        <v>1617508</v>
      </c>
      <c r="N830" s="42">
        <v>1100493</v>
      </c>
      <c r="O830" s="42">
        <v>16879</v>
      </c>
      <c r="P830" s="42">
        <v>77245</v>
      </c>
      <c r="Q830" s="42">
        <v>273500</v>
      </c>
      <c r="R830" s="42">
        <v>2008105</v>
      </c>
      <c r="S830" s="43">
        <v>86104</v>
      </c>
      <c r="T830" s="42">
        <v>424450</v>
      </c>
    </row>
    <row r="831" spans="1:20" x14ac:dyDescent="0.3">
      <c r="A831" s="7">
        <v>44945</v>
      </c>
      <c r="B831" s="43"/>
      <c r="C831" s="6">
        <v>126633</v>
      </c>
      <c r="D831" s="6">
        <v>198420</v>
      </c>
      <c r="E831" s="6">
        <v>137008</v>
      </c>
      <c r="F831" s="13">
        <v>768311</v>
      </c>
      <c r="G831" s="6">
        <v>179244</v>
      </c>
      <c r="H831" s="6">
        <v>31081</v>
      </c>
      <c r="I831" s="6">
        <v>35208</v>
      </c>
      <c r="J831" s="6">
        <v>203997</v>
      </c>
      <c r="K831" s="6">
        <v>493286</v>
      </c>
      <c r="L831" s="6">
        <v>132641</v>
      </c>
      <c r="M831" s="6">
        <v>1615815</v>
      </c>
      <c r="N831" s="42">
        <v>1099599</v>
      </c>
      <c r="O831" s="42">
        <v>16356</v>
      </c>
      <c r="P831" s="42">
        <v>79142</v>
      </c>
      <c r="Q831" s="42">
        <v>267767</v>
      </c>
      <c r="R831" s="42">
        <v>2036744</v>
      </c>
      <c r="S831" s="43">
        <v>89714</v>
      </c>
      <c r="T831" s="42">
        <v>435672</v>
      </c>
    </row>
    <row r="832" spans="1:20" x14ac:dyDescent="0.3">
      <c r="A832" s="7">
        <v>44944</v>
      </c>
      <c r="B832" s="43"/>
      <c r="C832" s="6">
        <v>128034</v>
      </c>
      <c r="D832" s="6">
        <v>199562</v>
      </c>
      <c r="E832" s="6">
        <v>136610</v>
      </c>
      <c r="F832" s="13">
        <v>759876</v>
      </c>
      <c r="G832" s="6">
        <v>178533</v>
      </c>
      <c r="H832" s="6">
        <v>31192</v>
      </c>
      <c r="I832" s="6">
        <v>35214</v>
      </c>
      <c r="J832" s="6">
        <v>206018</v>
      </c>
      <c r="K832" s="6">
        <v>487132</v>
      </c>
      <c r="L832" s="6">
        <v>132920</v>
      </c>
      <c r="M832" s="6">
        <v>1621408</v>
      </c>
      <c r="N832" s="42">
        <v>1094205</v>
      </c>
      <c r="O832" s="42">
        <v>15946</v>
      </c>
      <c r="P832" s="42">
        <v>80220</v>
      </c>
      <c r="Q832" s="42">
        <v>271468</v>
      </c>
      <c r="R832" s="42">
        <v>2034897</v>
      </c>
      <c r="S832" s="43">
        <v>84465</v>
      </c>
      <c r="T832" s="42">
        <v>433273</v>
      </c>
    </row>
    <row r="833" spans="1:20" x14ac:dyDescent="0.3">
      <c r="A833" s="7">
        <v>44943</v>
      </c>
      <c r="B833" s="43"/>
      <c r="C833" s="6">
        <v>128521</v>
      </c>
      <c r="D833" s="6">
        <v>202959</v>
      </c>
      <c r="E833" s="6">
        <v>132346</v>
      </c>
      <c r="F833" s="13">
        <v>755116</v>
      </c>
      <c r="G833" s="6">
        <v>177209</v>
      </c>
      <c r="H833" s="6">
        <v>31579</v>
      </c>
      <c r="I833" s="6">
        <v>34300</v>
      </c>
      <c r="J833" s="6">
        <v>201455</v>
      </c>
      <c r="K833" s="6">
        <v>491818</v>
      </c>
      <c r="L833" s="6">
        <v>131862</v>
      </c>
      <c r="M833" s="6">
        <v>1613466</v>
      </c>
      <c r="N833" s="42">
        <v>1082458</v>
      </c>
      <c r="O833" s="42">
        <v>15885</v>
      </c>
      <c r="P833" s="42">
        <v>82660</v>
      </c>
      <c r="Q833" s="42">
        <v>275015</v>
      </c>
      <c r="R833" s="42">
        <v>2056472</v>
      </c>
      <c r="S833" s="43">
        <v>83203</v>
      </c>
      <c r="T833" s="42">
        <v>428935</v>
      </c>
    </row>
    <row r="834" spans="1:20" x14ac:dyDescent="0.3">
      <c r="A834" s="7">
        <v>44939</v>
      </c>
      <c r="B834" s="43"/>
      <c r="C834" s="6">
        <v>128094</v>
      </c>
      <c r="D834" s="6">
        <v>201884</v>
      </c>
      <c r="E834" s="6">
        <v>133158</v>
      </c>
      <c r="F834" s="13">
        <v>751623</v>
      </c>
      <c r="G834" s="6">
        <v>183088</v>
      </c>
      <c r="H834" s="6">
        <v>30927</v>
      </c>
      <c r="I834" s="6">
        <v>34416</v>
      </c>
      <c r="J834" s="6">
        <v>197859</v>
      </c>
      <c r="K834" s="6">
        <v>497693</v>
      </c>
      <c r="L834" s="6">
        <v>131733</v>
      </c>
      <c r="M834" s="6">
        <v>1595867</v>
      </c>
      <c r="N834" s="42">
        <v>1087752</v>
      </c>
      <c r="O834" s="42">
        <v>16003</v>
      </c>
      <c r="P834" s="42">
        <v>82715</v>
      </c>
      <c r="Q834" s="42">
        <v>269366</v>
      </c>
      <c r="R834" s="42">
        <v>2044391</v>
      </c>
      <c r="S834" s="43">
        <v>81255</v>
      </c>
      <c r="T834" s="42">
        <v>431116</v>
      </c>
    </row>
    <row r="835" spans="1:20" x14ac:dyDescent="0.3">
      <c r="A835" s="7">
        <v>44938</v>
      </c>
      <c r="B835" s="43"/>
      <c r="C835" s="6">
        <v>125304</v>
      </c>
      <c r="D835" s="6">
        <v>198537</v>
      </c>
      <c r="E835" s="6">
        <v>135446</v>
      </c>
      <c r="F835" s="13">
        <v>753762</v>
      </c>
      <c r="G835" s="6">
        <v>181626</v>
      </c>
      <c r="H835" s="6">
        <v>31072</v>
      </c>
      <c r="I835" s="6">
        <v>34537</v>
      </c>
      <c r="J835" s="6">
        <v>196271</v>
      </c>
      <c r="K835" s="6">
        <v>486838</v>
      </c>
      <c r="L835" s="6">
        <v>129761</v>
      </c>
      <c r="M835" s="6">
        <v>1574676</v>
      </c>
      <c r="N835" s="42">
        <v>1078624</v>
      </c>
      <c r="O835" s="42">
        <v>15849</v>
      </c>
      <c r="P835" s="42">
        <v>82208</v>
      </c>
      <c r="Q835" s="42">
        <v>261423</v>
      </c>
      <c r="R835" s="42">
        <v>2045471</v>
      </c>
      <c r="S835" s="43">
        <v>84631</v>
      </c>
      <c r="T835" s="42">
        <v>429362</v>
      </c>
    </row>
    <row r="836" spans="1:20" x14ac:dyDescent="0.3">
      <c r="A836" s="7">
        <v>44937</v>
      </c>
      <c r="B836" s="43"/>
      <c r="C836" s="6">
        <v>125198</v>
      </c>
      <c r="D836" s="6">
        <v>203988</v>
      </c>
      <c r="E836" s="6">
        <v>133302</v>
      </c>
      <c r="F836" s="13">
        <v>742754</v>
      </c>
      <c r="G836" s="6">
        <v>176908</v>
      </c>
      <c r="H836" s="6">
        <v>28209</v>
      </c>
      <c r="I836" s="6">
        <v>34997</v>
      </c>
      <c r="J836" s="6">
        <v>192130</v>
      </c>
      <c r="K836" s="6">
        <v>484992</v>
      </c>
      <c r="L836" s="6">
        <v>129287</v>
      </c>
      <c r="M836" s="6">
        <v>1577926</v>
      </c>
      <c r="N836" s="42">
        <v>1077881</v>
      </c>
      <c r="O836" s="42">
        <v>14870</v>
      </c>
      <c r="P836" s="42">
        <v>79308</v>
      </c>
      <c r="Q836" s="42">
        <v>256607</v>
      </c>
      <c r="R836" s="42">
        <v>2059500</v>
      </c>
      <c r="S836" s="43">
        <v>81041</v>
      </c>
      <c r="T836" s="42">
        <v>429509</v>
      </c>
    </row>
    <row r="837" spans="1:20" x14ac:dyDescent="0.3">
      <c r="A837" s="7">
        <v>44936</v>
      </c>
      <c r="B837" s="43"/>
      <c r="C837" s="6">
        <v>126028</v>
      </c>
      <c r="D837" s="6">
        <v>202713</v>
      </c>
      <c r="E837" s="6">
        <v>133888</v>
      </c>
      <c r="F837" s="13">
        <v>746163</v>
      </c>
      <c r="G837" s="6">
        <v>175745</v>
      </c>
      <c r="H837" s="6">
        <v>27566</v>
      </c>
      <c r="I837" s="6">
        <v>33266</v>
      </c>
      <c r="J837" s="6">
        <v>186383</v>
      </c>
      <c r="K837" s="6">
        <v>481519</v>
      </c>
      <c r="L837" s="6">
        <v>129961</v>
      </c>
      <c r="M837" s="6">
        <v>1557092</v>
      </c>
      <c r="N837" s="42">
        <v>1070386</v>
      </c>
      <c r="O837" s="42">
        <v>14891</v>
      </c>
      <c r="P837" s="42">
        <v>77628</v>
      </c>
      <c r="Q837" s="42">
        <v>253625</v>
      </c>
      <c r="R837" s="42">
        <v>2032566</v>
      </c>
      <c r="S837" s="43">
        <v>79632</v>
      </c>
      <c r="T837" s="42">
        <v>432408</v>
      </c>
    </row>
    <row r="838" spans="1:20" x14ac:dyDescent="0.3">
      <c r="A838" s="7">
        <v>44935</v>
      </c>
      <c r="B838" s="43"/>
      <c r="C838" s="6">
        <v>129000</v>
      </c>
      <c r="D838" s="6">
        <v>203295</v>
      </c>
      <c r="E838" s="6">
        <v>133878</v>
      </c>
      <c r="F838" s="13">
        <v>744729</v>
      </c>
      <c r="G838" s="6">
        <v>176254</v>
      </c>
      <c r="H838" s="6">
        <v>27986</v>
      </c>
      <c r="I838" s="6">
        <v>33861</v>
      </c>
      <c r="J838" s="6">
        <v>184132</v>
      </c>
      <c r="K838" s="6">
        <v>476352</v>
      </c>
      <c r="L838" s="6">
        <v>132893</v>
      </c>
      <c r="M838" s="6">
        <v>1534440</v>
      </c>
      <c r="N838" s="42">
        <v>1053790</v>
      </c>
      <c r="O838" s="42">
        <v>14029</v>
      </c>
      <c r="P838" s="42">
        <v>77926</v>
      </c>
      <c r="Q838" s="42">
        <v>250824</v>
      </c>
      <c r="R838" s="42">
        <v>2018139</v>
      </c>
      <c r="S838" s="43">
        <v>83296</v>
      </c>
      <c r="T838" s="42">
        <v>434099</v>
      </c>
    </row>
    <row r="839" spans="1:20" x14ac:dyDescent="0.3">
      <c r="A839" s="7">
        <v>44932</v>
      </c>
      <c r="B839" s="43"/>
      <c r="C839" s="6">
        <v>124148</v>
      </c>
      <c r="D839" s="6">
        <v>203002</v>
      </c>
      <c r="E839" s="6">
        <v>136467</v>
      </c>
      <c r="F839" s="13">
        <v>735757</v>
      </c>
      <c r="G839" s="6">
        <v>175607</v>
      </c>
      <c r="H839" s="6">
        <v>28186</v>
      </c>
      <c r="I839" s="6">
        <v>33028</v>
      </c>
      <c r="J839" s="6">
        <v>173267</v>
      </c>
      <c r="K839" s="6">
        <v>463250</v>
      </c>
      <c r="L839" s="6">
        <v>132541</v>
      </c>
      <c r="M839" s="6">
        <v>1515033</v>
      </c>
      <c r="N839" s="42">
        <v>1052553</v>
      </c>
      <c r="O839" s="42">
        <v>13795</v>
      </c>
      <c r="P839" s="42">
        <v>78308</v>
      </c>
      <c r="Q839" s="42">
        <v>251407</v>
      </c>
      <c r="R839" s="42">
        <v>2020160</v>
      </c>
      <c r="S839" s="43">
        <v>80705</v>
      </c>
      <c r="T839" s="42">
        <v>433782</v>
      </c>
    </row>
    <row r="840" spans="1:20" x14ac:dyDescent="0.3">
      <c r="A840" s="7">
        <v>44931</v>
      </c>
      <c r="B840" s="43"/>
      <c r="C840" s="6">
        <v>124926</v>
      </c>
      <c r="D840" s="6">
        <v>209737</v>
      </c>
      <c r="E840" s="6">
        <v>135094</v>
      </c>
      <c r="F840" s="13">
        <v>713745</v>
      </c>
      <c r="G840" s="6">
        <v>172233</v>
      </c>
      <c r="H840" s="6">
        <v>29569</v>
      </c>
      <c r="I840" s="6">
        <v>33336</v>
      </c>
      <c r="J840" s="6">
        <v>167035</v>
      </c>
      <c r="K840" s="6">
        <v>453485</v>
      </c>
      <c r="L840" s="6">
        <v>131136</v>
      </c>
      <c r="M840" s="6">
        <v>1504805</v>
      </c>
      <c r="N840" s="42">
        <v>1051705</v>
      </c>
      <c r="O840" s="42">
        <v>13726</v>
      </c>
      <c r="P840" s="42">
        <v>76542</v>
      </c>
      <c r="Q840" s="42">
        <v>251087</v>
      </c>
      <c r="R840" s="42">
        <v>2018946</v>
      </c>
      <c r="S840" s="43">
        <v>79395</v>
      </c>
      <c r="T840" s="42">
        <v>433323</v>
      </c>
    </row>
    <row r="841" spans="1:20" x14ac:dyDescent="0.3">
      <c r="A841" s="7">
        <v>44930</v>
      </c>
      <c r="B841" s="43"/>
      <c r="C841" s="6">
        <v>125693</v>
      </c>
      <c r="D841" s="6">
        <v>203028</v>
      </c>
      <c r="E841" s="6">
        <v>138073</v>
      </c>
      <c r="F841" s="13">
        <v>716489</v>
      </c>
      <c r="G841" s="6">
        <v>175646</v>
      </c>
      <c r="H841" s="6">
        <v>29215</v>
      </c>
      <c r="I841" s="6">
        <v>31498</v>
      </c>
      <c r="J841" s="6">
        <v>165266</v>
      </c>
      <c r="K841" s="6">
        <v>457408</v>
      </c>
      <c r="L841" s="6">
        <v>133209</v>
      </c>
      <c r="M841" s="6">
        <v>1501468</v>
      </c>
      <c r="N841" s="42">
        <v>1037823</v>
      </c>
      <c r="O841" s="42">
        <v>13688</v>
      </c>
      <c r="P841" s="42">
        <v>78296</v>
      </c>
      <c r="Q841" s="42">
        <v>245722</v>
      </c>
      <c r="R841" s="42">
        <v>2015603</v>
      </c>
      <c r="S841" s="43">
        <v>85302</v>
      </c>
      <c r="T841" s="42">
        <v>434078</v>
      </c>
    </row>
    <row r="842" spans="1:20" x14ac:dyDescent="0.3">
      <c r="A842" s="7">
        <v>44929</v>
      </c>
      <c r="B842" s="43"/>
      <c r="C842" s="6">
        <v>132960</v>
      </c>
      <c r="D842" s="6">
        <v>205722</v>
      </c>
      <c r="E842" s="6">
        <v>138995</v>
      </c>
      <c r="F842" s="13">
        <v>712030</v>
      </c>
      <c r="G842" s="6">
        <v>172590</v>
      </c>
      <c r="H842" s="6">
        <v>29773</v>
      </c>
      <c r="I842" s="6">
        <v>33250</v>
      </c>
      <c r="J842" s="6">
        <v>164594</v>
      </c>
      <c r="K842" s="6">
        <v>449393</v>
      </c>
      <c r="L842" s="6">
        <v>131990</v>
      </c>
      <c r="M842" s="6">
        <v>1459936</v>
      </c>
      <c r="N842" s="42">
        <v>1031182</v>
      </c>
      <c r="O842" s="42">
        <v>16059</v>
      </c>
      <c r="P842" s="42">
        <v>79731</v>
      </c>
      <c r="Q842" s="42">
        <v>244658</v>
      </c>
      <c r="R842" s="42">
        <v>2010996</v>
      </c>
      <c r="S842" s="43">
        <v>85791</v>
      </c>
      <c r="T842" s="42">
        <v>434205</v>
      </c>
    </row>
    <row r="843" spans="1:20" x14ac:dyDescent="0.3">
      <c r="A843" s="7">
        <v>44925</v>
      </c>
      <c r="B843" s="43"/>
      <c r="C843" s="6">
        <v>125974</v>
      </c>
      <c r="D843" s="6">
        <v>201908</v>
      </c>
      <c r="E843" s="6">
        <v>135584</v>
      </c>
      <c r="F843" s="13">
        <v>721877</v>
      </c>
      <c r="G843" s="6">
        <v>169312</v>
      </c>
      <c r="H843" s="6">
        <v>30505</v>
      </c>
      <c r="I843" s="6">
        <v>31928</v>
      </c>
      <c r="J843" s="6">
        <v>161493</v>
      </c>
      <c r="K843" s="6">
        <v>442189</v>
      </c>
      <c r="L843" s="6">
        <v>129722</v>
      </c>
      <c r="M843" s="6">
        <v>1440291</v>
      </c>
      <c r="N843" s="42">
        <v>1015956</v>
      </c>
      <c r="O843" s="42">
        <v>15779</v>
      </c>
      <c r="P843" s="42">
        <v>76110</v>
      </c>
      <c r="Q843" s="42">
        <v>241785</v>
      </c>
      <c r="R843" s="42">
        <v>2004839</v>
      </c>
      <c r="S843" s="43">
        <v>77413</v>
      </c>
      <c r="T843" s="42">
        <v>436467</v>
      </c>
    </row>
    <row r="844" spans="1:20" x14ac:dyDescent="0.3">
      <c r="A844" s="7">
        <v>44924</v>
      </c>
      <c r="B844" s="43"/>
      <c r="C844" s="6">
        <v>127852</v>
      </c>
      <c r="D844" s="6">
        <v>196017</v>
      </c>
      <c r="E844" s="6">
        <v>138018</v>
      </c>
      <c r="F844" s="13">
        <v>725201</v>
      </c>
      <c r="G844" s="6">
        <v>169078</v>
      </c>
      <c r="H844" s="6">
        <v>32106</v>
      </c>
      <c r="I844" s="6">
        <v>32375</v>
      </c>
      <c r="J844" s="6">
        <v>162593</v>
      </c>
      <c r="K844" s="6">
        <v>440513</v>
      </c>
      <c r="L844" s="6">
        <v>130232</v>
      </c>
      <c r="M844" s="6">
        <v>1430173</v>
      </c>
      <c r="N844" s="42">
        <v>1014878</v>
      </c>
      <c r="O844" s="42">
        <v>16046</v>
      </c>
      <c r="P844" s="42">
        <v>74939</v>
      </c>
      <c r="Q844" s="42">
        <v>245268</v>
      </c>
      <c r="R844" s="42">
        <v>1996269</v>
      </c>
      <c r="S844" s="43">
        <v>76227</v>
      </c>
      <c r="T844" s="42">
        <v>438493</v>
      </c>
    </row>
    <row r="845" spans="1:20" x14ac:dyDescent="0.3">
      <c r="A845" s="7">
        <v>44923</v>
      </c>
      <c r="B845" s="43"/>
      <c r="C845" s="6">
        <v>125564</v>
      </c>
      <c r="D845" s="6">
        <v>196436</v>
      </c>
      <c r="E845" s="6">
        <v>137328</v>
      </c>
      <c r="F845" s="13">
        <v>722502</v>
      </c>
      <c r="G845" s="6">
        <v>170639</v>
      </c>
      <c r="H845" s="6">
        <v>32725</v>
      </c>
      <c r="I845" s="6">
        <v>30318</v>
      </c>
      <c r="J845" s="6">
        <v>161353</v>
      </c>
      <c r="K845" s="6">
        <v>437837</v>
      </c>
      <c r="L845" s="6">
        <v>127930</v>
      </c>
      <c r="M845" s="6">
        <v>1415605</v>
      </c>
      <c r="N845" s="42">
        <v>1011657</v>
      </c>
      <c r="O845" s="42">
        <v>16143</v>
      </c>
      <c r="P845" s="42">
        <v>75071</v>
      </c>
      <c r="Q845" s="42">
        <v>247791</v>
      </c>
      <c r="R845" s="42">
        <v>1982313</v>
      </c>
      <c r="S845" s="43">
        <v>75324</v>
      </c>
      <c r="T845" s="42">
        <v>439029</v>
      </c>
    </row>
    <row r="846" spans="1:20" x14ac:dyDescent="0.3">
      <c r="A846" s="7">
        <v>44922</v>
      </c>
      <c r="B846" s="43"/>
      <c r="C846" s="6">
        <v>129195</v>
      </c>
      <c r="D846" s="6">
        <v>195440</v>
      </c>
      <c r="E846" s="6">
        <v>140544</v>
      </c>
      <c r="F846" s="13">
        <v>728387</v>
      </c>
      <c r="G846" s="6">
        <v>173136</v>
      </c>
      <c r="H846" s="6">
        <v>33552</v>
      </c>
      <c r="I846" s="6">
        <v>29851</v>
      </c>
      <c r="J846" s="6">
        <v>160334</v>
      </c>
      <c r="K846" s="6">
        <v>440040</v>
      </c>
      <c r="L846" s="6">
        <v>128467</v>
      </c>
      <c r="M846" s="6">
        <v>1413545</v>
      </c>
      <c r="N846" s="42">
        <v>1010790</v>
      </c>
      <c r="O846" s="42">
        <v>16028</v>
      </c>
      <c r="P846" s="42">
        <v>74950</v>
      </c>
      <c r="Q846" s="42">
        <v>250781</v>
      </c>
      <c r="R846" s="42">
        <v>1961310</v>
      </c>
      <c r="S846" s="43">
        <v>75311</v>
      </c>
      <c r="T846" s="42">
        <v>434774</v>
      </c>
    </row>
    <row r="847" spans="1:20" x14ac:dyDescent="0.3">
      <c r="A847" s="7">
        <v>44918</v>
      </c>
      <c r="B847" s="43"/>
      <c r="C847" s="6">
        <v>131473</v>
      </c>
      <c r="D847" s="6">
        <v>193323</v>
      </c>
      <c r="E847" s="6">
        <v>141059</v>
      </c>
      <c r="F847" s="13">
        <v>726931</v>
      </c>
      <c r="G847" s="6">
        <v>171957</v>
      </c>
      <c r="H847" s="6">
        <v>32746</v>
      </c>
      <c r="I847" s="6">
        <v>30493</v>
      </c>
      <c r="J847" s="6">
        <v>158357</v>
      </c>
      <c r="K847" s="6">
        <v>437566</v>
      </c>
      <c r="L847" s="6">
        <v>128531</v>
      </c>
      <c r="M847" s="5">
        <v>1404638</v>
      </c>
      <c r="N847" s="42">
        <v>1012597</v>
      </c>
      <c r="O847" s="42">
        <v>15224</v>
      </c>
      <c r="P847" s="42">
        <v>73025</v>
      </c>
      <c r="Q847" s="42">
        <v>248572</v>
      </c>
      <c r="R847" s="42">
        <v>1964452</v>
      </c>
      <c r="S847" s="43">
        <v>75817</v>
      </c>
      <c r="T847" s="42">
        <v>432714</v>
      </c>
    </row>
    <row r="848" spans="1:20" x14ac:dyDescent="0.3">
      <c r="A848" s="7">
        <v>44917</v>
      </c>
      <c r="B848" s="43"/>
      <c r="C848" s="6">
        <v>132515</v>
      </c>
      <c r="D848" s="6">
        <v>190106</v>
      </c>
      <c r="E848" s="6">
        <v>148785</v>
      </c>
      <c r="F848" s="13">
        <v>726182</v>
      </c>
      <c r="G848" s="6">
        <v>175222</v>
      </c>
      <c r="H848" s="6">
        <v>32825</v>
      </c>
      <c r="I848" s="6">
        <v>30238</v>
      </c>
      <c r="J848" s="6">
        <v>158815</v>
      </c>
      <c r="K848" s="6">
        <v>438592</v>
      </c>
      <c r="L848" s="6">
        <v>127676</v>
      </c>
      <c r="M848" s="6">
        <v>1394843</v>
      </c>
      <c r="N848" s="42">
        <v>1013817</v>
      </c>
      <c r="O848" s="42">
        <v>15040</v>
      </c>
      <c r="P848" s="42">
        <v>72880</v>
      </c>
      <c r="Q848" s="42">
        <v>250804</v>
      </c>
      <c r="R848" s="42">
        <v>1971322</v>
      </c>
      <c r="S848" s="43">
        <v>79412</v>
      </c>
      <c r="T848" s="42">
        <v>437759</v>
      </c>
    </row>
    <row r="849" spans="1:20" x14ac:dyDescent="0.3">
      <c r="A849" s="7">
        <v>44916</v>
      </c>
      <c r="B849" s="43"/>
      <c r="C849" s="6">
        <v>128776</v>
      </c>
      <c r="D849" s="6">
        <v>190115</v>
      </c>
      <c r="E849" s="6">
        <v>147924</v>
      </c>
      <c r="F849" s="13">
        <v>724758</v>
      </c>
      <c r="G849" s="6">
        <v>177235</v>
      </c>
      <c r="H849" s="6">
        <v>31577</v>
      </c>
      <c r="I849" s="6">
        <v>30257</v>
      </c>
      <c r="J849" s="6">
        <v>157028</v>
      </c>
      <c r="K849" s="6">
        <v>441879</v>
      </c>
      <c r="L849" s="6">
        <v>128988</v>
      </c>
      <c r="M849" s="6">
        <v>1400632</v>
      </c>
      <c r="N849" s="42">
        <v>1004280</v>
      </c>
      <c r="O849" s="42">
        <v>14474</v>
      </c>
      <c r="P849" s="42">
        <v>74939</v>
      </c>
      <c r="Q849" s="42">
        <v>246335</v>
      </c>
      <c r="R849" s="42">
        <v>1974933</v>
      </c>
      <c r="S849" s="43">
        <v>78583</v>
      </c>
      <c r="T849" s="42">
        <v>430923</v>
      </c>
    </row>
    <row r="850" spans="1:20" x14ac:dyDescent="0.3">
      <c r="A850" s="7">
        <v>44915</v>
      </c>
      <c r="B850" s="43"/>
      <c r="C850" s="6">
        <v>170195</v>
      </c>
      <c r="D850" s="6">
        <v>228057</v>
      </c>
      <c r="E850" s="6">
        <v>180857</v>
      </c>
      <c r="F850" s="13">
        <v>859538</v>
      </c>
      <c r="G850" s="6">
        <v>237955</v>
      </c>
      <c r="H850" s="6">
        <v>55333</v>
      </c>
      <c r="I850" s="6">
        <v>54417</v>
      </c>
      <c r="J850" s="6">
        <v>156204</v>
      </c>
      <c r="K850" s="6">
        <v>436653</v>
      </c>
      <c r="L850" s="6">
        <v>129278</v>
      </c>
      <c r="M850" s="6">
        <v>1395622</v>
      </c>
      <c r="N850" s="42">
        <v>1004162</v>
      </c>
      <c r="O850" s="42">
        <v>14563</v>
      </c>
      <c r="P850" s="42">
        <v>72605</v>
      </c>
      <c r="Q850" s="42">
        <v>245045</v>
      </c>
      <c r="R850" s="42">
        <v>1986847</v>
      </c>
      <c r="S850" s="43">
        <v>82530</v>
      </c>
      <c r="T850" s="42">
        <v>438415</v>
      </c>
    </row>
    <row r="851" spans="1:20" x14ac:dyDescent="0.3">
      <c r="A851" s="7">
        <v>44914</v>
      </c>
      <c r="B851" s="43"/>
      <c r="C851" s="6">
        <v>166983</v>
      </c>
      <c r="D851" s="6">
        <v>226855</v>
      </c>
      <c r="E851" s="6">
        <v>184128</v>
      </c>
      <c r="F851" s="13">
        <v>857013</v>
      </c>
      <c r="G851" s="6">
        <v>228976</v>
      </c>
      <c r="H851" s="6">
        <v>54196</v>
      </c>
      <c r="I851" s="6">
        <v>55145</v>
      </c>
      <c r="J851" s="6">
        <v>155405</v>
      </c>
      <c r="K851" s="6">
        <v>424801</v>
      </c>
      <c r="L851" s="6">
        <v>123876</v>
      </c>
      <c r="M851" s="6">
        <v>1397289</v>
      </c>
      <c r="N851" s="42">
        <v>1004890</v>
      </c>
      <c r="O851" s="42">
        <v>14784</v>
      </c>
      <c r="P851" s="42">
        <v>75406</v>
      </c>
      <c r="Q851" s="42">
        <v>241262</v>
      </c>
      <c r="R851" s="42">
        <v>1985254</v>
      </c>
      <c r="S851" s="43">
        <v>79366</v>
      </c>
      <c r="T851" s="42">
        <v>440127</v>
      </c>
    </row>
    <row r="852" spans="1:20" x14ac:dyDescent="0.3">
      <c r="A852" s="7">
        <v>44911</v>
      </c>
      <c r="B852" s="43"/>
      <c r="C852" s="6">
        <v>167978</v>
      </c>
      <c r="D852" s="6">
        <v>225870</v>
      </c>
      <c r="E852" s="6">
        <v>185029</v>
      </c>
      <c r="F852" s="13">
        <v>855214</v>
      </c>
      <c r="G852" s="6">
        <v>228757</v>
      </c>
      <c r="H852" s="6">
        <v>54566</v>
      </c>
      <c r="I852" s="6">
        <v>54122</v>
      </c>
      <c r="J852" s="6">
        <v>155636</v>
      </c>
      <c r="K852" s="6">
        <v>424625</v>
      </c>
      <c r="L852" s="6">
        <v>124031</v>
      </c>
      <c r="M852" s="6">
        <v>1409494</v>
      </c>
      <c r="N852" s="42">
        <v>1003200</v>
      </c>
      <c r="O852" s="42">
        <v>14898</v>
      </c>
      <c r="P852" s="42">
        <v>105459</v>
      </c>
      <c r="Q852" s="42">
        <v>308634</v>
      </c>
      <c r="R852" s="42">
        <v>2490207</v>
      </c>
      <c r="S852" s="43">
        <v>89220</v>
      </c>
      <c r="T852" s="42">
        <v>531673</v>
      </c>
    </row>
    <row r="853" spans="1:20" x14ac:dyDescent="0.3">
      <c r="A853" s="7">
        <v>44910</v>
      </c>
      <c r="B853" s="43"/>
      <c r="C853" s="6">
        <v>165566</v>
      </c>
      <c r="D853" s="6">
        <v>228706</v>
      </c>
      <c r="E853" s="6">
        <v>180164</v>
      </c>
      <c r="F853" s="13">
        <v>864043</v>
      </c>
      <c r="G853" s="6">
        <v>234723</v>
      </c>
      <c r="H853" s="6">
        <v>56048</v>
      </c>
      <c r="I853" s="6">
        <v>52712</v>
      </c>
      <c r="J853" s="6">
        <v>158084</v>
      </c>
      <c r="K853" s="6">
        <v>426124</v>
      </c>
      <c r="L853" s="6">
        <v>123733</v>
      </c>
      <c r="M853" s="6">
        <v>1413200</v>
      </c>
      <c r="N853" s="42">
        <v>1006089</v>
      </c>
      <c r="O853" s="42">
        <v>14545</v>
      </c>
      <c r="P853" s="42">
        <v>106869</v>
      </c>
      <c r="Q853" s="42">
        <v>311206</v>
      </c>
      <c r="R853" s="42">
        <v>2463121</v>
      </c>
      <c r="S853" s="43">
        <v>83541</v>
      </c>
      <c r="T853" s="42">
        <v>525386</v>
      </c>
    </row>
    <row r="854" spans="1:20" x14ac:dyDescent="0.3">
      <c r="A854" s="7">
        <v>44909</v>
      </c>
      <c r="B854" s="43"/>
      <c r="C854" s="6">
        <v>167074</v>
      </c>
      <c r="D854" s="6">
        <v>230307</v>
      </c>
      <c r="E854" s="6">
        <v>174600</v>
      </c>
      <c r="F854" s="13">
        <v>808395</v>
      </c>
      <c r="G854" s="6">
        <v>226370</v>
      </c>
      <c r="H854" s="6">
        <v>55066</v>
      </c>
      <c r="I854" s="6">
        <v>54477</v>
      </c>
      <c r="J854" s="6">
        <v>159880</v>
      </c>
      <c r="K854" s="6">
        <v>436334</v>
      </c>
      <c r="L854" s="6">
        <v>126077</v>
      </c>
      <c r="M854" s="6">
        <v>1429706</v>
      </c>
      <c r="N854" s="42">
        <v>997787</v>
      </c>
      <c r="O854" s="42">
        <v>14110</v>
      </c>
      <c r="P854" s="42">
        <v>105534</v>
      </c>
      <c r="Q854" s="42">
        <v>312503</v>
      </c>
      <c r="R854" s="42">
        <v>2488973</v>
      </c>
      <c r="S854" s="43">
        <v>66362</v>
      </c>
      <c r="T854" s="42">
        <v>525890</v>
      </c>
    </row>
    <row r="855" spans="1:20" x14ac:dyDescent="0.3">
      <c r="A855" s="7">
        <v>44908</v>
      </c>
      <c r="B855" s="43"/>
      <c r="C855" s="6">
        <v>172269</v>
      </c>
      <c r="D855" s="6">
        <v>240264</v>
      </c>
      <c r="E855" s="6">
        <v>169433</v>
      </c>
      <c r="F855" s="13">
        <v>772800</v>
      </c>
      <c r="G855" s="6">
        <v>226964</v>
      </c>
      <c r="H855" s="6">
        <v>55294</v>
      </c>
      <c r="I855" s="6">
        <v>49340</v>
      </c>
      <c r="J855" s="6">
        <v>162191</v>
      </c>
      <c r="K855" s="6">
        <v>437040</v>
      </c>
      <c r="L855" s="6">
        <v>125555</v>
      </c>
      <c r="M855" s="6">
        <v>1450482</v>
      </c>
      <c r="N855" s="42">
        <v>996823</v>
      </c>
      <c r="O855" s="42">
        <v>13989</v>
      </c>
      <c r="P855" s="42">
        <v>106454</v>
      </c>
      <c r="Q855" s="42">
        <v>312984</v>
      </c>
      <c r="R855" s="42">
        <v>2477140</v>
      </c>
      <c r="S855" s="43">
        <v>98846</v>
      </c>
      <c r="T855" s="42">
        <v>519430</v>
      </c>
    </row>
    <row r="856" spans="1:20" x14ac:dyDescent="0.3">
      <c r="A856" s="7">
        <v>44907</v>
      </c>
      <c r="B856" s="43"/>
      <c r="C856" s="6">
        <v>159806</v>
      </c>
      <c r="D856" s="6">
        <v>237363</v>
      </c>
      <c r="E856" s="6">
        <v>156364</v>
      </c>
      <c r="F856" s="13">
        <v>742371</v>
      </c>
      <c r="G856" s="6">
        <v>211385</v>
      </c>
      <c r="H856" s="6">
        <v>50349</v>
      </c>
      <c r="I856" s="6">
        <v>42279</v>
      </c>
      <c r="J856" s="6">
        <v>160308</v>
      </c>
      <c r="K856" s="6">
        <v>424139</v>
      </c>
      <c r="L856" s="6">
        <v>122491</v>
      </c>
      <c r="M856" s="6">
        <v>1462221</v>
      </c>
      <c r="N856" s="42">
        <v>988733</v>
      </c>
      <c r="O856" s="42">
        <v>14265</v>
      </c>
      <c r="P856" s="42">
        <v>100965</v>
      </c>
      <c r="Q856" s="42">
        <v>300939</v>
      </c>
      <c r="R856" s="42">
        <v>2412659</v>
      </c>
      <c r="S856" s="43">
        <v>95934</v>
      </c>
      <c r="T856" s="42">
        <v>500194</v>
      </c>
    </row>
    <row r="857" spans="1:20" x14ac:dyDescent="0.3">
      <c r="A857" s="7">
        <v>44904</v>
      </c>
      <c r="B857" s="43"/>
      <c r="C857" s="6">
        <v>161319</v>
      </c>
      <c r="D857" s="6">
        <v>231655</v>
      </c>
      <c r="E857" s="6">
        <v>151606</v>
      </c>
      <c r="F857" s="13">
        <v>724805</v>
      </c>
      <c r="G857" s="6">
        <v>207666</v>
      </c>
      <c r="H857" s="6">
        <v>45376</v>
      </c>
      <c r="I857" s="6">
        <v>42974</v>
      </c>
      <c r="J857" s="6">
        <v>161879</v>
      </c>
      <c r="K857" s="6">
        <v>427790</v>
      </c>
      <c r="L857" s="6">
        <v>123611</v>
      </c>
      <c r="M857" s="6">
        <v>1458924</v>
      </c>
      <c r="N857" s="42">
        <v>993769</v>
      </c>
      <c r="O857" s="42">
        <v>14412</v>
      </c>
      <c r="P857" s="42">
        <v>90159</v>
      </c>
      <c r="Q857" s="42">
        <v>268878</v>
      </c>
      <c r="R857" s="42">
        <v>2305441</v>
      </c>
      <c r="S857" s="43">
        <v>94428</v>
      </c>
      <c r="T857" s="42">
        <v>495662</v>
      </c>
    </row>
    <row r="858" spans="1:20" x14ac:dyDescent="0.3">
      <c r="A858" s="7">
        <v>44903</v>
      </c>
      <c r="B858" s="43"/>
      <c r="C858" s="6">
        <v>162346</v>
      </c>
      <c r="D858" s="6">
        <v>231985</v>
      </c>
      <c r="E858" s="6">
        <v>152976</v>
      </c>
      <c r="F858" s="13">
        <v>727009</v>
      </c>
      <c r="G858" s="6">
        <v>220095</v>
      </c>
      <c r="H858" s="6">
        <v>45830</v>
      </c>
      <c r="I858" s="6">
        <v>40464</v>
      </c>
      <c r="J858" s="6">
        <v>161457</v>
      </c>
      <c r="K858" s="6">
        <v>423883</v>
      </c>
      <c r="L858" s="6">
        <v>122577</v>
      </c>
      <c r="M858" s="6">
        <v>1448121</v>
      </c>
      <c r="N858" s="42">
        <v>997483</v>
      </c>
      <c r="O858" s="42">
        <v>14675</v>
      </c>
      <c r="P858" s="42">
        <v>87083</v>
      </c>
      <c r="Q858" s="42">
        <v>262598</v>
      </c>
      <c r="R858" s="42">
        <v>2311244</v>
      </c>
      <c r="S858" s="43">
        <v>95288</v>
      </c>
      <c r="T858" s="42">
        <v>493577</v>
      </c>
    </row>
    <row r="859" spans="1:20" x14ac:dyDescent="0.3">
      <c r="A859" s="7">
        <v>44902</v>
      </c>
      <c r="B859" s="43"/>
      <c r="C859" s="6">
        <v>158102</v>
      </c>
      <c r="D859" s="6">
        <v>232703</v>
      </c>
      <c r="E859" s="6">
        <v>155403</v>
      </c>
      <c r="F859" s="13">
        <v>725083</v>
      </c>
      <c r="G859" s="6">
        <v>222653</v>
      </c>
      <c r="H859" s="6">
        <v>45224</v>
      </c>
      <c r="I859" s="6">
        <v>40686</v>
      </c>
      <c r="J859" s="6">
        <v>160382</v>
      </c>
      <c r="K859" s="6">
        <v>422644</v>
      </c>
      <c r="L859" s="6">
        <v>123267</v>
      </c>
      <c r="M859" s="6">
        <v>1447227</v>
      </c>
      <c r="N859" s="42">
        <v>1003287</v>
      </c>
      <c r="O859" s="42">
        <v>15811</v>
      </c>
      <c r="P859" s="42">
        <v>82976</v>
      </c>
      <c r="Q859" s="42">
        <v>252922</v>
      </c>
      <c r="R859" s="42">
        <v>2286317</v>
      </c>
      <c r="S859" s="43">
        <v>97978</v>
      </c>
      <c r="T859" s="42">
        <v>486494</v>
      </c>
    </row>
    <row r="860" spans="1:20" x14ac:dyDescent="0.3">
      <c r="A860" s="7">
        <v>44901</v>
      </c>
      <c r="B860" s="43"/>
      <c r="C860" s="6">
        <v>158755</v>
      </c>
      <c r="D860" s="6">
        <v>230311</v>
      </c>
      <c r="E860" s="6">
        <v>148891</v>
      </c>
      <c r="F860" s="13">
        <v>711537</v>
      </c>
      <c r="G860" s="6">
        <v>223424</v>
      </c>
      <c r="H860" s="6">
        <v>42954</v>
      </c>
      <c r="I860" s="6">
        <v>40171</v>
      </c>
      <c r="J860" s="6">
        <v>158762</v>
      </c>
      <c r="K860" s="6">
        <v>422100</v>
      </c>
      <c r="L860" s="6">
        <v>122558</v>
      </c>
      <c r="M860" s="6">
        <v>1436728</v>
      </c>
      <c r="N860" s="42">
        <v>1010479</v>
      </c>
      <c r="O860" s="42">
        <v>15769</v>
      </c>
      <c r="P860" s="42">
        <v>81777</v>
      </c>
      <c r="Q860" s="42">
        <v>250102</v>
      </c>
      <c r="R860" s="42">
        <v>2287691</v>
      </c>
      <c r="S860" s="43">
        <v>100136</v>
      </c>
      <c r="T860" s="42">
        <v>482440</v>
      </c>
    </row>
    <row r="861" spans="1:20" x14ac:dyDescent="0.3">
      <c r="A861" s="7">
        <v>44900</v>
      </c>
      <c r="B861" s="43"/>
      <c r="C861" s="6">
        <v>157519</v>
      </c>
      <c r="D861" s="6">
        <v>227800</v>
      </c>
      <c r="E861" s="6">
        <v>139102</v>
      </c>
      <c r="F861" s="13">
        <v>710250</v>
      </c>
      <c r="G861" s="6">
        <v>223292</v>
      </c>
      <c r="H861" s="6">
        <v>42226</v>
      </c>
      <c r="I861" s="6">
        <v>39339</v>
      </c>
      <c r="J861" s="6">
        <v>157101</v>
      </c>
      <c r="K861" s="6">
        <v>427208</v>
      </c>
      <c r="L861" s="6">
        <v>123529</v>
      </c>
      <c r="M861" s="6">
        <v>1437479</v>
      </c>
      <c r="N861" s="42">
        <v>1006026</v>
      </c>
      <c r="O861" s="42">
        <v>15903</v>
      </c>
      <c r="P861" s="42">
        <v>81141</v>
      </c>
      <c r="Q861" s="42">
        <v>246845</v>
      </c>
      <c r="R861" s="42">
        <v>2301629</v>
      </c>
      <c r="S861" s="43">
        <v>95793</v>
      </c>
      <c r="T861" s="42">
        <v>473539</v>
      </c>
    </row>
    <row r="862" spans="1:20" x14ac:dyDescent="0.3">
      <c r="A862" s="7">
        <v>44897</v>
      </c>
      <c r="B862" s="43"/>
      <c r="C862" s="6">
        <v>158315</v>
      </c>
      <c r="D862" s="6">
        <v>227064</v>
      </c>
      <c r="E862" s="6">
        <v>132442</v>
      </c>
      <c r="F862" s="13">
        <v>714747</v>
      </c>
      <c r="G862" s="6">
        <v>224508</v>
      </c>
      <c r="H862" s="6">
        <v>42427</v>
      </c>
      <c r="I862" s="6">
        <v>40237</v>
      </c>
      <c r="J862" s="6">
        <v>153086</v>
      </c>
      <c r="K862" s="6">
        <v>436240</v>
      </c>
      <c r="L862" s="6">
        <v>126227</v>
      </c>
      <c r="M862" s="6">
        <v>1410821</v>
      </c>
      <c r="N862" s="42">
        <v>999102</v>
      </c>
      <c r="O862" s="42">
        <v>15925</v>
      </c>
      <c r="P862" s="42">
        <v>80241</v>
      </c>
      <c r="Q862" s="42">
        <v>246396</v>
      </c>
      <c r="R862" s="42">
        <v>2327759</v>
      </c>
      <c r="S862" s="43">
        <v>99098</v>
      </c>
      <c r="T862" s="42">
        <v>468378</v>
      </c>
    </row>
    <row r="863" spans="1:20" x14ac:dyDescent="0.3">
      <c r="A863" s="7">
        <v>44896</v>
      </c>
      <c r="B863" s="43"/>
      <c r="C863" s="6">
        <v>160286</v>
      </c>
      <c r="D863" s="6">
        <v>228841</v>
      </c>
      <c r="E863" s="6">
        <v>130829</v>
      </c>
      <c r="F863" s="13">
        <v>720441</v>
      </c>
      <c r="G863" s="6">
        <v>229687</v>
      </c>
      <c r="H863" s="6">
        <v>44324</v>
      </c>
      <c r="I863" s="6">
        <v>40992</v>
      </c>
      <c r="J863" s="6">
        <v>151807</v>
      </c>
      <c r="K863" s="6">
        <v>441702</v>
      </c>
      <c r="L863" s="6">
        <v>125798</v>
      </c>
      <c r="M863" s="6">
        <v>1414811</v>
      </c>
      <c r="N863" s="42">
        <v>991956</v>
      </c>
      <c r="O863" s="42">
        <v>16037</v>
      </c>
      <c r="P863" s="42">
        <v>79523</v>
      </c>
      <c r="Q863" s="42">
        <v>252557</v>
      </c>
      <c r="R863" s="42">
        <v>2325113</v>
      </c>
      <c r="S863" s="43">
        <v>101311</v>
      </c>
      <c r="T863" s="42">
        <v>469217</v>
      </c>
    </row>
    <row r="864" spans="1:20" x14ac:dyDescent="0.3">
      <c r="A864" s="7">
        <v>44895</v>
      </c>
      <c r="B864" s="43"/>
      <c r="C864" s="6">
        <v>160181</v>
      </c>
      <c r="D864" s="6">
        <v>226793</v>
      </c>
      <c r="E864" s="6">
        <v>131732</v>
      </c>
      <c r="F864" s="13">
        <v>698974</v>
      </c>
      <c r="G864" s="6">
        <v>230493</v>
      </c>
      <c r="H864" s="6">
        <v>46042</v>
      </c>
      <c r="I864" s="6">
        <v>39879</v>
      </c>
      <c r="J864" s="6">
        <v>149642</v>
      </c>
      <c r="K864" s="6">
        <v>429283</v>
      </c>
      <c r="L864" s="6">
        <v>122380</v>
      </c>
      <c r="M864" s="6">
        <v>1420782</v>
      </c>
      <c r="N864" s="42">
        <v>990271</v>
      </c>
      <c r="O864" s="42">
        <v>16402</v>
      </c>
      <c r="P864" s="42">
        <v>79187</v>
      </c>
      <c r="Q864" s="42">
        <v>256803</v>
      </c>
      <c r="R864" s="42">
        <v>2345292</v>
      </c>
      <c r="S864" s="43">
        <v>100727</v>
      </c>
      <c r="T864" s="42">
        <v>472165</v>
      </c>
    </row>
    <row r="865" spans="1:20" x14ac:dyDescent="0.3">
      <c r="A865" s="7">
        <v>44894</v>
      </c>
      <c r="B865" s="43"/>
      <c r="C865" s="6">
        <v>159378</v>
      </c>
      <c r="D865" s="6">
        <v>225480</v>
      </c>
      <c r="E865" s="6">
        <v>136654</v>
      </c>
      <c r="F865" s="13">
        <v>695776</v>
      </c>
      <c r="G865" s="6">
        <v>228328</v>
      </c>
      <c r="H865" s="6">
        <v>46180</v>
      </c>
      <c r="I865" s="6">
        <v>41360</v>
      </c>
      <c r="J865" s="6">
        <v>146760</v>
      </c>
      <c r="K865" s="6">
        <v>433661</v>
      </c>
      <c r="L865" s="6">
        <v>121258</v>
      </c>
      <c r="M865" s="6">
        <v>1412121</v>
      </c>
      <c r="N865" s="42">
        <v>985010</v>
      </c>
      <c r="O865" s="42">
        <v>16832</v>
      </c>
      <c r="P865" s="42">
        <v>79083</v>
      </c>
      <c r="Q865" s="42">
        <v>254245</v>
      </c>
      <c r="R865" s="42">
        <v>2314527</v>
      </c>
      <c r="S865" s="43">
        <v>99036</v>
      </c>
      <c r="T865" s="42">
        <v>473882</v>
      </c>
    </row>
    <row r="866" spans="1:20" x14ac:dyDescent="0.3">
      <c r="A866" s="7">
        <v>44893</v>
      </c>
      <c r="B866" s="43"/>
      <c r="C866" s="6">
        <v>153676</v>
      </c>
      <c r="D866" s="6">
        <v>221222</v>
      </c>
      <c r="E866" s="6">
        <v>136851</v>
      </c>
      <c r="F866" s="13">
        <v>692922</v>
      </c>
      <c r="G866" s="6">
        <v>228490</v>
      </c>
      <c r="H866" s="6">
        <v>45097</v>
      </c>
      <c r="I866" s="6">
        <v>40983</v>
      </c>
      <c r="J866" s="6">
        <v>149452</v>
      </c>
      <c r="K866" s="6">
        <v>437601</v>
      </c>
      <c r="L866" s="6">
        <v>122077</v>
      </c>
      <c r="M866" s="6">
        <v>1407065</v>
      </c>
      <c r="N866" s="42">
        <v>982994</v>
      </c>
      <c r="O866" s="42">
        <v>17991</v>
      </c>
      <c r="P866" s="42">
        <v>80949</v>
      </c>
      <c r="Q866" s="42">
        <v>251940</v>
      </c>
      <c r="R866" s="42">
        <v>2317091</v>
      </c>
      <c r="S866" s="43">
        <v>98063</v>
      </c>
      <c r="T866" s="42">
        <v>474416</v>
      </c>
    </row>
    <row r="867" spans="1:20" x14ac:dyDescent="0.3">
      <c r="A867" s="7">
        <v>44890</v>
      </c>
      <c r="B867" s="43"/>
      <c r="C867" s="6">
        <v>160203</v>
      </c>
      <c r="D867" s="6">
        <v>224369</v>
      </c>
      <c r="E867" s="6">
        <v>136488</v>
      </c>
      <c r="F867" s="13">
        <v>689518</v>
      </c>
      <c r="G867" s="6">
        <v>227759</v>
      </c>
      <c r="H867" s="6">
        <v>44266</v>
      </c>
      <c r="I867" s="6">
        <v>41051</v>
      </c>
      <c r="J867" s="6">
        <v>151578</v>
      </c>
      <c r="K867" s="6">
        <v>441774</v>
      </c>
      <c r="L867" s="6">
        <v>126799</v>
      </c>
      <c r="M867" s="6">
        <v>1413346</v>
      </c>
      <c r="N867" s="42">
        <v>983769</v>
      </c>
      <c r="O867" s="42">
        <v>17598</v>
      </c>
      <c r="P867" s="42">
        <v>82674</v>
      </c>
      <c r="Q867" s="42">
        <v>252240</v>
      </c>
      <c r="R867" s="42">
        <v>2299738</v>
      </c>
      <c r="S867" s="43">
        <v>94315</v>
      </c>
      <c r="T867" s="42">
        <v>473718</v>
      </c>
    </row>
    <row r="868" spans="1:20" x14ac:dyDescent="0.3">
      <c r="A868" s="7">
        <v>44888</v>
      </c>
      <c r="B868" s="43"/>
      <c r="C868" s="6">
        <v>159394</v>
      </c>
      <c r="D868" s="6">
        <v>223727</v>
      </c>
      <c r="E868" s="6">
        <v>136749</v>
      </c>
      <c r="F868" s="13">
        <v>683143</v>
      </c>
      <c r="G868" s="6">
        <v>228866</v>
      </c>
      <c r="H868" s="6">
        <v>43746</v>
      </c>
      <c r="I868" s="6">
        <v>41367</v>
      </c>
      <c r="J868" s="6">
        <v>154163</v>
      </c>
      <c r="K868" s="6">
        <v>447194</v>
      </c>
      <c r="L868" s="6">
        <v>128198</v>
      </c>
      <c r="M868" s="6">
        <v>1413041</v>
      </c>
      <c r="N868" s="42">
        <v>987391</v>
      </c>
      <c r="O868" s="42">
        <v>17753</v>
      </c>
      <c r="P868" s="42">
        <v>79764</v>
      </c>
      <c r="Q868" s="42">
        <v>253313</v>
      </c>
      <c r="R868" s="42">
        <v>2295694</v>
      </c>
      <c r="S868" s="43">
        <v>96506</v>
      </c>
      <c r="T868" s="42">
        <v>475009</v>
      </c>
    </row>
    <row r="869" spans="1:20" x14ac:dyDescent="0.3">
      <c r="A869" s="7">
        <v>44887</v>
      </c>
      <c r="B869" s="43"/>
      <c r="C869" s="6">
        <v>156807</v>
      </c>
      <c r="D869" s="6">
        <v>222317</v>
      </c>
      <c r="E869" s="6">
        <v>134901</v>
      </c>
      <c r="F869" s="13">
        <v>680873</v>
      </c>
      <c r="G869" s="6">
        <v>227435</v>
      </c>
      <c r="H869" s="6">
        <v>42589</v>
      </c>
      <c r="I869" s="6">
        <v>41440</v>
      </c>
      <c r="J869" s="6">
        <v>155127</v>
      </c>
      <c r="K869" s="6">
        <v>449542</v>
      </c>
      <c r="L869" s="6">
        <v>128907</v>
      </c>
      <c r="M869" s="6">
        <v>1405565</v>
      </c>
      <c r="N869" s="42">
        <v>981849</v>
      </c>
      <c r="O869" s="42">
        <v>18354</v>
      </c>
      <c r="P869" s="42">
        <v>79266</v>
      </c>
      <c r="Q869" s="42">
        <v>252712</v>
      </c>
      <c r="R869" s="42">
        <v>2304077</v>
      </c>
      <c r="S869" s="43">
        <v>99399</v>
      </c>
      <c r="T869" s="42">
        <v>474924</v>
      </c>
    </row>
    <row r="870" spans="1:20" x14ac:dyDescent="0.3">
      <c r="A870" s="7">
        <v>44886</v>
      </c>
      <c r="B870" s="43"/>
      <c r="C870" s="6">
        <v>157640</v>
      </c>
      <c r="D870" s="6">
        <v>221934</v>
      </c>
      <c r="E870" s="6">
        <v>136183</v>
      </c>
      <c r="F870" s="13">
        <v>686574</v>
      </c>
      <c r="G870" s="6">
        <v>228980</v>
      </c>
      <c r="H870" s="6">
        <v>42182</v>
      </c>
      <c r="I870" s="6">
        <v>42431</v>
      </c>
      <c r="J870" s="6">
        <v>157390</v>
      </c>
      <c r="K870" s="6">
        <v>462317</v>
      </c>
      <c r="L870" s="6">
        <v>135095</v>
      </c>
      <c r="M870" s="6">
        <v>1417893</v>
      </c>
      <c r="N870" s="42">
        <v>985522</v>
      </c>
      <c r="O870" s="42">
        <v>19512</v>
      </c>
      <c r="P870" s="42">
        <v>74844</v>
      </c>
      <c r="Q870" s="42">
        <v>249676</v>
      </c>
      <c r="R870" s="42">
        <v>2303928</v>
      </c>
      <c r="S870" s="43">
        <v>93384</v>
      </c>
      <c r="T870" s="42">
        <v>470253</v>
      </c>
    </row>
    <row r="871" spans="1:20" x14ac:dyDescent="0.3">
      <c r="A871" s="7">
        <v>44883</v>
      </c>
      <c r="B871" s="43"/>
      <c r="C871" s="6">
        <v>157896</v>
      </c>
      <c r="D871" s="6">
        <v>222700</v>
      </c>
      <c r="E871" s="6">
        <v>138182</v>
      </c>
      <c r="F871" s="13">
        <v>677915</v>
      </c>
      <c r="G871" s="6">
        <v>229589</v>
      </c>
      <c r="H871" s="6">
        <v>41168</v>
      </c>
      <c r="I871" s="6">
        <v>42021</v>
      </c>
      <c r="J871" s="6">
        <v>161956</v>
      </c>
      <c r="K871" s="6">
        <v>471947</v>
      </c>
      <c r="L871" s="6">
        <v>137054</v>
      </c>
      <c r="M871" s="6">
        <v>1439585</v>
      </c>
      <c r="N871" s="42">
        <v>985288</v>
      </c>
      <c r="O871" s="42">
        <v>19286</v>
      </c>
      <c r="P871" s="42">
        <v>74558</v>
      </c>
      <c r="Q871" s="42">
        <v>249851</v>
      </c>
      <c r="R871" s="42">
        <v>2313011</v>
      </c>
      <c r="S871" s="43">
        <v>99053</v>
      </c>
      <c r="T871" s="42">
        <v>471816</v>
      </c>
    </row>
    <row r="872" spans="1:20" x14ac:dyDescent="0.3">
      <c r="A872" s="7">
        <v>44882</v>
      </c>
      <c r="B872" s="43"/>
      <c r="C872" s="6">
        <v>160129</v>
      </c>
      <c r="D872" s="6">
        <v>224612</v>
      </c>
      <c r="E872" s="6">
        <v>138549</v>
      </c>
      <c r="F872" s="13">
        <v>679032</v>
      </c>
      <c r="G872" s="6">
        <v>229537</v>
      </c>
      <c r="H872" s="6">
        <v>41100</v>
      </c>
      <c r="I872" s="6">
        <v>42118</v>
      </c>
      <c r="J872" s="6">
        <v>163863</v>
      </c>
      <c r="K872" s="6">
        <v>474243</v>
      </c>
      <c r="L872" s="6">
        <v>138792</v>
      </c>
      <c r="M872" s="6">
        <v>1451894</v>
      </c>
      <c r="N872" s="42">
        <v>989626</v>
      </c>
      <c r="O872" s="42">
        <v>18974</v>
      </c>
      <c r="P872" s="42">
        <v>72824</v>
      </c>
      <c r="Q872" s="42">
        <v>252057</v>
      </c>
      <c r="R872" s="42">
        <v>2326177</v>
      </c>
      <c r="S872" s="43">
        <v>96504</v>
      </c>
      <c r="T872" s="42">
        <v>469987</v>
      </c>
    </row>
    <row r="873" spans="1:20" x14ac:dyDescent="0.3">
      <c r="A873" s="7">
        <v>44881</v>
      </c>
      <c r="B873" s="43"/>
      <c r="C873" s="6">
        <v>162868</v>
      </c>
      <c r="D873" s="6">
        <v>226965</v>
      </c>
      <c r="E873" s="6">
        <v>139023</v>
      </c>
      <c r="F873" s="13">
        <v>680173</v>
      </c>
      <c r="G873" s="6">
        <v>233825</v>
      </c>
      <c r="H873" s="6">
        <v>41972</v>
      </c>
      <c r="I873" s="6">
        <v>42247</v>
      </c>
      <c r="J873" s="6">
        <v>166775</v>
      </c>
      <c r="K873" s="6">
        <v>477774</v>
      </c>
      <c r="L873" s="6">
        <v>138907</v>
      </c>
      <c r="M873" s="6">
        <v>1437134</v>
      </c>
      <c r="N873" s="42">
        <v>981210</v>
      </c>
      <c r="O873" s="42">
        <v>18902</v>
      </c>
      <c r="P873" s="42">
        <v>72652</v>
      </c>
      <c r="Q873" s="42">
        <v>263769</v>
      </c>
      <c r="R873" s="42">
        <v>2328520</v>
      </c>
      <c r="S873" s="43">
        <v>98829</v>
      </c>
      <c r="T873" s="42">
        <v>469032</v>
      </c>
    </row>
    <row r="874" spans="1:20" x14ac:dyDescent="0.3">
      <c r="A874" s="7">
        <v>44880</v>
      </c>
      <c r="B874" s="43"/>
      <c r="C874" s="6">
        <v>162475</v>
      </c>
      <c r="D874" s="6">
        <v>230931</v>
      </c>
      <c r="E874" s="6">
        <v>139753</v>
      </c>
      <c r="F874" s="13">
        <v>683293</v>
      </c>
      <c r="G874" s="6">
        <v>233852</v>
      </c>
      <c r="H874" s="6">
        <v>42589</v>
      </c>
      <c r="I874" s="6">
        <v>41966</v>
      </c>
      <c r="J874" s="6">
        <v>168962</v>
      </c>
      <c r="K874" s="6">
        <v>495171</v>
      </c>
      <c r="L874" s="6">
        <v>141623</v>
      </c>
      <c r="M874" s="6">
        <v>1469437</v>
      </c>
      <c r="N874" s="42">
        <v>978425</v>
      </c>
      <c r="O874" s="42">
        <v>17901</v>
      </c>
      <c r="P874" s="42">
        <v>73833</v>
      </c>
      <c r="Q874" s="42">
        <v>268428</v>
      </c>
      <c r="R874" s="42">
        <v>2343509</v>
      </c>
      <c r="S874" s="43">
        <v>109144</v>
      </c>
      <c r="T874" s="42">
        <v>466354</v>
      </c>
    </row>
    <row r="875" spans="1:20" x14ac:dyDescent="0.3">
      <c r="A875" s="7">
        <v>44879</v>
      </c>
      <c r="B875" s="43"/>
      <c r="C875" s="6">
        <v>161114</v>
      </c>
      <c r="D875" s="6">
        <v>230974</v>
      </c>
      <c r="E875" s="6">
        <v>142430</v>
      </c>
      <c r="F875" s="13">
        <v>682524</v>
      </c>
      <c r="G875" s="6">
        <v>234558</v>
      </c>
      <c r="H875" s="6">
        <v>42262</v>
      </c>
      <c r="I875" s="6">
        <v>42349</v>
      </c>
      <c r="J875" s="6">
        <v>172584</v>
      </c>
      <c r="K875" s="6">
        <v>502224</v>
      </c>
      <c r="L875" s="6">
        <v>144108</v>
      </c>
      <c r="M875" s="6">
        <v>1485833</v>
      </c>
      <c r="N875" s="42">
        <v>981619</v>
      </c>
      <c r="O875" s="42">
        <v>17992</v>
      </c>
      <c r="P875" s="42">
        <v>73028</v>
      </c>
      <c r="Q875" s="42">
        <v>266755</v>
      </c>
      <c r="R875" s="42">
        <v>2342698</v>
      </c>
      <c r="S875" s="43">
        <v>101856</v>
      </c>
      <c r="T875" s="42">
        <v>470285</v>
      </c>
    </row>
    <row r="876" spans="1:20" x14ac:dyDescent="0.3">
      <c r="A876" s="7">
        <v>44876</v>
      </c>
      <c r="B876" s="43"/>
      <c r="C876" s="6">
        <v>160721</v>
      </c>
      <c r="D876" s="6">
        <v>232776</v>
      </c>
      <c r="E876" s="6">
        <v>143781</v>
      </c>
      <c r="F876" s="13">
        <v>684598</v>
      </c>
      <c r="G876" s="6">
        <v>240283</v>
      </c>
      <c r="H876" s="6">
        <v>44058</v>
      </c>
      <c r="I876" s="6">
        <v>44085</v>
      </c>
      <c r="J876" s="6">
        <v>172903</v>
      </c>
      <c r="K876" s="6">
        <v>508207</v>
      </c>
      <c r="L876" s="6">
        <v>141894</v>
      </c>
      <c r="M876" s="6">
        <v>1468011</v>
      </c>
      <c r="N876" s="42">
        <v>982290</v>
      </c>
      <c r="O876" s="42">
        <v>18713</v>
      </c>
      <c r="P876" s="42">
        <v>75243</v>
      </c>
      <c r="Q876" s="42">
        <v>272472</v>
      </c>
      <c r="R876" s="42">
        <v>2347908</v>
      </c>
      <c r="S876" s="43">
        <v>100985</v>
      </c>
      <c r="T876" s="42">
        <v>472302</v>
      </c>
    </row>
    <row r="877" spans="1:20" x14ac:dyDescent="0.3">
      <c r="A877" s="7">
        <v>44875</v>
      </c>
      <c r="B877" s="43"/>
      <c r="C877" s="6">
        <v>162116</v>
      </c>
      <c r="D877" s="6">
        <v>237332</v>
      </c>
      <c r="E877" s="6">
        <v>145190</v>
      </c>
      <c r="F877" s="13">
        <v>679226</v>
      </c>
      <c r="G877" s="6">
        <v>247806</v>
      </c>
      <c r="H877" s="6">
        <v>45123</v>
      </c>
      <c r="I877" s="6">
        <v>46293</v>
      </c>
      <c r="J877" s="6">
        <v>168685</v>
      </c>
      <c r="K877" s="6">
        <v>495206</v>
      </c>
      <c r="L877" s="6">
        <v>140199</v>
      </c>
      <c r="M877" s="6">
        <v>1453200</v>
      </c>
      <c r="N877" s="42">
        <v>984564</v>
      </c>
      <c r="O877" s="42">
        <v>17721</v>
      </c>
      <c r="P877" s="42">
        <v>76570</v>
      </c>
      <c r="Q877" s="42">
        <v>278099</v>
      </c>
      <c r="R877" s="42">
        <v>2360744</v>
      </c>
      <c r="S877" s="43">
        <v>107664</v>
      </c>
      <c r="T877" s="42">
        <v>483413</v>
      </c>
    </row>
    <row r="878" spans="1:20" x14ac:dyDescent="0.3">
      <c r="A878" s="7">
        <v>44874</v>
      </c>
      <c r="B878" s="43"/>
      <c r="C878" s="6">
        <v>162116</v>
      </c>
      <c r="D878" s="6">
        <v>237620</v>
      </c>
      <c r="E878" s="6">
        <v>148711</v>
      </c>
      <c r="F878" s="13">
        <v>666478</v>
      </c>
      <c r="G878" s="6">
        <v>249334</v>
      </c>
      <c r="H878" s="6">
        <v>45398</v>
      </c>
      <c r="I878" s="6">
        <v>48962</v>
      </c>
      <c r="J878" s="6">
        <v>167114</v>
      </c>
      <c r="K878" s="6">
        <v>491257</v>
      </c>
      <c r="L878" s="6">
        <v>138363</v>
      </c>
      <c r="M878" s="6">
        <v>1451641</v>
      </c>
      <c r="N878" s="42">
        <v>983960</v>
      </c>
      <c r="O878" s="42">
        <v>18525</v>
      </c>
      <c r="P878" s="42">
        <v>74794</v>
      </c>
      <c r="Q878" s="42">
        <v>271284</v>
      </c>
      <c r="R878" s="42">
        <v>2308633</v>
      </c>
      <c r="S878" s="43">
        <v>102856</v>
      </c>
      <c r="T878" s="42">
        <v>497102</v>
      </c>
    </row>
    <row r="879" spans="1:20" x14ac:dyDescent="0.3">
      <c r="A879" s="7">
        <v>44873</v>
      </c>
      <c r="B879" s="43"/>
      <c r="C879" s="6">
        <v>162003</v>
      </c>
      <c r="D879" s="6">
        <v>237332</v>
      </c>
      <c r="E879" s="6">
        <v>147555</v>
      </c>
      <c r="F879" s="13">
        <v>667902</v>
      </c>
      <c r="G879" s="6">
        <v>251378</v>
      </c>
      <c r="H879" s="6">
        <v>45808</v>
      </c>
      <c r="I879" s="6">
        <v>49907</v>
      </c>
      <c r="J879" s="6">
        <v>169929</v>
      </c>
      <c r="K879" s="6">
        <v>488471</v>
      </c>
      <c r="L879" s="6">
        <v>140437</v>
      </c>
      <c r="M879" s="6">
        <v>1446658</v>
      </c>
      <c r="N879" s="42">
        <v>982596</v>
      </c>
      <c r="O879" s="42">
        <v>14439</v>
      </c>
      <c r="P879" s="42">
        <v>77750</v>
      </c>
      <c r="Q879" s="42">
        <v>273054</v>
      </c>
      <c r="R879" s="42">
        <v>2318895</v>
      </c>
      <c r="S879" s="43">
        <v>102635</v>
      </c>
      <c r="T879" s="42">
        <v>494633</v>
      </c>
    </row>
    <row r="880" spans="1:20" x14ac:dyDescent="0.3">
      <c r="A880" s="7">
        <v>44872</v>
      </c>
      <c r="B880" s="43"/>
      <c r="C880" s="6">
        <v>162984</v>
      </c>
      <c r="D880" s="6">
        <v>243999</v>
      </c>
      <c r="E880" s="6">
        <v>148885</v>
      </c>
      <c r="F880" s="13">
        <v>670508</v>
      </c>
      <c r="G880" s="6">
        <v>253529</v>
      </c>
      <c r="H880" s="6">
        <v>46892</v>
      </c>
      <c r="I880" s="6">
        <v>51326</v>
      </c>
      <c r="J880" s="6">
        <v>174779</v>
      </c>
      <c r="K880" s="6">
        <v>478215</v>
      </c>
      <c r="L880" s="6">
        <v>137332</v>
      </c>
      <c r="M880" s="6">
        <v>1454170</v>
      </c>
      <c r="N880" s="42">
        <v>989556</v>
      </c>
      <c r="O880" s="42">
        <v>12802</v>
      </c>
      <c r="P880" s="42">
        <v>77471</v>
      </c>
      <c r="Q880" s="42">
        <v>280096</v>
      </c>
      <c r="R880" s="42">
        <v>2320337</v>
      </c>
      <c r="S880" s="43">
        <v>106706</v>
      </c>
      <c r="T880" s="42">
        <v>500102</v>
      </c>
    </row>
    <row r="881" spans="1:20" x14ac:dyDescent="0.3">
      <c r="A881" s="7">
        <v>44869</v>
      </c>
      <c r="B881" s="43"/>
      <c r="C881" s="6">
        <v>166150</v>
      </c>
      <c r="D881" s="6">
        <v>249713</v>
      </c>
      <c r="E881" s="6">
        <v>146581</v>
      </c>
      <c r="F881" s="13">
        <v>668510</v>
      </c>
      <c r="G881" s="6">
        <v>255455</v>
      </c>
      <c r="H881" s="6">
        <v>46597</v>
      </c>
      <c r="I881" s="6">
        <v>51726</v>
      </c>
      <c r="J881" s="6">
        <v>182980</v>
      </c>
      <c r="K881" s="6">
        <v>474056</v>
      </c>
      <c r="L881" s="6">
        <v>138538</v>
      </c>
      <c r="M881" s="6">
        <v>1469138</v>
      </c>
      <c r="N881" s="42">
        <v>984123</v>
      </c>
      <c r="O881" s="42">
        <v>13392</v>
      </c>
      <c r="P881" s="42">
        <v>75869</v>
      </c>
      <c r="Q881" s="42">
        <v>283674</v>
      </c>
      <c r="R881" s="42">
        <v>2311070</v>
      </c>
      <c r="S881" s="43">
        <v>112967</v>
      </c>
      <c r="T881" s="42">
        <v>499341</v>
      </c>
    </row>
    <row r="882" spans="1:20" x14ac:dyDescent="0.3">
      <c r="A882" s="7">
        <v>44868</v>
      </c>
      <c r="B882" s="43"/>
      <c r="C882" s="6">
        <v>173934</v>
      </c>
      <c r="D882" s="6">
        <v>249678</v>
      </c>
      <c r="E882" s="6">
        <v>150681</v>
      </c>
      <c r="F882" s="13">
        <v>675992</v>
      </c>
      <c r="G882" s="6">
        <v>260107</v>
      </c>
      <c r="H882" s="6">
        <v>48442</v>
      </c>
      <c r="I882" s="6">
        <v>53692</v>
      </c>
      <c r="J882" s="6">
        <v>183698</v>
      </c>
      <c r="K882" s="6">
        <v>482743</v>
      </c>
      <c r="L882" s="6">
        <v>139096</v>
      </c>
      <c r="M882" s="6">
        <v>1453870</v>
      </c>
      <c r="N882" s="42">
        <v>978632</v>
      </c>
      <c r="O882" s="42">
        <v>12186</v>
      </c>
      <c r="P882" s="42">
        <v>76234</v>
      </c>
      <c r="Q882" s="42">
        <v>286489</v>
      </c>
      <c r="R882" s="42">
        <v>2311590</v>
      </c>
      <c r="S882" s="43">
        <v>106268</v>
      </c>
      <c r="T882" s="42">
        <v>501953</v>
      </c>
    </row>
    <row r="883" spans="1:20" x14ac:dyDescent="0.3">
      <c r="A883" s="7">
        <v>44867</v>
      </c>
      <c r="B883" s="43"/>
      <c r="C883" s="6">
        <v>164856</v>
      </c>
      <c r="D883" s="6">
        <v>244529</v>
      </c>
      <c r="E883" s="6">
        <v>150134</v>
      </c>
      <c r="F883" s="13">
        <v>670389</v>
      </c>
      <c r="G883" s="6">
        <v>256551</v>
      </c>
      <c r="H883" s="6">
        <v>47355</v>
      </c>
      <c r="I883" s="6">
        <v>50626</v>
      </c>
      <c r="J883" s="6">
        <v>180261</v>
      </c>
      <c r="K883" s="6">
        <v>467058</v>
      </c>
      <c r="L883" s="6">
        <v>138720</v>
      </c>
      <c r="M883" s="6">
        <v>1459758</v>
      </c>
      <c r="N883" s="42">
        <v>982564</v>
      </c>
      <c r="O883" s="42">
        <v>12292</v>
      </c>
      <c r="P883" s="42">
        <v>73307</v>
      </c>
      <c r="Q883" s="42">
        <v>285541</v>
      </c>
      <c r="R883" s="42">
        <v>2311953</v>
      </c>
      <c r="S883" s="43">
        <v>104786</v>
      </c>
      <c r="T883" s="42">
        <v>497592</v>
      </c>
    </row>
    <row r="884" spans="1:20" x14ac:dyDescent="0.3">
      <c r="A884" s="7">
        <v>44866</v>
      </c>
      <c r="B884" s="43"/>
      <c r="C884" s="6">
        <v>165411</v>
      </c>
      <c r="D884" s="6">
        <v>243549</v>
      </c>
      <c r="E884" s="6">
        <v>147170</v>
      </c>
      <c r="F884" s="13">
        <v>671729</v>
      </c>
      <c r="G884" s="6">
        <v>258906</v>
      </c>
      <c r="H884" s="6">
        <v>47219</v>
      </c>
      <c r="I884" s="6">
        <v>50107</v>
      </c>
      <c r="J884" s="6">
        <v>179801</v>
      </c>
      <c r="K884" s="6">
        <v>467276</v>
      </c>
      <c r="L884" s="6">
        <v>138875</v>
      </c>
      <c r="M884" s="6">
        <v>1459052</v>
      </c>
      <c r="N884" s="42">
        <v>986116</v>
      </c>
      <c r="O884" s="42">
        <v>12183</v>
      </c>
      <c r="P884" s="42">
        <v>75815</v>
      </c>
      <c r="Q884" s="42">
        <v>282466</v>
      </c>
      <c r="R884" s="42">
        <v>2336711</v>
      </c>
      <c r="S884" s="43">
        <v>105781</v>
      </c>
      <c r="T884" s="42">
        <v>499310</v>
      </c>
    </row>
    <row r="885" spans="1:20" x14ac:dyDescent="0.3">
      <c r="A885" s="7">
        <v>44865</v>
      </c>
      <c r="B885" s="43"/>
      <c r="C885" s="6">
        <v>169665</v>
      </c>
      <c r="D885" s="6">
        <v>248614</v>
      </c>
      <c r="E885" s="6">
        <v>143984</v>
      </c>
      <c r="F885" s="13">
        <v>669995</v>
      </c>
      <c r="G885" s="6">
        <v>265851</v>
      </c>
      <c r="H885" s="6">
        <v>48218</v>
      </c>
      <c r="I885" s="6">
        <v>49804</v>
      </c>
      <c r="J885" s="6">
        <v>180740</v>
      </c>
      <c r="K885" s="6">
        <v>464625</v>
      </c>
      <c r="L885" s="6">
        <v>139157</v>
      </c>
      <c r="M885" s="6">
        <v>1454097</v>
      </c>
      <c r="N885" s="42">
        <v>977718</v>
      </c>
      <c r="O885" s="42">
        <v>13163</v>
      </c>
      <c r="P885" s="42">
        <v>76166</v>
      </c>
      <c r="Q885" s="42">
        <v>283319</v>
      </c>
      <c r="R885" s="42">
        <v>2353982</v>
      </c>
      <c r="S885" s="43">
        <v>102569</v>
      </c>
      <c r="T885" s="42">
        <v>505731</v>
      </c>
    </row>
    <row r="886" spans="1:20" x14ac:dyDescent="0.3">
      <c r="A886" s="7">
        <v>44862</v>
      </c>
      <c r="B886" s="43"/>
      <c r="C886" s="6">
        <v>164294</v>
      </c>
      <c r="D886" s="6">
        <v>248991</v>
      </c>
      <c r="E886" s="6">
        <v>139453</v>
      </c>
      <c r="F886" s="13">
        <v>679654</v>
      </c>
      <c r="G886" s="6">
        <v>263352</v>
      </c>
      <c r="H886" s="6">
        <v>47299</v>
      </c>
      <c r="I886" s="6">
        <v>47449</v>
      </c>
      <c r="J886" s="6">
        <v>179769</v>
      </c>
      <c r="K886" s="6">
        <v>467769</v>
      </c>
      <c r="L886" s="6">
        <v>138127</v>
      </c>
      <c r="M886" s="6">
        <v>1453285</v>
      </c>
      <c r="N886" s="42">
        <v>975557</v>
      </c>
      <c r="O886" s="42">
        <v>13329</v>
      </c>
      <c r="P886" s="42">
        <v>77780</v>
      </c>
      <c r="Q886" s="42">
        <v>287298</v>
      </c>
      <c r="R886" s="42">
        <v>2339978</v>
      </c>
      <c r="S886" s="43">
        <v>106537</v>
      </c>
      <c r="T886" s="42">
        <v>507750</v>
      </c>
    </row>
    <row r="887" spans="1:20" x14ac:dyDescent="0.3">
      <c r="A887" s="7">
        <v>44861</v>
      </c>
      <c r="B887" s="43"/>
      <c r="C887" s="6">
        <v>163148</v>
      </c>
      <c r="D887" s="6">
        <v>250939</v>
      </c>
      <c r="E887" s="6">
        <v>139867</v>
      </c>
      <c r="F887" s="13">
        <v>677434</v>
      </c>
      <c r="G887" s="6">
        <v>265726</v>
      </c>
      <c r="H887" s="6">
        <v>48862</v>
      </c>
      <c r="I887" s="6">
        <v>46415</v>
      </c>
      <c r="J887" s="6">
        <v>181159</v>
      </c>
      <c r="K887" s="6">
        <v>460721</v>
      </c>
      <c r="L887" s="6">
        <v>139885</v>
      </c>
      <c r="M887" s="6">
        <v>1451367</v>
      </c>
      <c r="N887" s="42">
        <v>972873</v>
      </c>
      <c r="O887" s="42">
        <v>13524</v>
      </c>
      <c r="P887" s="42">
        <v>73268</v>
      </c>
      <c r="Q887" s="42">
        <v>288615</v>
      </c>
      <c r="R887" s="42">
        <v>2322398</v>
      </c>
      <c r="S887" s="43">
        <v>107738</v>
      </c>
      <c r="T887" s="42">
        <v>515829</v>
      </c>
    </row>
    <row r="888" spans="1:20" x14ac:dyDescent="0.3">
      <c r="A888" s="7">
        <v>44860</v>
      </c>
      <c r="B888" s="43"/>
      <c r="C888" s="6">
        <v>166489</v>
      </c>
      <c r="D888" s="6">
        <v>253414</v>
      </c>
      <c r="E888" s="6">
        <v>140697</v>
      </c>
      <c r="F888" s="13">
        <v>677770</v>
      </c>
      <c r="G888" s="6">
        <v>268982</v>
      </c>
      <c r="H888" s="6">
        <v>49062</v>
      </c>
      <c r="I888" s="6">
        <v>46115</v>
      </c>
      <c r="J888" s="6">
        <v>182772</v>
      </c>
      <c r="K888" s="6">
        <v>457729</v>
      </c>
      <c r="L888" s="6">
        <v>139827</v>
      </c>
      <c r="M888" s="6">
        <v>1442243</v>
      </c>
      <c r="N888" s="42">
        <v>972826</v>
      </c>
      <c r="O888" s="42">
        <v>14351</v>
      </c>
      <c r="P888" s="42">
        <v>71362</v>
      </c>
      <c r="Q888" s="42">
        <v>279786</v>
      </c>
      <c r="R888" s="42">
        <v>2343262</v>
      </c>
      <c r="S888" s="43">
        <v>106902</v>
      </c>
      <c r="T888" s="42">
        <v>518495</v>
      </c>
    </row>
    <row r="889" spans="1:20" x14ac:dyDescent="0.3">
      <c r="A889" s="7">
        <v>44859</v>
      </c>
      <c r="B889" s="43"/>
      <c r="C889" s="6">
        <v>166961</v>
      </c>
      <c r="D889" s="6">
        <v>258969</v>
      </c>
      <c r="E889" s="6">
        <v>143417</v>
      </c>
      <c r="F889" s="13">
        <v>666719</v>
      </c>
      <c r="G889" s="6">
        <v>272597</v>
      </c>
      <c r="H889" s="6">
        <v>50620</v>
      </c>
      <c r="I889" s="6">
        <v>46594</v>
      </c>
      <c r="J889" s="6">
        <v>179344</v>
      </c>
      <c r="K889" s="6">
        <v>456072</v>
      </c>
      <c r="L889" s="6">
        <v>139085</v>
      </c>
      <c r="M889" s="6">
        <v>1436942</v>
      </c>
      <c r="N889" s="42">
        <v>970872</v>
      </c>
      <c r="O889" s="42">
        <v>14854</v>
      </c>
      <c r="P889" s="42">
        <v>70719</v>
      </c>
      <c r="Q889" s="42">
        <v>281590</v>
      </c>
      <c r="R889" s="42">
        <v>2361824</v>
      </c>
      <c r="S889" s="43">
        <v>108805</v>
      </c>
      <c r="T889" s="42">
        <v>523610</v>
      </c>
    </row>
    <row r="890" spans="1:20" x14ac:dyDescent="0.3">
      <c r="A890" s="7">
        <v>44858</v>
      </c>
      <c r="B890" s="43"/>
      <c r="C890" s="6">
        <v>168902</v>
      </c>
      <c r="D890" s="6">
        <v>258739</v>
      </c>
      <c r="E890" s="6">
        <v>147777</v>
      </c>
      <c r="F890" s="13">
        <v>651550</v>
      </c>
      <c r="G890" s="6">
        <v>281374</v>
      </c>
      <c r="H890" s="6">
        <v>50284</v>
      </c>
      <c r="I890" s="6">
        <v>47749</v>
      </c>
      <c r="J890" s="6">
        <v>178020</v>
      </c>
      <c r="K890" s="6">
        <v>444410</v>
      </c>
      <c r="L890" s="6">
        <v>137971</v>
      </c>
      <c r="M890" s="6">
        <v>1434285</v>
      </c>
      <c r="N890" s="42">
        <v>969595</v>
      </c>
      <c r="O890" s="42">
        <v>13718</v>
      </c>
      <c r="P890" s="42">
        <v>70413</v>
      </c>
      <c r="Q890" s="42">
        <v>280784</v>
      </c>
      <c r="R890" s="42">
        <v>2349063</v>
      </c>
      <c r="S890" s="43">
        <v>110331</v>
      </c>
      <c r="T890" s="42">
        <v>527553</v>
      </c>
    </row>
    <row r="891" spans="1:20" x14ac:dyDescent="0.3">
      <c r="A891" s="7">
        <v>44855</v>
      </c>
      <c r="B891" s="43"/>
      <c r="C891" s="6">
        <v>163266</v>
      </c>
      <c r="D891" s="6">
        <v>256543</v>
      </c>
      <c r="E891" s="6">
        <v>143477</v>
      </c>
      <c r="F891" s="13">
        <v>648285</v>
      </c>
      <c r="G891" s="6">
        <v>286947</v>
      </c>
      <c r="H891" s="6">
        <v>49617</v>
      </c>
      <c r="I891" s="6">
        <v>47303</v>
      </c>
      <c r="J891" s="6">
        <v>182071</v>
      </c>
      <c r="K891" s="6">
        <v>441151</v>
      </c>
      <c r="L891" s="6">
        <v>138208</v>
      </c>
      <c r="M891" s="6">
        <v>1432934</v>
      </c>
      <c r="N891" s="42">
        <v>976654</v>
      </c>
      <c r="O891" s="42">
        <v>13865</v>
      </c>
      <c r="P891" s="42">
        <v>69479</v>
      </c>
      <c r="Q891" s="42">
        <v>284610</v>
      </c>
      <c r="R891" s="42">
        <v>2351132</v>
      </c>
      <c r="S891" s="43">
        <v>110233</v>
      </c>
      <c r="T891" s="42">
        <v>535238</v>
      </c>
    </row>
    <row r="892" spans="1:20" x14ac:dyDescent="0.3">
      <c r="A892" s="7">
        <v>44854</v>
      </c>
      <c r="B892" s="43"/>
      <c r="C892" s="6">
        <v>157996</v>
      </c>
      <c r="D892" s="6">
        <v>257234</v>
      </c>
      <c r="E892" s="6">
        <v>146095</v>
      </c>
      <c r="F892" s="13">
        <v>645589</v>
      </c>
      <c r="G892" s="6">
        <v>278810</v>
      </c>
      <c r="H892" s="6">
        <v>48878</v>
      </c>
      <c r="I892" s="6">
        <v>46910</v>
      </c>
      <c r="J892" s="6">
        <v>183066</v>
      </c>
      <c r="K892" s="6">
        <v>444047</v>
      </c>
      <c r="L892" s="6">
        <v>137426</v>
      </c>
      <c r="M892" s="6">
        <v>1438858</v>
      </c>
      <c r="N892" s="42">
        <v>972796</v>
      </c>
      <c r="O892" s="42">
        <v>14548</v>
      </c>
      <c r="P892" s="42">
        <v>70498</v>
      </c>
      <c r="Q892" s="42">
        <v>277748</v>
      </c>
      <c r="R892" s="42">
        <v>2319350</v>
      </c>
      <c r="S892" s="43">
        <v>104790</v>
      </c>
      <c r="T892" s="42">
        <v>544504</v>
      </c>
    </row>
    <row r="893" spans="1:20" x14ac:dyDescent="0.3">
      <c r="A893" s="7">
        <v>44853</v>
      </c>
      <c r="B893" s="43"/>
      <c r="C893" s="6">
        <v>150844</v>
      </c>
      <c r="D893" s="6">
        <v>259838</v>
      </c>
      <c r="E893" s="6">
        <v>147307</v>
      </c>
      <c r="F893" s="13">
        <v>641984</v>
      </c>
      <c r="G893" s="6">
        <v>275358</v>
      </c>
      <c r="H893" s="6">
        <v>48700</v>
      </c>
      <c r="I893" s="6">
        <v>46849</v>
      </c>
      <c r="J893" s="6">
        <v>182054</v>
      </c>
      <c r="K893" s="6">
        <v>443442</v>
      </c>
      <c r="L893" s="6">
        <v>136769</v>
      </c>
      <c r="M893" s="6">
        <v>1435957</v>
      </c>
      <c r="N893" s="42">
        <v>971750</v>
      </c>
      <c r="O893" s="42">
        <v>14196</v>
      </c>
      <c r="P893" s="42">
        <v>70881</v>
      </c>
      <c r="Q893" s="42">
        <v>274658</v>
      </c>
      <c r="R893" s="42">
        <v>2322992</v>
      </c>
      <c r="S893" s="43">
        <v>105564</v>
      </c>
      <c r="T893" s="42">
        <v>542577</v>
      </c>
    </row>
    <row r="894" spans="1:20" x14ac:dyDescent="0.3">
      <c r="A894" s="7">
        <v>44852</v>
      </c>
      <c r="B894" s="43"/>
      <c r="C894" s="6">
        <v>150639</v>
      </c>
      <c r="D894" s="6">
        <v>259805</v>
      </c>
      <c r="E894" s="6">
        <v>146425</v>
      </c>
      <c r="F894" s="13">
        <v>642670</v>
      </c>
      <c r="G894" s="6">
        <v>264635</v>
      </c>
      <c r="H894" s="6">
        <v>50448</v>
      </c>
      <c r="I894" s="6">
        <v>44911</v>
      </c>
      <c r="J894" s="6">
        <v>178730</v>
      </c>
      <c r="K894" s="6">
        <v>434701</v>
      </c>
      <c r="L894" s="6">
        <v>136055</v>
      </c>
      <c r="M894" s="6">
        <v>1454431</v>
      </c>
      <c r="N894" s="42">
        <v>963792</v>
      </c>
      <c r="O894" s="42">
        <v>14228</v>
      </c>
      <c r="P894" s="42">
        <v>69235</v>
      </c>
      <c r="Q894" s="42">
        <v>274388</v>
      </c>
      <c r="R894" s="42">
        <v>2336566</v>
      </c>
      <c r="S894" s="43">
        <v>109879</v>
      </c>
      <c r="T894" s="42">
        <v>535808</v>
      </c>
    </row>
    <row r="895" spans="1:20" x14ac:dyDescent="0.3">
      <c r="A895" s="7">
        <v>44851</v>
      </c>
      <c r="B895" s="43"/>
      <c r="C895" s="6">
        <v>148113</v>
      </c>
      <c r="D895" s="6">
        <v>263663</v>
      </c>
      <c r="E895" s="6">
        <v>143127</v>
      </c>
      <c r="F895" s="13">
        <v>646115</v>
      </c>
      <c r="G895" s="6">
        <v>262584</v>
      </c>
      <c r="H895" s="6">
        <v>50057</v>
      </c>
      <c r="I895" s="6">
        <v>44728</v>
      </c>
      <c r="J895" s="6">
        <v>168162</v>
      </c>
      <c r="K895" s="6">
        <v>432976</v>
      </c>
      <c r="L895" s="6">
        <v>135304</v>
      </c>
      <c r="M895" s="6">
        <v>1454545</v>
      </c>
      <c r="N895" s="42">
        <v>964431</v>
      </c>
      <c r="O895" s="42">
        <v>13569</v>
      </c>
      <c r="P895" s="42">
        <v>70354</v>
      </c>
      <c r="Q895" s="42">
        <v>274267</v>
      </c>
      <c r="R895" s="42">
        <v>2321751</v>
      </c>
      <c r="S895" s="43">
        <v>108001</v>
      </c>
      <c r="T895" s="42">
        <v>541948</v>
      </c>
    </row>
    <row r="896" spans="1:20" x14ac:dyDescent="0.3">
      <c r="A896" s="7">
        <v>44848</v>
      </c>
      <c r="B896" s="43"/>
      <c r="C896" s="6">
        <v>149647</v>
      </c>
      <c r="D896" s="6">
        <v>261901</v>
      </c>
      <c r="E896" s="6">
        <v>143355</v>
      </c>
      <c r="F896" s="13">
        <v>639621</v>
      </c>
      <c r="G896" s="6">
        <v>266359</v>
      </c>
      <c r="H896" s="6">
        <v>50537</v>
      </c>
      <c r="I896" s="6">
        <v>44732</v>
      </c>
      <c r="J896" s="6">
        <v>164566</v>
      </c>
      <c r="K896" s="6">
        <v>437368</v>
      </c>
      <c r="L896" s="6">
        <v>136325</v>
      </c>
      <c r="M896" s="6">
        <v>1465253</v>
      </c>
      <c r="N896" s="42">
        <v>977263</v>
      </c>
      <c r="O896" s="42">
        <v>14198</v>
      </c>
      <c r="P896" s="42">
        <v>70357</v>
      </c>
      <c r="Q896" s="42">
        <v>281328</v>
      </c>
      <c r="R896" s="42">
        <v>2315230</v>
      </c>
      <c r="S896" s="43">
        <v>113277</v>
      </c>
      <c r="T896" s="42">
        <v>545929</v>
      </c>
    </row>
    <row r="897" spans="1:20" x14ac:dyDescent="0.3">
      <c r="A897" s="7">
        <v>44847</v>
      </c>
      <c r="B897" s="43"/>
      <c r="C897" s="6">
        <v>141492</v>
      </c>
      <c r="D897" s="6">
        <v>254785</v>
      </c>
      <c r="E897" s="6">
        <v>144070</v>
      </c>
      <c r="F897" s="13">
        <v>638714</v>
      </c>
      <c r="G897" s="6">
        <v>257846</v>
      </c>
      <c r="H897" s="6">
        <v>50328</v>
      </c>
      <c r="I897" s="6">
        <v>44611</v>
      </c>
      <c r="J897" s="6">
        <v>165418</v>
      </c>
      <c r="K897" s="6">
        <v>435997</v>
      </c>
      <c r="L897" s="6">
        <v>131157</v>
      </c>
      <c r="M897" s="6">
        <v>1470403</v>
      </c>
      <c r="N897" s="42">
        <v>980683</v>
      </c>
      <c r="O897" s="42">
        <v>14431</v>
      </c>
      <c r="P897" s="42">
        <v>69809</v>
      </c>
      <c r="Q897" s="42">
        <v>279777</v>
      </c>
      <c r="R897" s="42">
        <v>2307775</v>
      </c>
      <c r="S897" s="43">
        <v>115417</v>
      </c>
      <c r="T897" s="42">
        <v>552523</v>
      </c>
    </row>
    <row r="898" spans="1:20" x14ac:dyDescent="0.3">
      <c r="A898" s="7">
        <v>44846</v>
      </c>
      <c r="B898" s="43"/>
      <c r="C898" s="6">
        <v>140853</v>
      </c>
      <c r="D898" s="6">
        <v>255169</v>
      </c>
      <c r="E898" s="6">
        <v>142916</v>
      </c>
      <c r="F898" s="13">
        <v>635662</v>
      </c>
      <c r="G898" s="6">
        <v>256585</v>
      </c>
      <c r="H898" s="6">
        <v>50910</v>
      </c>
      <c r="I898" s="6">
        <v>44848</v>
      </c>
      <c r="J898" s="6">
        <v>165515</v>
      </c>
      <c r="K898" s="6">
        <v>435773</v>
      </c>
      <c r="L898" s="6">
        <v>128060</v>
      </c>
      <c r="M898" s="6">
        <v>1480446</v>
      </c>
      <c r="N898" s="42">
        <v>977484</v>
      </c>
      <c r="O898" s="42">
        <v>15243</v>
      </c>
      <c r="P898" s="42">
        <v>67427</v>
      </c>
      <c r="Q898" s="42">
        <v>276174</v>
      </c>
      <c r="R898" s="42">
        <v>2285053</v>
      </c>
      <c r="S898" s="43">
        <v>107858</v>
      </c>
      <c r="T898" s="42">
        <v>558771</v>
      </c>
    </row>
    <row r="899" spans="1:20" x14ac:dyDescent="0.3">
      <c r="A899" s="7">
        <v>44845</v>
      </c>
      <c r="B899" s="43"/>
      <c r="C899" s="6">
        <v>138320</v>
      </c>
      <c r="D899" s="6">
        <v>255649</v>
      </c>
      <c r="E899" s="6">
        <v>144000</v>
      </c>
      <c r="F899" s="13">
        <v>639348</v>
      </c>
      <c r="G899" s="6">
        <v>245007</v>
      </c>
      <c r="H899" s="6">
        <v>50557</v>
      </c>
      <c r="I899" s="6">
        <v>43748</v>
      </c>
      <c r="J899" s="6">
        <v>167449</v>
      </c>
      <c r="K899" s="6">
        <v>431395</v>
      </c>
      <c r="L899" s="6">
        <v>125623</v>
      </c>
      <c r="M899" s="6">
        <v>1499498</v>
      </c>
      <c r="N899" s="42">
        <v>974468</v>
      </c>
      <c r="O899" s="42">
        <v>15756</v>
      </c>
      <c r="P899" s="42">
        <v>65931</v>
      </c>
      <c r="Q899" s="42">
        <v>281284</v>
      </c>
      <c r="R899" s="42">
        <v>2277794</v>
      </c>
      <c r="S899" s="43">
        <v>110517</v>
      </c>
      <c r="T899" s="42">
        <v>564078</v>
      </c>
    </row>
    <row r="900" spans="1:20" x14ac:dyDescent="0.3">
      <c r="A900" s="7">
        <v>44844</v>
      </c>
      <c r="B900" s="43"/>
      <c r="C900" s="6">
        <v>137024</v>
      </c>
      <c r="D900" s="6">
        <v>246029</v>
      </c>
      <c r="E900" s="6">
        <v>144059</v>
      </c>
      <c r="F900" s="13">
        <v>642098</v>
      </c>
      <c r="G900" s="6">
        <v>249437</v>
      </c>
      <c r="H900" s="6">
        <v>50426</v>
      </c>
      <c r="I900" s="6">
        <v>45136</v>
      </c>
      <c r="J900" s="6">
        <v>166825</v>
      </c>
      <c r="K900" s="6">
        <v>435026</v>
      </c>
      <c r="L900" s="6">
        <v>125748</v>
      </c>
      <c r="M900" s="6">
        <v>1496660</v>
      </c>
      <c r="N900" s="42">
        <v>969533</v>
      </c>
      <c r="O900" s="42">
        <v>15122</v>
      </c>
      <c r="P900" s="42">
        <v>65683</v>
      </c>
      <c r="Q900" s="42">
        <v>282272</v>
      </c>
      <c r="R900" s="42">
        <v>2272393</v>
      </c>
      <c r="S900" s="43">
        <v>111653</v>
      </c>
      <c r="T900" s="42">
        <v>561959</v>
      </c>
    </row>
    <row r="901" spans="1:20" x14ac:dyDescent="0.3">
      <c r="A901" s="7">
        <v>44841</v>
      </c>
      <c r="B901" s="43"/>
      <c r="C901" s="6">
        <v>134182</v>
      </c>
      <c r="D901" s="6">
        <v>243598</v>
      </c>
      <c r="E901" s="6">
        <v>142231</v>
      </c>
      <c r="F901" s="13">
        <v>642737</v>
      </c>
      <c r="G901" s="6">
        <v>244594</v>
      </c>
      <c r="H901" s="6">
        <v>49700</v>
      </c>
      <c r="I901" s="6">
        <v>41185</v>
      </c>
      <c r="J901" s="6">
        <v>167089</v>
      </c>
      <c r="K901" s="6">
        <v>433253</v>
      </c>
      <c r="L901" s="6">
        <v>126209</v>
      </c>
      <c r="M901" s="6">
        <v>1511340</v>
      </c>
      <c r="N901" s="42">
        <v>968658</v>
      </c>
      <c r="O901" s="42">
        <v>14606</v>
      </c>
      <c r="P901" s="42">
        <v>67187</v>
      </c>
      <c r="Q901" s="42">
        <v>284528</v>
      </c>
      <c r="R901" s="42">
        <v>2269972</v>
      </c>
      <c r="S901" s="43">
        <v>106302</v>
      </c>
      <c r="T901" s="42">
        <v>560346</v>
      </c>
    </row>
    <row r="902" spans="1:20" x14ac:dyDescent="0.3">
      <c r="A902" s="7">
        <v>44840</v>
      </c>
      <c r="B902" s="43"/>
      <c r="C902" s="6">
        <v>138496</v>
      </c>
      <c r="D902" s="6">
        <v>245415</v>
      </c>
      <c r="E902" s="6">
        <v>138655</v>
      </c>
      <c r="F902" s="13">
        <v>639559</v>
      </c>
      <c r="G902" s="6">
        <v>244439</v>
      </c>
      <c r="H902" s="6">
        <v>50639</v>
      </c>
      <c r="I902" s="6">
        <v>39959</v>
      </c>
      <c r="J902" s="6">
        <v>165513</v>
      </c>
      <c r="K902" s="6">
        <v>433247</v>
      </c>
      <c r="L902" s="6">
        <v>126292</v>
      </c>
      <c r="M902" s="6">
        <v>1514066</v>
      </c>
      <c r="N902" s="42">
        <v>970208</v>
      </c>
      <c r="O902" s="42">
        <v>13767</v>
      </c>
      <c r="P902" s="42">
        <v>65615</v>
      </c>
      <c r="Q902" s="42">
        <v>276651</v>
      </c>
      <c r="R902" s="42">
        <v>2257309</v>
      </c>
      <c r="S902" s="43">
        <v>104734</v>
      </c>
      <c r="T902" s="42">
        <v>556575</v>
      </c>
    </row>
    <row r="903" spans="1:20" x14ac:dyDescent="0.3">
      <c r="A903" s="7">
        <v>44839</v>
      </c>
      <c r="B903" s="43"/>
      <c r="C903" s="6">
        <v>139387</v>
      </c>
      <c r="D903" s="6">
        <v>253521</v>
      </c>
      <c r="E903" s="6">
        <v>138284</v>
      </c>
      <c r="F903" s="13">
        <v>637665</v>
      </c>
      <c r="G903" s="6">
        <v>243723</v>
      </c>
      <c r="H903" s="6">
        <v>50277</v>
      </c>
      <c r="I903" s="6">
        <v>40953</v>
      </c>
      <c r="J903" s="6">
        <v>165489</v>
      </c>
      <c r="K903" s="6">
        <v>433176</v>
      </c>
      <c r="L903" s="6">
        <v>126167</v>
      </c>
      <c r="M903" s="6">
        <v>1506201</v>
      </c>
      <c r="N903" s="42">
        <v>970602</v>
      </c>
      <c r="O903" s="42">
        <v>13944</v>
      </c>
      <c r="P903" s="42">
        <v>65228</v>
      </c>
      <c r="Q903" s="42">
        <v>272840</v>
      </c>
      <c r="R903" s="42">
        <v>2250088</v>
      </c>
      <c r="S903" s="43">
        <v>108439</v>
      </c>
      <c r="T903" s="42">
        <v>558762</v>
      </c>
    </row>
    <row r="904" spans="1:20" x14ac:dyDescent="0.3">
      <c r="A904" s="7">
        <v>44838</v>
      </c>
      <c r="B904" s="43"/>
      <c r="C904" s="6">
        <v>139490</v>
      </c>
      <c r="D904" s="6">
        <v>256906</v>
      </c>
      <c r="E904" s="6">
        <v>141799</v>
      </c>
      <c r="F904" s="13">
        <v>640458</v>
      </c>
      <c r="G904" s="6">
        <v>243289</v>
      </c>
      <c r="H904" s="6">
        <v>48487</v>
      </c>
      <c r="I904" s="6">
        <v>43121</v>
      </c>
      <c r="J904" s="6">
        <v>166161</v>
      </c>
      <c r="K904" s="6">
        <v>437065</v>
      </c>
      <c r="L904" s="6">
        <v>129524</v>
      </c>
      <c r="M904" s="6">
        <v>1495538</v>
      </c>
      <c r="N904" s="42">
        <v>967126</v>
      </c>
      <c r="O904" s="42">
        <v>14230</v>
      </c>
      <c r="P904" s="42">
        <v>66652</v>
      </c>
      <c r="Q904" s="42">
        <v>272171</v>
      </c>
      <c r="R904" s="42">
        <v>2261285</v>
      </c>
      <c r="S904" s="43">
        <v>112400</v>
      </c>
      <c r="T904" s="42">
        <v>557855</v>
      </c>
    </row>
    <row r="905" spans="1:20" x14ac:dyDescent="0.3">
      <c r="A905" s="7">
        <v>44837</v>
      </c>
      <c r="B905" s="43"/>
      <c r="C905" s="6">
        <v>140193</v>
      </c>
      <c r="D905" s="6">
        <v>259303</v>
      </c>
      <c r="E905" s="6">
        <v>143958</v>
      </c>
      <c r="F905" s="13">
        <v>642533</v>
      </c>
      <c r="G905" s="6">
        <v>241151</v>
      </c>
      <c r="H905" s="6">
        <v>46675</v>
      </c>
      <c r="I905" s="6">
        <v>42558</v>
      </c>
      <c r="J905" s="6">
        <v>168362</v>
      </c>
      <c r="K905" s="6">
        <v>437727</v>
      </c>
      <c r="L905" s="6">
        <v>130079</v>
      </c>
      <c r="M905" s="6">
        <v>1494932</v>
      </c>
      <c r="N905" s="42">
        <v>957364</v>
      </c>
      <c r="O905" s="42">
        <v>14962</v>
      </c>
      <c r="P905" s="42">
        <v>65861</v>
      </c>
      <c r="Q905" s="42">
        <v>277257</v>
      </c>
      <c r="R905" s="42">
        <v>2298683</v>
      </c>
      <c r="S905" s="43">
        <v>107031</v>
      </c>
      <c r="T905" s="42">
        <v>552775</v>
      </c>
    </row>
    <row r="906" spans="1:20" x14ac:dyDescent="0.3">
      <c r="A906" s="7">
        <v>44834</v>
      </c>
      <c r="B906" s="43"/>
      <c r="C906" s="6">
        <v>143667</v>
      </c>
      <c r="D906" s="6">
        <v>265250</v>
      </c>
      <c r="E906" s="6">
        <v>139832</v>
      </c>
      <c r="F906" s="13">
        <v>645638</v>
      </c>
      <c r="G906" s="6">
        <v>243003</v>
      </c>
      <c r="H906" s="6">
        <v>46913</v>
      </c>
      <c r="I906" s="6">
        <v>42153</v>
      </c>
      <c r="J906" s="6">
        <v>168846</v>
      </c>
      <c r="K906" s="6">
        <v>432024</v>
      </c>
      <c r="L906" s="6">
        <v>127382</v>
      </c>
      <c r="M906" s="6">
        <v>1496804</v>
      </c>
      <c r="N906" s="42">
        <v>947087</v>
      </c>
      <c r="O906" s="42">
        <v>14862</v>
      </c>
      <c r="P906" s="42">
        <v>69265</v>
      </c>
      <c r="Q906" s="42">
        <v>280910</v>
      </c>
      <c r="R906" s="42">
        <v>2282435</v>
      </c>
      <c r="S906" s="43">
        <v>111955</v>
      </c>
      <c r="T906" s="42">
        <v>560867</v>
      </c>
    </row>
    <row r="907" spans="1:20" x14ac:dyDescent="0.3">
      <c r="A907" s="7">
        <v>44833</v>
      </c>
      <c r="B907" s="43"/>
      <c r="C907" s="6">
        <v>148555</v>
      </c>
      <c r="D907" s="6">
        <v>274212</v>
      </c>
      <c r="E907" s="6">
        <v>140714</v>
      </c>
      <c r="F907" s="13">
        <v>646695</v>
      </c>
      <c r="G907" s="6">
        <v>242438</v>
      </c>
      <c r="H907" s="6">
        <v>48675</v>
      </c>
      <c r="I907" s="6">
        <v>43350</v>
      </c>
      <c r="J907" s="6">
        <v>170825</v>
      </c>
      <c r="K907" s="6">
        <v>453488</v>
      </c>
      <c r="L907" s="6">
        <v>129783</v>
      </c>
      <c r="M907" s="6">
        <v>1489732</v>
      </c>
      <c r="N907" s="42">
        <v>949246</v>
      </c>
      <c r="O907" s="42">
        <v>14727</v>
      </c>
      <c r="P907" s="42">
        <v>66185</v>
      </c>
      <c r="Q907" s="42">
        <v>286651</v>
      </c>
      <c r="R907" s="42">
        <v>2255905</v>
      </c>
      <c r="S907" s="43">
        <v>113012</v>
      </c>
      <c r="T907" s="42">
        <v>551504</v>
      </c>
    </row>
    <row r="908" spans="1:20" x14ac:dyDescent="0.3">
      <c r="A908" s="7">
        <v>44832</v>
      </c>
      <c r="B908" s="43"/>
      <c r="C908" s="6">
        <v>149237</v>
      </c>
      <c r="D908" s="6">
        <v>275983</v>
      </c>
      <c r="E908" s="6">
        <v>140669</v>
      </c>
      <c r="F908" s="13">
        <v>650790</v>
      </c>
      <c r="G908" s="6">
        <v>242592</v>
      </c>
      <c r="H908" s="6">
        <v>47846</v>
      </c>
      <c r="I908" s="6">
        <v>43628</v>
      </c>
      <c r="J908" s="6">
        <v>175362</v>
      </c>
      <c r="K908" s="6">
        <v>457236</v>
      </c>
      <c r="L908" s="6">
        <v>129709</v>
      </c>
      <c r="M908" s="6">
        <v>1495984</v>
      </c>
      <c r="N908" s="42">
        <v>944625</v>
      </c>
      <c r="O908" s="42">
        <v>14571</v>
      </c>
      <c r="P908" s="42">
        <v>65814</v>
      </c>
      <c r="Q908" s="42">
        <v>274526</v>
      </c>
      <c r="R908" s="42">
        <v>2242504</v>
      </c>
      <c r="S908" s="43">
        <v>111464</v>
      </c>
      <c r="T908" s="42">
        <v>545637</v>
      </c>
    </row>
    <row r="909" spans="1:20" x14ac:dyDescent="0.3">
      <c r="A909" s="7">
        <v>44831</v>
      </c>
      <c r="B909" s="43"/>
      <c r="C909" s="6">
        <v>152301</v>
      </c>
      <c r="D909" s="6">
        <v>281805</v>
      </c>
      <c r="E909" s="6">
        <v>140889</v>
      </c>
      <c r="F909" s="13">
        <v>654142</v>
      </c>
      <c r="G909" s="6">
        <v>244655</v>
      </c>
      <c r="H909" s="6">
        <v>45240</v>
      </c>
      <c r="I909" s="6">
        <v>44492</v>
      </c>
      <c r="J909" s="6">
        <v>173661</v>
      </c>
      <c r="K909" s="6">
        <v>457061</v>
      </c>
      <c r="L909" s="6">
        <v>129000</v>
      </c>
      <c r="M909" s="6">
        <v>1504991</v>
      </c>
      <c r="N909" s="42">
        <v>943241</v>
      </c>
      <c r="O909" s="42">
        <v>14271</v>
      </c>
      <c r="P909" s="42">
        <v>67055</v>
      </c>
      <c r="Q909" s="42">
        <v>282054</v>
      </c>
      <c r="R909" s="42">
        <v>2233878</v>
      </c>
      <c r="S909" s="43">
        <v>108527</v>
      </c>
      <c r="T909" s="42">
        <v>549389</v>
      </c>
    </row>
    <row r="910" spans="1:20" x14ac:dyDescent="0.3">
      <c r="A910" s="7">
        <v>44830</v>
      </c>
      <c r="B910" s="43"/>
      <c r="C910" s="6">
        <v>154480</v>
      </c>
      <c r="D910" s="6">
        <v>280007</v>
      </c>
      <c r="E910" s="6">
        <v>143797</v>
      </c>
      <c r="F910" s="13">
        <v>657611</v>
      </c>
      <c r="G910" s="6">
        <v>242666</v>
      </c>
      <c r="H910" s="6">
        <v>44784</v>
      </c>
      <c r="I910" s="6">
        <v>44134</v>
      </c>
      <c r="J910" s="6">
        <v>173955</v>
      </c>
      <c r="K910" s="6">
        <v>466335</v>
      </c>
      <c r="L910" s="6">
        <v>129935</v>
      </c>
      <c r="M910" s="6">
        <v>1515829</v>
      </c>
      <c r="N910" s="42">
        <v>948775</v>
      </c>
      <c r="O910" s="42">
        <v>14027</v>
      </c>
      <c r="P910" s="42">
        <v>66626</v>
      </c>
      <c r="Q910" s="42">
        <v>281029</v>
      </c>
      <c r="R910" s="42">
        <v>2227893</v>
      </c>
      <c r="S910" s="43">
        <v>103052</v>
      </c>
      <c r="T910" s="42">
        <v>548598</v>
      </c>
    </row>
    <row r="911" spans="1:20" x14ac:dyDescent="0.3">
      <c r="A911" s="7">
        <v>44827</v>
      </c>
      <c r="B911" s="43"/>
      <c r="C911" s="6">
        <v>158240</v>
      </c>
      <c r="D911" s="6">
        <v>279751</v>
      </c>
      <c r="E911" s="6">
        <v>147411</v>
      </c>
      <c r="F911" s="13">
        <v>656065</v>
      </c>
      <c r="G911" s="6">
        <v>244248</v>
      </c>
      <c r="H911" s="6">
        <v>47033</v>
      </c>
      <c r="I911" s="6">
        <v>44536</v>
      </c>
      <c r="J911" s="6">
        <v>175166</v>
      </c>
      <c r="K911" s="6">
        <v>467631</v>
      </c>
      <c r="L911" s="6">
        <v>131527</v>
      </c>
      <c r="M911" s="6">
        <v>1519566</v>
      </c>
      <c r="N911" s="42">
        <v>947540</v>
      </c>
      <c r="O911" s="42">
        <v>14863</v>
      </c>
      <c r="P911" s="42">
        <v>66078</v>
      </c>
      <c r="Q911" s="42">
        <v>280982</v>
      </c>
      <c r="R911" s="42">
        <v>2194400</v>
      </c>
      <c r="S911" s="43">
        <v>107194</v>
      </c>
      <c r="T911" s="42">
        <v>546096</v>
      </c>
    </row>
    <row r="912" spans="1:20" x14ac:dyDescent="0.3">
      <c r="A912" s="7">
        <v>44826</v>
      </c>
      <c r="B912" s="43"/>
      <c r="C912" s="6">
        <v>155553</v>
      </c>
      <c r="D912" s="6">
        <v>280699</v>
      </c>
      <c r="E912" s="6">
        <v>140073</v>
      </c>
      <c r="F912" s="13">
        <v>655294</v>
      </c>
      <c r="G912" s="6">
        <v>250829</v>
      </c>
      <c r="H912" s="6">
        <v>47754</v>
      </c>
      <c r="I912" s="6">
        <v>47163</v>
      </c>
      <c r="J912" s="6">
        <v>167917</v>
      </c>
      <c r="K912" s="6">
        <v>465884</v>
      </c>
      <c r="L912" s="6">
        <v>132106</v>
      </c>
      <c r="M912" s="6">
        <v>1493722</v>
      </c>
      <c r="N912" s="42">
        <v>945262</v>
      </c>
      <c r="O912" s="42">
        <v>13888</v>
      </c>
      <c r="P912" s="42">
        <v>64254</v>
      </c>
      <c r="Q912" s="42">
        <v>280962</v>
      </c>
      <c r="R912" s="42">
        <v>2168704</v>
      </c>
      <c r="S912" s="43">
        <v>99816</v>
      </c>
      <c r="T912" s="42">
        <v>538347</v>
      </c>
    </row>
    <row r="913" spans="1:20" x14ac:dyDescent="0.3">
      <c r="A913" s="7">
        <v>44825</v>
      </c>
      <c r="B913" s="43"/>
      <c r="C913" s="6">
        <v>153462</v>
      </c>
      <c r="D913" s="6">
        <v>272665</v>
      </c>
      <c r="E913" s="6">
        <v>135682</v>
      </c>
      <c r="F913" s="13">
        <v>658470</v>
      </c>
      <c r="G913" s="6">
        <v>252331</v>
      </c>
      <c r="H913" s="6">
        <v>47009</v>
      </c>
      <c r="I913" s="6">
        <v>42033</v>
      </c>
      <c r="J913" s="6">
        <v>165222</v>
      </c>
      <c r="K913" s="6">
        <v>466167</v>
      </c>
      <c r="L913" s="6">
        <v>131704</v>
      </c>
      <c r="M913" s="6">
        <v>1488289</v>
      </c>
      <c r="N913" s="42">
        <v>953967</v>
      </c>
      <c r="O913" s="42">
        <v>13648</v>
      </c>
      <c r="P913" s="42">
        <v>64982</v>
      </c>
      <c r="Q913" s="42">
        <v>278510</v>
      </c>
      <c r="R913" s="42">
        <v>2161349</v>
      </c>
      <c r="S913" s="43">
        <v>98221</v>
      </c>
      <c r="T913" s="42">
        <v>536152</v>
      </c>
    </row>
    <row r="914" spans="1:20" x14ac:dyDescent="0.3">
      <c r="A914" s="7">
        <v>44824</v>
      </c>
      <c r="B914" s="43"/>
      <c r="C914" s="6">
        <v>182582</v>
      </c>
      <c r="D914" s="6">
        <v>291302</v>
      </c>
      <c r="E914" s="6">
        <v>160314</v>
      </c>
      <c r="F914" s="13">
        <v>774338</v>
      </c>
      <c r="G914" s="6">
        <v>300711</v>
      </c>
      <c r="H914" s="6">
        <v>61535</v>
      </c>
      <c r="I914" s="6">
        <v>51224</v>
      </c>
      <c r="J914" s="6">
        <v>163058</v>
      </c>
      <c r="K914" s="6">
        <v>469395</v>
      </c>
      <c r="L914" s="6">
        <v>132107</v>
      </c>
      <c r="M914" s="6">
        <v>1481545</v>
      </c>
      <c r="N914" s="42">
        <v>960236</v>
      </c>
      <c r="O914" s="42">
        <v>13880</v>
      </c>
      <c r="P914" s="42">
        <v>65490</v>
      </c>
      <c r="Q914" s="42">
        <v>271815</v>
      </c>
      <c r="R914" s="42">
        <v>2141022</v>
      </c>
      <c r="S914" s="43">
        <v>99310</v>
      </c>
      <c r="T914" s="42">
        <v>530373</v>
      </c>
    </row>
    <row r="915" spans="1:20" x14ac:dyDescent="0.3">
      <c r="A915" s="7">
        <v>44823</v>
      </c>
      <c r="B915" s="43"/>
      <c r="C915" s="6">
        <v>182080</v>
      </c>
      <c r="D915" s="6">
        <v>288056</v>
      </c>
      <c r="E915" s="6">
        <v>157194</v>
      </c>
      <c r="F915" s="13">
        <v>774504</v>
      </c>
      <c r="G915" s="6">
        <v>298940</v>
      </c>
      <c r="H915" s="6">
        <v>58183</v>
      </c>
      <c r="I915" s="6">
        <v>50341</v>
      </c>
      <c r="J915" s="6">
        <v>162602</v>
      </c>
      <c r="K915" s="6">
        <v>467551</v>
      </c>
      <c r="L915" s="6">
        <v>132685</v>
      </c>
      <c r="M915" s="6">
        <v>1478949</v>
      </c>
      <c r="N915" s="42">
        <v>966130</v>
      </c>
      <c r="O915" s="42">
        <v>13610</v>
      </c>
      <c r="P915" s="42">
        <v>64578</v>
      </c>
      <c r="Q915" s="42">
        <v>268725</v>
      </c>
      <c r="R915" s="42">
        <v>2140862</v>
      </c>
      <c r="S915" s="43">
        <v>93063</v>
      </c>
      <c r="T915" s="42">
        <v>529841</v>
      </c>
    </row>
    <row r="916" spans="1:20" x14ac:dyDescent="0.3">
      <c r="A916" s="7">
        <v>44820</v>
      </c>
      <c r="B916" s="43"/>
      <c r="C916" s="6">
        <v>181044</v>
      </c>
      <c r="D916" s="6">
        <v>287072</v>
      </c>
      <c r="E916" s="6">
        <v>154731</v>
      </c>
      <c r="F916" s="13">
        <v>772591</v>
      </c>
      <c r="G916" s="6">
        <v>295944</v>
      </c>
      <c r="H916" s="6">
        <v>56671</v>
      </c>
      <c r="I916" s="6">
        <v>49406</v>
      </c>
      <c r="J916" s="6">
        <v>160932</v>
      </c>
      <c r="K916" s="6">
        <v>465469</v>
      </c>
      <c r="L916" s="6">
        <v>134211</v>
      </c>
      <c r="M916" s="6">
        <v>1487881</v>
      </c>
      <c r="N916" s="42">
        <v>963440</v>
      </c>
      <c r="O916" s="42">
        <v>13955</v>
      </c>
      <c r="P916" s="42">
        <v>85920</v>
      </c>
      <c r="Q916" s="42">
        <v>333730</v>
      </c>
      <c r="R916" s="42">
        <v>2579787</v>
      </c>
      <c r="S916" s="43">
        <v>97482</v>
      </c>
      <c r="T916" s="42">
        <v>580539</v>
      </c>
    </row>
    <row r="917" spans="1:20" x14ac:dyDescent="0.3">
      <c r="A917" s="7">
        <v>44819</v>
      </c>
      <c r="B917" s="43"/>
      <c r="C917" s="6">
        <v>183415</v>
      </c>
      <c r="D917" s="6">
        <v>286784</v>
      </c>
      <c r="E917" s="6">
        <v>147362</v>
      </c>
      <c r="F917" s="13">
        <v>789039</v>
      </c>
      <c r="G917" s="6">
        <v>302464</v>
      </c>
      <c r="H917" s="6">
        <v>57614</v>
      </c>
      <c r="I917" s="6">
        <v>47405</v>
      </c>
      <c r="J917" s="6">
        <v>161777</v>
      </c>
      <c r="K917" s="6">
        <v>471278</v>
      </c>
      <c r="L917" s="6">
        <v>134504</v>
      </c>
      <c r="M917" s="6">
        <v>1488169</v>
      </c>
      <c r="N917" s="42">
        <v>972535</v>
      </c>
      <c r="O917" s="42">
        <v>13669</v>
      </c>
      <c r="P917" s="42">
        <v>85680</v>
      </c>
      <c r="Q917" s="42">
        <v>326000</v>
      </c>
      <c r="R917" s="42">
        <v>2601238</v>
      </c>
      <c r="S917" s="43">
        <v>90014</v>
      </c>
      <c r="T917" s="42">
        <v>578942</v>
      </c>
    </row>
    <row r="918" spans="1:20" x14ac:dyDescent="0.3">
      <c r="A918" s="7">
        <v>44818</v>
      </c>
      <c r="B918" s="43"/>
      <c r="C918" s="6">
        <v>177109</v>
      </c>
      <c r="D918" s="6">
        <v>293825</v>
      </c>
      <c r="E918" s="6">
        <v>146978</v>
      </c>
      <c r="F918" s="13">
        <v>799726</v>
      </c>
      <c r="G918" s="6">
        <v>298728</v>
      </c>
      <c r="H918" s="6">
        <v>52943</v>
      </c>
      <c r="I918" s="6">
        <v>49984</v>
      </c>
      <c r="J918" s="6">
        <v>159436</v>
      </c>
      <c r="K918" s="6">
        <v>464415</v>
      </c>
      <c r="L918" s="6">
        <v>135665</v>
      </c>
      <c r="M918" s="6">
        <v>1496829</v>
      </c>
      <c r="N918" s="42">
        <v>980106</v>
      </c>
      <c r="O918" s="42">
        <v>13023</v>
      </c>
      <c r="P918" s="42">
        <v>91368</v>
      </c>
      <c r="Q918" s="42">
        <v>315081</v>
      </c>
      <c r="R918" s="42">
        <v>2595647</v>
      </c>
      <c r="S918" s="43">
        <v>74789</v>
      </c>
      <c r="T918" s="42">
        <v>579791</v>
      </c>
    </row>
    <row r="919" spans="1:20" x14ac:dyDescent="0.3">
      <c r="A919" s="7">
        <v>44817</v>
      </c>
      <c r="B919" s="43"/>
      <c r="C919" s="6">
        <v>182287</v>
      </c>
      <c r="D919" s="6">
        <v>303965</v>
      </c>
      <c r="E919" s="6">
        <v>149556</v>
      </c>
      <c r="F919" s="13">
        <v>742244</v>
      </c>
      <c r="G919" s="6">
        <v>281716</v>
      </c>
      <c r="H919" s="6">
        <v>51079</v>
      </c>
      <c r="I919" s="6">
        <v>44853</v>
      </c>
      <c r="J919" s="6">
        <v>157900</v>
      </c>
      <c r="K919" s="6">
        <v>463674</v>
      </c>
      <c r="L919" s="6">
        <v>135530</v>
      </c>
      <c r="M919" s="6">
        <v>1498059</v>
      </c>
      <c r="N919" s="42">
        <v>977116</v>
      </c>
      <c r="O919" s="42">
        <v>13089</v>
      </c>
      <c r="P919" s="42">
        <v>92577</v>
      </c>
      <c r="Q919" s="42">
        <v>314969</v>
      </c>
      <c r="R919" s="42">
        <v>2603046</v>
      </c>
      <c r="S919" s="43">
        <v>98228</v>
      </c>
      <c r="T919" s="42">
        <v>584370</v>
      </c>
    </row>
    <row r="920" spans="1:20" x14ac:dyDescent="0.3">
      <c r="A920" s="7">
        <v>44816</v>
      </c>
      <c r="B920" s="43"/>
      <c r="C920" s="6">
        <v>176701</v>
      </c>
      <c r="D920" s="6">
        <v>279380</v>
      </c>
      <c r="E920" s="6">
        <v>145663</v>
      </c>
      <c r="F920" s="13">
        <v>747380</v>
      </c>
      <c r="G920" s="6">
        <v>278156</v>
      </c>
      <c r="H920" s="6">
        <v>46412</v>
      </c>
      <c r="I920" s="6">
        <v>46916</v>
      </c>
      <c r="J920" s="6">
        <v>157707</v>
      </c>
      <c r="K920" s="6">
        <v>465639</v>
      </c>
      <c r="L920" s="6">
        <v>136700</v>
      </c>
      <c r="M920" s="6">
        <v>1494035</v>
      </c>
      <c r="N920" s="42">
        <v>981778</v>
      </c>
      <c r="O920" s="42">
        <v>13147</v>
      </c>
      <c r="P920" s="42">
        <v>82890</v>
      </c>
      <c r="Q920" s="42">
        <v>308994</v>
      </c>
      <c r="R920" s="42">
        <v>2559468</v>
      </c>
      <c r="S920" s="43">
        <v>102992</v>
      </c>
      <c r="T920" s="42">
        <v>566187</v>
      </c>
    </row>
    <row r="921" spans="1:20" x14ac:dyDescent="0.3">
      <c r="A921" s="7">
        <v>44813</v>
      </c>
      <c r="B921" s="43"/>
      <c r="C921" s="6">
        <v>180438</v>
      </c>
      <c r="D921" s="6">
        <v>274819</v>
      </c>
      <c r="E921" s="6">
        <v>153018</v>
      </c>
      <c r="F921" s="13">
        <v>735325</v>
      </c>
      <c r="G921" s="6">
        <v>279843</v>
      </c>
      <c r="H921" s="6">
        <v>45828</v>
      </c>
      <c r="I921" s="6">
        <v>47493</v>
      </c>
      <c r="J921" s="6">
        <v>157579</v>
      </c>
      <c r="K921" s="6">
        <v>464822</v>
      </c>
      <c r="L921" s="6">
        <v>138537</v>
      </c>
      <c r="M921" s="6">
        <v>1492240</v>
      </c>
      <c r="N921" s="42">
        <v>981351</v>
      </c>
      <c r="O921" s="42">
        <v>13419</v>
      </c>
      <c r="P921" s="42">
        <v>77531</v>
      </c>
      <c r="Q921" s="42">
        <v>295426</v>
      </c>
      <c r="R921" s="42">
        <v>2475830</v>
      </c>
      <c r="S921" s="43">
        <v>105344</v>
      </c>
      <c r="T921" s="42">
        <v>558751</v>
      </c>
    </row>
    <row r="922" spans="1:20" x14ac:dyDescent="0.3">
      <c r="A922" s="7">
        <v>44812</v>
      </c>
      <c r="B922" s="43"/>
      <c r="C922" s="6">
        <v>185011</v>
      </c>
      <c r="D922" s="6">
        <v>280220</v>
      </c>
      <c r="E922" s="6">
        <v>158469</v>
      </c>
      <c r="F922" s="13">
        <v>739319</v>
      </c>
      <c r="G922" s="6">
        <v>287240</v>
      </c>
      <c r="H922" s="6">
        <v>47231</v>
      </c>
      <c r="I922" s="6">
        <v>49346</v>
      </c>
      <c r="J922" s="6">
        <v>158813</v>
      </c>
      <c r="K922" s="6">
        <v>464841</v>
      </c>
      <c r="L922" s="6">
        <v>138237</v>
      </c>
      <c r="M922" s="6">
        <v>1505148</v>
      </c>
      <c r="N922" s="42">
        <v>979209</v>
      </c>
      <c r="O922" s="42">
        <v>14124</v>
      </c>
      <c r="P922" s="42">
        <v>73881</v>
      </c>
      <c r="Q922" s="42">
        <v>284391</v>
      </c>
      <c r="R922" s="42">
        <v>2388066</v>
      </c>
      <c r="S922" s="43">
        <v>108646</v>
      </c>
      <c r="T922" s="42">
        <v>541441</v>
      </c>
    </row>
    <row r="923" spans="1:20" x14ac:dyDescent="0.3">
      <c r="A923" s="7">
        <v>44811</v>
      </c>
      <c r="B923" s="43"/>
      <c r="C923" s="6">
        <v>184142</v>
      </c>
      <c r="D923" s="6">
        <v>279472</v>
      </c>
      <c r="E923" s="6">
        <v>159425</v>
      </c>
      <c r="F923" s="13">
        <v>722656</v>
      </c>
      <c r="G923" s="6">
        <v>278426</v>
      </c>
      <c r="H923" s="6">
        <v>46965</v>
      </c>
      <c r="I923" s="6">
        <v>50160</v>
      </c>
      <c r="J923" s="6">
        <v>161140</v>
      </c>
      <c r="K923" s="6">
        <v>464269</v>
      </c>
      <c r="L923" s="6">
        <v>137691</v>
      </c>
      <c r="M923" s="6">
        <v>1511051</v>
      </c>
      <c r="N923" s="42">
        <v>981299</v>
      </c>
      <c r="O923" s="42">
        <v>14423</v>
      </c>
      <c r="P923" s="42">
        <v>75277</v>
      </c>
      <c r="Q923" s="42">
        <v>281378</v>
      </c>
      <c r="R923" s="42">
        <v>2344483</v>
      </c>
      <c r="S923" s="43">
        <v>110738</v>
      </c>
      <c r="T923" s="42">
        <v>538815</v>
      </c>
    </row>
    <row r="924" spans="1:20" x14ac:dyDescent="0.3">
      <c r="A924" s="7">
        <v>44810</v>
      </c>
      <c r="B924" s="43"/>
      <c r="C924" s="6">
        <v>178232</v>
      </c>
      <c r="D924" s="6">
        <v>280937</v>
      </c>
      <c r="E924" s="6">
        <v>160567</v>
      </c>
      <c r="F924" s="13">
        <v>721678</v>
      </c>
      <c r="G924" s="6">
        <v>281266</v>
      </c>
      <c r="H924" s="6">
        <v>46796</v>
      </c>
      <c r="I924" s="6">
        <v>48226</v>
      </c>
      <c r="J924" s="6">
        <v>160251</v>
      </c>
      <c r="K924" s="6">
        <v>465908</v>
      </c>
      <c r="L924" s="6">
        <v>138300</v>
      </c>
      <c r="M924" s="6">
        <v>1480320</v>
      </c>
      <c r="N924" s="42">
        <v>984642</v>
      </c>
      <c r="O924" s="42">
        <v>15337</v>
      </c>
      <c r="P924" s="42">
        <v>76726</v>
      </c>
      <c r="Q924" s="42">
        <v>286754</v>
      </c>
      <c r="R924" s="42">
        <v>2314290</v>
      </c>
      <c r="S924" s="43">
        <v>115135</v>
      </c>
      <c r="T924" s="42">
        <v>542267</v>
      </c>
    </row>
    <row r="925" spans="1:20" x14ac:dyDescent="0.3">
      <c r="A925" s="7">
        <v>44809</v>
      </c>
      <c r="B925" s="43"/>
      <c r="C925" s="6">
        <v>174835</v>
      </c>
      <c r="D925" s="6">
        <v>274687</v>
      </c>
      <c r="E925" s="6">
        <v>158276</v>
      </c>
      <c r="F925" s="13">
        <v>717999</v>
      </c>
      <c r="G925" s="6">
        <v>267853</v>
      </c>
      <c r="H925" s="6">
        <v>43064</v>
      </c>
      <c r="I925" s="6">
        <v>46531</v>
      </c>
      <c r="J925" s="6">
        <v>160167</v>
      </c>
      <c r="K925" s="6">
        <v>463442</v>
      </c>
      <c r="L925" s="6">
        <v>138102</v>
      </c>
      <c r="M925" s="6">
        <v>1468947</v>
      </c>
      <c r="N925" s="42">
        <v>975231</v>
      </c>
      <c r="O925" s="42">
        <v>13904</v>
      </c>
      <c r="P925" s="42">
        <v>75274</v>
      </c>
      <c r="Q925" s="42">
        <v>280491</v>
      </c>
      <c r="R925" s="42">
        <v>2310841</v>
      </c>
      <c r="S925" s="43">
        <v>114455</v>
      </c>
      <c r="T925" s="42">
        <v>536438</v>
      </c>
    </row>
    <row r="926" spans="1:20" x14ac:dyDescent="0.3">
      <c r="A926" s="7">
        <v>44806</v>
      </c>
      <c r="B926" s="43"/>
      <c r="C926" s="6">
        <v>174835</v>
      </c>
      <c r="D926" s="6">
        <v>274687</v>
      </c>
      <c r="E926" s="6">
        <v>158276</v>
      </c>
      <c r="F926" s="13">
        <v>717999</v>
      </c>
      <c r="G926" s="6">
        <v>267853</v>
      </c>
      <c r="H926" s="6">
        <v>43064</v>
      </c>
      <c r="I926" s="6">
        <v>46531</v>
      </c>
      <c r="J926" s="6">
        <v>160167</v>
      </c>
      <c r="K926" s="6">
        <v>463442</v>
      </c>
      <c r="L926" s="6">
        <v>138102</v>
      </c>
      <c r="M926" s="6">
        <v>1468947</v>
      </c>
      <c r="N926" s="42">
        <v>975231</v>
      </c>
      <c r="O926" s="42">
        <v>13904</v>
      </c>
      <c r="P926" s="42">
        <v>75274</v>
      </c>
      <c r="Q926" s="42">
        <v>280491</v>
      </c>
      <c r="R926" s="42">
        <v>2310841</v>
      </c>
      <c r="S926" s="43">
        <v>120650</v>
      </c>
      <c r="T926" s="42">
        <v>531556</v>
      </c>
    </row>
    <row r="927" spans="1:20" x14ac:dyDescent="0.3">
      <c r="A927" s="7">
        <v>44805</v>
      </c>
      <c r="B927" s="43"/>
      <c r="C927" s="6">
        <v>176665</v>
      </c>
      <c r="D927" s="6">
        <v>277235</v>
      </c>
      <c r="E927" s="6">
        <v>162418</v>
      </c>
      <c r="F927" s="13">
        <v>723044</v>
      </c>
      <c r="G927" s="6">
        <v>271708</v>
      </c>
      <c r="H927" s="6">
        <v>44459</v>
      </c>
      <c r="I927" s="6">
        <v>49083</v>
      </c>
      <c r="J927" s="6">
        <v>160948</v>
      </c>
      <c r="K927" s="6">
        <v>464244</v>
      </c>
      <c r="L927" s="6">
        <v>137593</v>
      </c>
      <c r="M927" s="6">
        <v>1465529</v>
      </c>
      <c r="N927" s="42">
        <v>979588</v>
      </c>
      <c r="O927" s="42">
        <v>14434</v>
      </c>
      <c r="P927" s="42">
        <v>75158</v>
      </c>
      <c r="Q927" s="42">
        <v>273474</v>
      </c>
      <c r="R927" s="42">
        <v>2320860</v>
      </c>
      <c r="S927" s="43">
        <v>115316</v>
      </c>
      <c r="T927" s="42">
        <v>531694</v>
      </c>
    </row>
    <row r="928" spans="1:20" x14ac:dyDescent="0.3">
      <c r="A928" s="7">
        <v>44804</v>
      </c>
      <c r="B928" s="43"/>
      <c r="C928" s="6">
        <v>171096</v>
      </c>
      <c r="D928" s="6">
        <v>267118</v>
      </c>
      <c r="E928" s="6">
        <v>156145</v>
      </c>
      <c r="F928" s="13">
        <v>718410</v>
      </c>
      <c r="G928" s="6">
        <v>261952</v>
      </c>
      <c r="H928" s="6">
        <v>43767</v>
      </c>
      <c r="I928" s="6">
        <v>46731</v>
      </c>
      <c r="J928" s="6">
        <v>158561</v>
      </c>
      <c r="K928" s="6">
        <v>459407</v>
      </c>
      <c r="L928" s="6">
        <v>136972</v>
      </c>
      <c r="M928" s="6">
        <v>1467964</v>
      </c>
      <c r="N928" s="42">
        <v>978283</v>
      </c>
      <c r="O928" s="42">
        <v>13964</v>
      </c>
      <c r="P928" s="42">
        <v>78218</v>
      </c>
      <c r="Q928" s="42">
        <v>269001</v>
      </c>
      <c r="R928" s="42">
        <v>2337252</v>
      </c>
      <c r="S928" s="43">
        <v>111895</v>
      </c>
      <c r="T928" s="42">
        <v>524244</v>
      </c>
    </row>
    <row r="929" spans="1:20" x14ac:dyDescent="0.3">
      <c r="A929" s="7">
        <v>44803</v>
      </c>
      <c r="B929" s="43"/>
      <c r="C929" s="6">
        <v>169267</v>
      </c>
      <c r="D929" s="6">
        <v>262004</v>
      </c>
      <c r="E929" s="6">
        <v>158165</v>
      </c>
      <c r="F929" s="13">
        <v>720081</v>
      </c>
      <c r="G929" s="6">
        <v>247030</v>
      </c>
      <c r="H929" s="6">
        <v>44376</v>
      </c>
      <c r="I929" s="6">
        <v>47168</v>
      </c>
      <c r="J929" s="6">
        <v>158390</v>
      </c>
      <c r="K929" s="6">
        <v>459165</v>
      </c>
      <c r="L929" s="6">
        <v>138714</v>
      </c>
      <c r="M929" s="6">
        <v>1470207</v>
      </c>
      <c r="N929" s="42">
        <v>978881</v>
      </c>
      <c r="O929" s="42">
        <v>14440</v>
      </c>
      <c r="P929" s="42">
        <v>77430</v>
      </c>
      <c r="Q929" s="42">
        <v>263641</v>
      </c>
      <c r="R929" s="42">
        <v>2329953</v>
      </c>
      <c r="S929" s="43">
        <v>113137</v>
      </c>
      <c r="T929" s="42">
        <v>521717</v>
      </c>
    </row>
    <row r="930" spans="1:20" x14ac:dyDescent="0.3">
      <c r="A930" s="7">
        <v>44802</v>
      </c>
      <c r="B930" s="43"/>
      <c r="C930" s="6">
        <v>166780</v>
      </c>
      <c r="D930" s="6">
        <v>256713</v>
      </c>
      <c r="E930" s="6">
        <v>153861</v>
      </c>
      <c r="F930" s="13">
        <v>720445</v>
      </c>
      <c r="G930" s="6">
        <v>245251</v>
      </c>
      <c r="H930" s="6">
        <v>44879</v>
      </c>
      <c r="I930" s="6">
        <v>45248</v>
      </c>
      <c r="J930" s="6">
        <v>159156</v>
      </c>
      <c r="K930" s="6">
        <v>457849</v>
      </c>
      <c r="L930" s="6">
        <v>135392</v>
      </c>
      <c r="M930" s="6">
        <v>1478364</v>
      </c>
      <c r="N930" s="42">
        <v>980327</v>
      </c>
      <c r="O930" s="42">
        <v>14973</v>
      </c>
      <c r="P930" s="42">
        <v>78518</v>
      </c>
      <c r="Q930" s="42">
        <v>266015</v>
      </c>
      <c r="R930" s="42">
        <v>2344015</v>
      </c>
      <c r="S930" s="43">
        <v>106680</v>
      </c>
      <c r="T930" s="42">
        <v>519332</v>
      </c>
    </row>
    <row r="931" spans="1:20" x14ac:dyDescent="0.3">
      <c r="A931" s="7">
        <v>44799</v>
      </c>
      <c r="B931" s="43"/>
      <c r="C931" s="6">
        <v>168212</v>
      </c>
      <c r="D931" s="6">
        <v>254875</v>
      </c>
      <c r="E931" s="6">
        <v>153365</v>
      </c>
      <c r="F931" s="14">
        <v>715322</v>
      </c>
      <c r="G931" s="6">
        <v>239518</v>
      </c>
      <c r="H931" s="6">
        <v>45125</v>
      </c>
      <c r="I931" s="6">
        <v>43479</v>
      </c>
      <c r="J931" s="6">
        <v>161077</v>
      </c>
      <c r="K931" s="6">
        <v>457582</v>
      </c>
      <c r="L931" s="6">
        <v>135498</v>
      </c>
      <c r="M931" s="6">
        <v>1469804</v>
      </c>
      <c r="N931" s="42">
        <v>969208</v>
      </c>
      <c r="O931" s="42">
        <v>15528</v>
      </c>
      <c r="P931" s="42">
        <v>78008</v>
      </c>
      <c r="Q931" s="42">
        <v>265110</v>
      </c>
      <c r="R931" s="42">
        <v>2339357</v>
      </c>
      <c r="S931" s="43">
        <v>108951</v>
      </c>
      <c r="T931" s="42">
        <v>516049</v>
      </c>
    </row>
    <row r="932" spans="1:20" x14ac:dyDescent="0.3">
      <c r="A932" s="7">
        <v>44798</v>
      </c>
      <c r="B932" s="43"/>
      <c r="C932" s="6">
        <v>169831</v>
      </c>
      <c r="D932" s="6">
        <v>249793</v>
      </c>
      <c r="E932" s="6">
        <v>151593</v>
      </c>
      <c r="F932" s="14">
        <v>718792</v>
      </c>
      <c r="G932" s="6">
        <v>239338</v>
      </c>
      <c r="H932" s="6">
        <v>44110</v>
      </c>
      <c r="I932" s="6">
        <v>44955</v>
      </c>
      <c r="J932" s="6">
        <v>163895</v>
      </c>
      <c r="K932" s="6">
        <v>457023</v>
      </c>
      <c r="L932" s="6">
        <v>137098</v>
      </c>
      <c r="M932" s="6">
        <v>1469865</v>
      </c>
      <c r="N932" s="42">
        <v>973423</v>
      </c>
      <c r="O932" s="42">
        <v>13975</v>
      </c>
      <c r="P932" s="42">
        <v>78721</v>
      </c>
      <c r="Q932" s="42">
        <v>261269</v>
      </c>
      <c r="R932" s="42">
        <v>2336160</v>
      </c>
      <c r="S932" s="43">
        <v>100284</v>
      </c>
      <c r="T932" s="42">
        <v>517444</v>
      </c>
    </row>
    <row r="933" spans="1:20" x14ac:dyDescent="0.3">
      <c r="A933" s="7">
        <v>44797</v>
      </c>
      <c r="B933" s="43"/>
      <c r="C933" s="6">
        <v>172152</v>
      </c>
      <c r="D933" s="6">
        <v>246743</v>
      </c>
      <c r="E933" s="6">
        <v>151882</v>
      </c>
      <c r="F933" s="14">
        <v>722650</v>
      </c>
      <c r="G933" s="6">
        <v>241033</v>
      </c>
      <c r="H933" s="6">
        <v>44450</v>
      </c>
      <c r="I933" s="6">
        <v>44774</v>
      </c>
      <c r="J933" s="6">
        <v>167758</v>
      </c>
      <c r="K933" s="6">
        <v>459616</v>
      </c>
      <c r="L933" s="6">
        <v>140698</v>
      </c>
      <c r="M933" s="6">
        <v>1493475</v>
      </c>
      <c r="N933" s="42">
        <v>975092</v>
      </c>
      <c r="O933" s="42">
        <v>13329</v>
      </c>
      <c r="P933" s="42">
        <v>79583</v>
      </c>
      <c r="Q933" s="42">
        <v>262498</v>
      </c>
      <c r="R933" s="42">
        <v>2321879</v>
      </c>
      <c r="S933" s="43">
        <v>101005</v>
      </c>
      <c r="T933" s="42">
        <v>519593</v>
      </c>
    </row>
    <row r="934" spans="1:20" x14ac:dyDescent="0.3">
      <c r="A934" s="7">
        <v>44796</v>
      </c>
      <c r="B934" s="43"/>
      <c r="C934" s="6">
        <v>169212</v>
      </c>
      <c r="D934" s="6">
        <v>248007</v>
      </c>
      <c r="E934" s="6">
        <v>152685</v>
      </c>
      <c r="F934" s="14">
        <v>717921</v>
      </c>
      <c r="G934" s="6">
        <v>242132</v>
      </c>
      <c r="H934" s="6">
        <v>42311</v>
      </c>
      <c r="I934" s="6">
        <v>42471</v>
      </c>
      <c r="J934" s="6">
        <v>173145</v>
      </c>
      <c r="K934" s="6">
        <v>457762</v>
      </c>
      <c r="L934" s="6">
        <v>144357</v>
      </c>
      <c r="M934" s="6">
        <v>1503506</v>
      </c>
      <c r="N934" s="42">
        <v>976303</v>
      </c>
      <c r="O934" s="42">
        <v>13302</v>
      </c>
      <c r="P934" s="42">
        <v>80779</v>
      </c>
      <c r="Q934" s="42">
        <v>262158</v>
      </c>
      <c r="R934" s="42">
        <v>2329538</v>
      </c>
      <c r="S934" s="43">
        <v>104454</v>
      </c>
      <c r="T934" s="42">
        <v>517460</v>
      </c>
    </row>
    <row r="935" spans="1:20" x14ac:dyDescent="0.3">
      <c r="A935" s="7">
        <v>44795</v>
      </c>
      <c r="B935" s="43"/>
      <c r="C935" s="6">
        <v>169005</v>
      </c>
      <c r="D935" s="6">
        <v>243761</v>
      </c>
      <c r="E935" s="6">
        <v>153240</v>
      </c>
      <c r="F935" s="14">
        <v>720991</v>
      </c>
      <c r="G935" s="6">
        <v>243711</v>
      </c>
      <c r="H935" s="6">
        <v>44911</v>
      </c>
      <c r="I935" s="6">
        <v>40689</v>
      </c>
      <c r="J935" s="6">
        <v>175402</v>
      </c>
      <c r="K935" s="6">
        <v>457457</v>
      </c>
      <c r="L935" s="6">
        <v>144255</v>
      </c>
      <c r="M935" s="6">
        <v>1491822</v>
      </c>
      <c r="N935" s="42">
        <v>978298</v>
      </c>
      <c r="O935" s="42">
        <v>13850</v>
      </c>
      <c r="P935" s="42">
        <v>79575</v>
      </c>
      <c r="Q935" s="42">
        <v>258642</v>
      </c>
      <c r="R935" s="42">
        <v>2345734</v>
      </c>
      <c r="S935" s="43">
        <v>106744</v>
      </c>
      <c r="T935" s="42">
        <v>514082</v>
      </c>
    </row>
    <row r="936" spans="1:20" x14ac:dyDescent="0.3">
      <c r="A936" s="7">
        <v>44792</v>
      </c>
      <c r="B936" s="5"/>
      <c r="C936" s="6">
        <v>167660</v>
      </c>
      <c r="D936" s="6">
        <v>239474</v>
      </c>
      <c r="E936" s="6">
        <v>150416</v>
      </c>
      <c r="F936" s="14">
        <v>712616</v>
      </c>
      <c r="G936" s="6">
        <v>235788</v>
      </c>
      <c r="H936" s="6">
        <v>42994</v>
      </c>
      <c r="I936" s="6">
        <v>39639</v>
      </c>
      <c r="J936" s="6">
        <v>177185</v>
      </c>
      <c r="K936" s="6">
        <v>458131</v>
      </c>
      <c r="L936" s="6">
        <v>145047</v>
      </c>
      <c r="M936" s="6">
        <v>1509401</v>
      </c>
      <c r="N936" s="42">
        <v>982243</v>
      </c>
      <c r="O936" s="42">
        <v>13844</v>
      </c>
      <c r="P936" s="42">
        <v>79281</v>
      </c>
      <c r="Q936" s="42">
        <v>253518</v>
      </c>
      <c r="R936" s="42">
        <v>2357757</v>
      </c>
      <c r="S936" s="5">
        <v>102596</v>
      </c>
      <c r="T936" s="42">
        <v>516230</v>
      </c>
    </row>
    <row r="937" spans="1:20" x14ac:dyDescent="0.3">
      <c r="A937" s="7">
        <v>44791</v>
      </c>
      <c r="B937" s="5"/>
      <c r="C937" s="6">
        <v>170696</v>
      </c>
      <c r="D937" s="6">
        <v>236125</v>
      </c>
      <c r="E937" s="6">
        <v>150510</v>
      </c>
      <c r="F937" s="14">
        <v>707174</v>
      </c>
      <c r="G937" s="6">
        <v>233339</v>
      </c>
      <c r="H937" s="6">
        <v>41923</v>
      </c>
      <c r="I937" s="6">
        <v>39057</v>
      </c>
      <c r="J937" s="6">
        <v>179407</v>
      </c>
      <c r="K937" s="6">
        <v>456830</v>
      </c>
      <c r="L937" s="6">
        <v>143899</v>
      </c>
      <c r="M937" s="6">
        <v>1528788</v>
      </c>
      <c r="N937" s="42">
        <v>982170</v>
      </c>
      <c r="O937" s="42">
        <v>12981</v>
      </c>
      <c r="P937" s="42">
        <v>79006</v>
      </c>
      <c r="Q937" s="42">
        <v>258478</v>
      </c>
      <c r="R937" s="42">
        <v>2373158</v>
      </c>
      <c r="S937" s="5">
        <v>98808</v>
      </c>
      <c r="T937" s="42">
        <v>521700</v>
      </c>
    </row>
    <row r="938" spans="1:20" x14ac:dyDescent="0.3">
      <c r="A938" s="7">
        <v>44790</v>
      </c>
      <c r="B938" s="5"/>
      <c r="C938" s="6">
        <v>162253</v>
      </c>
      <c r="D938" s="6">
        <v>230336</v>
      </c>
      <c r="E938" s="6">
        <v>148664</v>
      </c>
      <c r="F938" s="14">
        <v>700104</v>
      </c>
      <c r="G938" s="6">
        <v>228338</v>
      </c>
      <c r="H938" s="6">
        <v>41887</v>
      </c>
      <c r="I938" s="6">
        <v>38917</v>
      </c>
      <c r="J938" s="6">
        <v>181192</v>
      </c>
      <c r="K938" s="6">
        <v>456339</v>
      </c>
      <c r="L938" s="6">
        <v>143369</v>
      </c>
      <c r="M938" s="6">
        <v>1530516</v>
      </c>
      <c r="N938" s="42">
        <v>985614</v>
      </c>
      <c r="O938" s="42">
        <v>13106</v>
      </c>
      <c r="P938" s="42">
        <v>79682</v>
      </c>
      <c r="Q938" s="42">
        <v>260553</v>
      </c>
      <c r="R938" s="42">
        <v>2360719</v>
      </c>
      <c r="S938" s="5">
        <v>101435</v>
      </c>
      <c r="T938" s="42">
        <v>527821</v>
      </c>
    </row>
    <row r="939" spans="1:20" x14ac:dyDescent="0.3">
      <c r="A939" s="7">
        <v>44789</v>
      </c>
      <c r="B939" s="5"/>
      <c r="C939" s="6">
        <v>160110</v>
      </c>
      <c r="D939" s="6">
        <v>228136</v>
      </c>
      <c r="E939" s="6">
        <v>147596</v>
      </c>
      <c r="F939" s="14">
        <v>699108</v>
      </c>
      <c r="G939" s="6">
        <v>228899</v>
      </c>
      <c r="H939" s="6">
        <v>41729</v>
      </c>
      <c r="I939" s="6">
        <v>39407</v>
      </c>
      <c r="J939" s="6">
        <v>183500</v>
      </c>
      <c r="K939" s="6">
        <v>453960</v>
      </c>
      <c r="L939" s="6">
        <v>144314</v>
      </c>
      <c r="M939" s="6">
        <v>1557349</v>
      </c>
      <c r="N939" s="42">
        <v>983460</v>
      </c>
      <c r="O939" s="42">
        <v>12423</v>
      </c>
      <c r="P939" s="42">
        <v>81037</v>
      </c>
      <c r="Q939" s="42">
        <v>267796</v>
      </c>
      <c r="R939" s="42">
        <v>2346224</v>
      </c>
      <c r="S939" s="5">
        <v>97324</v>
      </c>
      <c r="T939" s="42">
        <v>528303</v>
      </c>
    </row>
    <row r="940" spans="1:20" x14ac:dyDescent="0.3">
      <c r="A940" s="7">
        <v>44788</v>
      </c>
      <c r="B940" s="5"/>
      <c r="C940" s="6">
        <v>160084</v>
      </c>
      <c r="D940" s="6">
        <v>225888</v>
      </c>
      <c r="E940" s="6">
        <v>145887</v>
      </c>
      <c r="F940" s="14">
        <v>694706</v>
      </c>
      <c r="G940" s="6">
        <v>228991</v>
      </c>
      <c r="H940" s="6">
        <v>40596</v>
      </c>
      <c r="I940" s="6">
        <v>39413</v>
      </c>
      <c r="J940" s="6">
        <v>188263</v>
      </c>
      <c r="K940" s="6">
        <v>455656</v>
      </c>
      <c r="L940" s="6">
        <v>146719</v>
      </c>
      <c r="M940" s="6">
        <v>1565272</v>
      </c>
      <c r="N940" s="42">
        <v>978236</v>
      </c>
      <c r="O940" s="42">
        <v>12419</v>
      </c>
      <c r="P940" s="42">
        <v>80421</v>
      </c>
      <c r="Q940" s="42">
        <v>270947</v>
      </c>
      <c r="R940" s="42">
        <v>2346596</v>
      </c>
      <c r="S940" s="5">
        <v>93605</v>
      </c>
      <c r="T940" s="42">
        <v>527520</v>
      </c>
    </row>
    <row r="941" spans="1:20" x14ac:dyDescent="0.3">
      <c r="A941" s="7">
        <v>44785</v>
      </c>
      <c r="B941" s="5"/>
      <c r="C941" s="6">
        <v>158012</v>
      </c>
      <c r="D941" s="6">
        <v>222561</v>
      </c>
      <c r="E941" s="6">
        <v>144383</v>
      </c>
      <c r="F941" s="14">
        <v>689651</v>
      </c>
      <c r="G941" s="6">
        <v>224241</v>
      </c>
      <c r="H941" s="6">
        <v>40813</v>
      </c>
      <c r="I941" s="6">
        <v>40579</v>
      </c>
      <c r="J941" s="6">
        <v>189759</v>
      </c>
      <c r="K941" s="6">
        <v>458933</v>
      </c>
      <c r="L941" s="6">
        <v>148006</v>
      </c>
      <c r="M941" s="6">
        <v>1573961</v>
      </c>
      <c r="N941" s="42">
        <v>978142</v>
      </c>
      <c r="O941" s="42">
        <v>12477</v>
      </c>
      <c r="P941" s="42">
        <v>79011</v>
      </c>
      <c r="Q941" s="42">
        <v>269276</v>
      </c>
      <c r="R941" s="42">
        <v>2337936</v>
      </c>
      <c r="S941" s="5">
        <v>94108</v>
      </c>
      <c r="T941" s="42">
        <v>540259</v>
      </c>
    </row>
    <row r="942" spans="1:20" x14ac:dyDescent="0.3">
      <c r="A942" s="7">
        <v>44784</v>
      </c>
      <c r="B942" s="5"/>
      <c r="C942" s="6">
        <v>161284</v>
      </c>
      <c r="D942" s="6">
        <v>225752</v>
      </c>
      <c r="E942" s="6">
        <v>145272</v>
      </c>
      <c r="F942" s="14">
        <v>693832</v>
      </c>
      <c r="G942" s="6">
        <v>222915</v>
      </c>
      <c r="H942" s="6">
        <v>41102</v>
      </c>
      <c r="I942" s="6">
        <v>41938</v>
      </c>
      <c r="J942" s="6">
        <v>192270</v>
      </c>
      <c r="K942" s="6">
        <v>457982</v>
      </c>
      <c r="L942" s="6">
        <v>148647</v>
      </c>
      <c r="M942" s="6">
        <v>1572133</v>
      </c>
      <c r="N942" s="42">
        <v>974916</v>
      </c>
      <c r="O942" s="42">
        <v>12775</v>
      </c>
      <c r="P942" s="42">
        <v>77386</v>
      </c>
      <c r="Q942" s="42">
        <v>263065</v>
      </c>
      <c r="R942" s="42">
        <v>2303660</v>
      </c>
      <c r="S942" s="5">
        <v>95155</v>
      </c>
      <c r="T942" s="42">
        <v>546182</v>
      </c>
    </row>
    <row r="943" spans="1:20" x14ac:dyDescent="0.3">
      <c r="A943" s="7">
        <v>44783</v>
      </c>
      <c r="B943" s="5"/>
      <c r="C943" s="6">
        <v>161360</v>
      </c>
      <c r="D943" s="6">
        <v>228917</v>
      </c>
      <c r="E943" s="6">
        <v>145309</v>
      </c>
      <c r="F943" s="14">
        <v>694810</v>
      </c>
      <c r="G943" s="6">
        <v>228319</v>
      </c>
      <c r="H943" s="6">
        <v>43428</v>
      </c>
      <c r="I943" s="6">
        <v>43458</v>
      </c>
      <c r="J943" s="6">
        <v>190421</v>
      </c>
      <c r="K943" s="6">
        <v>455997</v>
      </c>
      <c r="L943" s="6">
        <v>143625</v>
      </c>
      <c r="M943" s="6">
        <v>1566745</v>
      </c>
      <c r="N943" s="42">
        <v>969221</v>
      </c>
      <c r="O943" s="42">
        <v>12751</v>
      </c>
      <c r="P943" s="42">
        <v>77119</v>
      </c>
      <c r="Q943" s="42">
        <v>263785</v>
      </c>
      <c r="R943" s="42">
        <v>2315951</v>
      </c>
      <c r="S943" s="5">
        <v>94621</v>
      </c>
      <c r="T943" s="42">
        <v>544205</v>
      </c>
    </row>
    <row r="944" spans="1:20" x14ac:dyDescent="0.3">
      <c r="A944" s="7">
        <v>44782</v>
      </c>
      <c r="B944" s="5"/>
      <c r="C944" s="6">
        <v>158169</v>
      </c>
      <c r="D944" s="6">
        <v>224594</v>
      </c>
      <c r="E944" s="6">
        <v>143696</v>
      </c>
      <c r="F944" s="14">
        <v>692422</v>
      </c>
      <c r="G944" s="6">
        <v>225820</v>
      </c>
      <c r="H944" s="6">
        <v>45366</v>
      </c>
      <c r="I944" s="6">
        <v>43209</v>
      </c>
      <c r="J944" s="6">
        <v>188165</v>
      </c>
      <c r="K944" s="6">
        <v>453404</v>
      </c>
      <c r="L944" s="6">
        <v>141602</v>
      </c>
      <c r="M944" s="6">
        <v>1568066</v>
      </c>
      <c r="N944" s="42">
        <v>969582</v>
      </c>
      <c r="O944" s="42"/>
      <c r="P944" s="42">
        <v>75394</v>
      </c>
      <c r="Q944" s="42">
        <v>258784</v>
      </c>
      <c r="R944" s="42">
        <v>2299388</v>
      </c>
      <c r="S944" s="5">
        <v>93807</v>
      </c>
      <c r="T944" s="42">
        <v>544169</v>
      </c>
    </row>
    <row r="945" spans="1:20" x14ac:dyDescent="0.3">
      <c r="A945" s="7">
        <v>44781</v>
      </c>
      <c r="B945" s="5"/>
      <c r="C945" s="6">
        <v>158294</v>
      </c>
      <c r="D945" s="6">
        <v>225368</v>
      </c>
      <c r="E945" s="6">
        <v>145827</v>
      </c>
      <c r="F945" s="14">
        <v>692342</v>
      </c>
      <c r="G945" s="6">
        <v>226506</v>
      </c>
      <c r="H945" s="6">
        <v>45119</v>
      </c>
      <c r="I945" s="6">
        <v>43111</v>
      </c>
      <c r="J945" s="6">
        <v>186454</v>
      </c>
      <c r="K945" s="6">
        <v>455158</v>
      </c>
      <c r="L945" s="6">
        <v>141767</v>
      </c>
      <c r="M945" s="6">
        <v>1566089</v>
      </c>
      <c r="N945" s="42">
        <v>972024</v>
      </c>
      <c r="O945" s="42"/>
      <c r="P945" s="42">
        <v>74514</v>
      </c>
      <c r="Q945" s="42">
        <v>258057</v>
      </c>
      <c r="R945" s="42">
        <v>2316971</v>
      </c>
      <c r="S945" s="5">
        <v>93588</v>
      </c>
      <c r="T945" s="42">
        <v>551440</v>
      </c>
    </row>
    <row r="946" spans="1:20" x14ac:dyDescent="0.3">
      <c r="A946" s="7">
        <v>44778</v>
      </c>
      <c r="B946" s="5"/>
      <c r="C946" s="6">
        <v>162736</v>
      </c>
      <c r="D946" s="6">
        <v>228704</v>
      </c>
      <c r="E946" s="6">
        <v>143648</v>
      </c>
      <c r="F946" s="14">
        <v>688521</v>
      </c>
      <c r="G946" s="6">
        <v>222564</v>
      </c>
      <c r="H946" s="6">
        <v>45835</v>
      </c>
      <c r="I946" s="6">
        <v>43635</v>
      </c>
      <c r="J946" s="6">
        <v>186272</v>
      </c>
      <c r="K946" s="6">
        <v>454455</v>
      </c>
      <c r="L946" s="6">
        <v>139679</v>
      </c>
      <c r="M946" s="6">
        <v>1581761</v>
      </c>
      <c r="N946" s="42">
        <v>982901</v>
      </c>
      <c r="O946" s="42"/>
      <c r="P946" s="42">
        <v>74720</v>
      </c>
      <c r="Q946" s="42">
        <v>259041</v>
      </c>
      <c r="R946" s="42">
        <v>2334159</v>
      </c>
      <c r="S946" s="5">
        <v>93399</v>
      </c>
      <c r="T946" s="42">
        <v>553063</v>
      </c>
    </row>
    <row r="947" spans="1:20" x14ac:dyDescent="0.3">
      <c r="A947" s="7">
        <v>44777</v>
      </c>
      <c r="B947" s="5"/>
      <c r="C947" s="6">
        <v>162793</v>
      </c>
      <c r="D947" s="6">
        <v>226285</v>
      </c>
      <c r="E947" s="6">
        <v>145291</v>
      </c>
      <c r="F947" s="14">
        <v>688295</v>
      </c>
      <c r="G947" s="6">
        <v>230125</v>
      </c>
      <c r="H947" s="6">
        <v>44802</v>
      </c>
      <c r="I947" s="6">
        <v>45399</v>
      </c>
      <c r="J947" s="6">
        <v>187054</v>
      </c>
      <c r="K947" s="6">
        <v>461339</v>
      </c>
      <c r="L947" s="6">
        <v>137719</v>
      </c>
      <c r="M947" s="6">
        <v>1611717</v>
      </c>
      <c r="N947" s="42">
        <v>987751</v>
      </c>
      <c r="O947" s="42"/>
      <c r="P947" s="42">
        <v>73447</v>
      </c>
      <c r="Q947" s="42">
        <v>264437</v>
      </c>
      <c r="R947" s="42">
        <v>2316520</v>
      </c>
      <c r="S947" s="5">
        <v>95023</v>
      </c>
      <c r="T947" s="42">
        <v>554200</v>
      </c>
    </row>
    <row r="948" spans="1:20" x14ac:dyDescent="0.3">
      <c r="A948" s="7">
        <v>44776</v>
      </c>
      <c r="B948" s="5"/>
      <c r="C948" s="6">
        <v>163930</v>
      </c>
      <c r="D948" s="6">
        <v>224568</v>
      </c>
      <c r="E948" s="6">
        <v>144798</v>
      </c>
      <c r="F948" s="14">
        <v>686172</v>
      </c>
      <c r="G948" s="6">
        <v>233614</v>
      </c>
      <c r="H948" s="6">
        <v>46372</v>
      </c>
      <c r="I948" s="6">
        <v>45109</v>
      </c>
      <c r="J948" s="6">
        <v>186269</v>
      </c>
      <c r="K948" s="6">
        <v>459160</v>
      </c>
      <c r="L948" s="6">
        <v>135463</v>
      </c>
      <c r="M948" s="6">
        <v>1612365</v>
      </c>
      <c r="N948" s="42">
        <v>988858</v>
      </c>
      <c r="O948" s="42"/>
      <c r="P948" s="42">
        <v>73597</v>
      </c>
      <c r="Q948" s="42">
        <v>262902</v>
      </c>
      <c r="R948" s="42">
        <v>2330373</v>
      </c>
      <c r="S948" s="5">
        <v>92624</v>
      </c>
      <c r="T948" s="42">
        <v>555976</v>
      </c>
    </row>
    <row r="949" spans="1:20" x14ac:dyDescent="0.3">
      <c r="A949" s="7">
        <v>44775</v>
      </c>
      <c r="B949" s="5"/>
      <c r="C949" s="6">
        <v>167931</v>
      </c>
      <c r="D949" s="6">
        <v>226987</v>
      </c>
      <c r="E949" s="6">
        <v>145914</v>
      </c>
      <c r="F949" s="14">
        <v>683883</v>
      </c>
      <c r="G949" s="6">
        <v>236737</v>
      </c>
      <c r="H949" s="6">
        <v>45274</v>
      </c>
      <c r="I949" s="6">
        <v>45874</v>
      </c>
      <c r="J949" s="6">
        <v>184441</v>
      </c>
      <c r="K949" s="6">
        <v>459649</v>
      </c>
      <c r="L949" s="6">
        <v>136267</v>
      </c>
      <c r="M949" s="6">
        <v>1606910</v>
      </c>
      <c r="N949" s="42">
        <v>984570</v>
      </c>
      <c r="O949" s="42"/>
      <c r="P949" s="42">
        <v>72619</v>
      </c>
      <c r="Q949" s="42">
        <v>262325</v>
      </c>
      <c r="R949" s="42">
        <v>2310665</v>
      </c>
      <c r="S949" s="5">
        <v>94153</v>
      </c>
      <c r="T949" s="42">
        <v>561445</v>
      </c>
    </row>
    <row r="950" spans="1:20" x14ac:dyDescent="0.3">
      <c r="A950" s="7">
        <v>44774</v>
      </c>
      <c r="B950" s="5"/>
      <c r="C950" s="6">
        <v>162628</v>
      </c>
      <c r="D950" s="6">
        <v>223990</v>
      </c>
      <c r="E950" s="6">
        <v>147185</v>
      </c>
      <c r="F950" s="14">
        <v>683322</v>
      </c>
      <c r="G950" s="6">
        <v>237346</v>
      </c>
      <c r="H950" s="6">
        <v>44799</v>
      </c>
      <c r="I950" s="6">
        <v>46090</v>
      </c>
      <c r="J950" s="6">
        <v>186073</v>
      </c>
      <c r="K950" s="6">
        <v>462770</v>
      </c>
      <c r="L950" s="6">
        <v>135312</v>
      </c>
      <c r="M950" s="6">
        <v>1616894</v>
      </c>
      <c r="N950" s="42">
        <v>986531</v>
      </c>
      <c r="O950" s="42"/>
      <c r="P950" s="42">
        <v>73202</v>
      </c>
      <c r="Q950" s="42">
        <v>263373</v>
      </c>
      <c r="R950" s="42">
        <v>2335754</v>
      </c>
      <c r="S950" s="5">
        <v>93644</v>
      </c>
      <c r="T950" s="42">
        <v>564700</v>
      </c>
    </row>
    <row r="951" spans="1:20" x14ac:dyDescent="0.3">
      <c r="A951" s="7">
        <v>44771</v>
      </c>
      <c r="B951" s="5"/>
      <c r="C951" s="6">
        <v>166254</v>
      </c>
      <c r="D951" s="6">
        <v>227256</v>
      </c>
      <c r="E951" s="6">
        <v>146218</v>
      </c>
      <c r="F951" s="14">
        <v>679641</v>
      </c>
      <c r="G951" s="6">
        <v>231375</v>
      </c>
      <c r="H951" s="6">
        <v>43458</v>
      </c>
      <c r="I951" s="6">
        <v>45010</v>
      </c>
      <c r="J951" s="6">
        <v>185926</v>
      </c>
      <c r="K951" s="6">
        <v>466838</v>
      </c>
      <c r="L951" s="6">
        <v>138933</v>
      </c>
      <c r="M951" s="6">
        <v>1609615</v>
      </c>
      <c r="N951" s="42">
        <v>983986</v>
      </c>
      <c r="O951" s="42"/>
      <c r="P951" s="42">
        <v>74121</v>
      </c>
      <c r="Q951" s="42">
        <v>260662</v>
      </c>
      <c r="R951" s="42">
        <v>2339217</v>
      </c>
      <c r="S951" s="5">
        <v>93324</v>
      </c>
      <c r="T951" s="42">
        <v>562812</v>
      </c>
    </row>
    <row r="952" spans="1:20" x14ac:dyDescent="0.3">
      <c r="A952" s="7">
        <v>44770</v>
      </c>
      <c r="B952" s="5"/>
      <c r="C952" s="6">
        <v>161361</v>
      </c>
      <c r="D952" s="6">
        <v>223796</v>
      </c>
      <c r="E952" s="6">
        <v>145342</v>
      </c>
      <c r="F952" s="14">
        <v>684363</v>
      </c>
      <c r="G952" s="6">
        <v>237106</v>
      </c>
      <c r="H952" s="6">
        <v>45170</v>
      </c>
      <c r="I952" s="6">
        <v>45000</v>
      </c>
      <c r="J952" s="6">
        <v>188067</v>
      </c>
      <c r="K952" s="6">
        <v>485668</v>
      </c>
      <c r="L952" s="6">
        <v>143598</v>
      </c>
      <c r="M952" s="6">
        <v>1603321</v>
      </c>
      <c r="N952" s="42">
        <v>979697</v>
      </c>
      <c r="O952" s="42"/>
      <c r="P952" s="42">
        <v>74431</v>
      </c>
      <c r="Q952" s="42">
        <v>262511</v>
      </c>
      <c r="R952" s="42">
        <v>2331974</v>
      </c>
      <c r="S952" s="5">
        <v>95026</v>
      </c>
      <c r="T952" s="42">
        <v>566337</v>
      </c>
    </row>
    <row r="953" spans="1:20" x14ac:dyDescent="0.3">
      <c r="A953" s="7">
        <v>44769</v>
      </c>
      <c r="B953" s="5"/>
      <c r="C953" s="6">
        <v>157483</v>
      </c>
      <c r="D953" s="6">
        <v>223049</v>
      </c>
      <c r="E953" s="6">
        <v>146001</v>
      </c>
      <c r="F953" s="14">
        <v>687527</v>
      </c>
      <c r="G953" s="6">
        <v>228926</v>
      </c>
      <c r="H953" s="6">
        <v>47738</v>
      </c>
      <c r="I953" s="6">
        <v>43821</v>
      </c>
      <c r="J953" s="6">
        <v>187681</v>
      </c>
      <c r="K953" s="6">
        <v>482475</v>
      </c>
      <c r="L953" s="6">
        <v>148088</v>
      </c>
      <c r="M953" s="6">
        <v>1592734</v>
      </c>
      <c r="N953" s="42">
        <v>981053</v>
      </c>
      <c r="O953" s="42"/>
      <c r="P953" s="42">
        <v>72434</v>
      </c>
      <c r="Q953" s="42">
        <v>258021</v>
      </c>
      <c r="R953" s="42">
        <v>2322831</v>
      </c>
      <c r="S953" s="5">
        <v>94208</v>
      </c>
      <c r="T953" s="42">
        <v>570668</v>
      </c>
    </row>
    <row r="954" spans="1:20" x14ac:dyDescent="0.3">
      <c r="A954" s="7">
        <v>44768</v>
      </c>
      <c r="B954" s="5"/>
      <c r="C954" s="6">
        <v>156473</v>
      </c>
      <c r="D954" s="6">
        <v>225889</v>
      </c>
      <c r="E954" s="6">
        <v>144182</v>
      </c>
      <c r="F954" s="14">
        <v>694099</v>
      </c>
      <c r="G954" s="6">
        <v>229219</v>
      </c>
      <c r="H954" s="6">
        <v>46471</v>
      </c>
      <c r="I954" s="6">
        <v>44081</v>
      </c>
      <c r="J954" s="6">
        <v>183958</v>
      </c>
      <c r="K954" s="6">
        <v>487515</v>
      </c>
      <c r="L954" s="6">
        <v>147784</v>
      </c>
      <c r="M954" s="6">
        <v>1597451</v>
      </c>
      <c r="N954" s="42">
        <v>976126</v>
      </c>
      <c r="O954" s="42"/>
      <c r="P954" s="42">
        <v>73288</v>
      </c>
      <c r="Q954" s="42">
        <v>267158</v>
      </c>
      <c r="R954" s="42">
        <v>2322824</v>
      </c>
      <c r="S954" s="5">
        <v>95644</v>
      </c>
      <c r="T954" s="42">
        <v>570976</v>
      </c>
    </row>
    <row r="955" spans="1:20" x14ac:dyDescent="0.3">
      <c r="A955" s="7">
        <v>44767</v>
      </c>
      <c r="B955" s="5"/>
      <c r="C955" s="6">
        <v>154169</v>
      </c>
      <c r="D955" s="6">
        <v>226646</v>
      </c>
      <c r="E955" s="6">
        <v>141756</v>
      </c>
      <c r="F955" s="14">
        <v>689591</v>
      </c>
      <c r="G955" s="6">
        <v>230129</v>
      </c>
      <c r="H955" s="6">
        <v>45698</v>
      </c>
      <c r="I955" s="6">
        <v>43487</v>
      </c>
      <c r="J955" s="6">
        <v>182399</v>
      </c>
      <c r="K955" s="6">
        <v>502738</v>
      </c>
      <c r="L955" s="6">
        <v>149220</v>
      </c>
      <c r="M955" s="6">
        <v>1599207</v>
      </c>
      <c r="N955" s="42">
        <v>970247</v>
      </c>
      <c r="O955" s="42"/>
      <c r="P955" s="42">
        <v>71086</v>
      </c>
      <c r="Q955" s="42">
        <v>265766</v>
      </c>
      <c r="R955" s="42">
        <v>2334205</v>
      </c>
      <c r="S955" s="5">
        <v>93544</v>
      </c>
      <c r="T955" s="42">
        <v>579596</v>
      </c>
    </row>
    <row r="956" spans="1:20" x14ac:dyDescent="0.3">
      <c r="A956" s="7">
        <v>44764</v>
      </c>
      <c r="B956" s="5"/>
      <c r="C956" s="6">
        <v>153740</v>
      </c>
      <c r="D956" s="6">
        <v>227291</v>
      </c>
      <c r="E956" s="6">
        <v>141891</v>
      </c>
      <c r="F956" s="14">
        <v>689774</v>
      </c>
      <c r="G956" s="6">
        <v>232186</v>
      </c>
      <c r="H956" s="6">
        <v>45901</v>
      </c>
      <c r="I956" s="6">
        <v>43024</v>
      </c>
      <c r="J956" s="6">
        <v>179123</v>
      </c>
      <c r="K956" s="6">
        <v>509399</v>
      </c>
      <c r="L956" s="6">
        <v>147106</v>
      </c>
      <c r="M956" s="6">
        <v>1598004</v>
      </c>
      <c r="N956" s="42">
        <v>963121</v>
      </c>
      <c r="O956" s="42"/>
      <c r="P956" s="42">
        <v>68350</v>
      </c>
      <c r="Q956" s="42">
        <v>262945</v>
      </c>
      <c r="R956" s="42">
        <v>2322525</v>
      </c>
      <c r="S956" s="5">
        <v>91168</v>
      </c>
      <c r="T956" s="42">
        <v>580932</v>
      </c>
    </row>
    <row r="957" spans="1:20" x14ac:dyDescent="0.3">
      <c r="A957" s="7">
        <v>44763</v>
      </c>
      <c r="B957" s="5"/>
      <c r="C957" s="6">
        <v>152933</v>
      </c>
      <c r="D957" s="6">
        <v>226232</v>
      </c>
      <c r="E957" s="6">
        <v>143047</v>
      </c>
      <c r="F957" s="14">
        <v>690694</v>
      </c>
      <c r="G957" s="6">
        <v>231468</v>
      </c>
      <c r="H957" s="6">
        <v>45605</v>
      </c>
      <c r="I957" s="6">
        <v>42481</v>
      </c>
      <c r="J957" s="6">
        <v>177244</v>
      </c>
      <c r="K957" s="6">
        <v>518984</v>
      </c>
      <c r="L957" s="6">
        <v>145595</v>
      </c>
      <c r="M957" s="6">
        <v>1590223</v>
      </c>
      <c r="N957" s="42">
        <v>951905</v>
      </c>
      <c r="O957" s="42"/>
      <c r="P957" s="42">
        <v>69888</v>
      </c>
      <c r="Q957" s="42">
        <v>264256</v>
      </c>
      <c r="R957" s="42">
        <v>2341661</v>
      </c>
      <c r="S957" s="5">
        <v>94384</v>
      </c>
      <c r="T957" s="42">
        <v>582913</v>
      </c>
    </row>
    <row r="958" spans="1:20" x14ac:dyDescent="0.3">
      <c r="A958" s="7">
        <v>44762</v>
      </c>
      <c r="B958" s="5"/>
      <c r="C958" s="6">
        <v>153084</v>
      </c>
      <c r="D958" s="6">
        <v>226654</v>
      </c>
      <c r="E958" s="6">
        <v>138616</v>
      </c>
      <c r="F958" s="14">
        <v>692914</v>
      </c>
      <c r="G958" s="6">
        <v>230600</v>
      </c>
      <c r="H958" s="6">
        <v>45357</v>
      </c>
      <c r="I958" s="6">
        <v>41390</v>
      </c>
      <c r="J958" s="6">
        <v>176601</v>
      </c>
      <c r="K958" s="6">
        <v>528655</v>
      </c>
      <c r="L958" s="6">
        <v>146305</v>
      </c>
      <c r="M958" s="6">
        <v>1579291</v>
      </c>
      <c r="N958" s="42">
        <v>955201</v>
      </c>
      <c r="O958" s="42"/>
      <c r="P958" s="42">
        <v>69683</v>
      </c>
      <c r="Q958" s="42">
        <v>263270</v>
      </c>
      <c r="R958" s="42">
        <v>2337174</v>
      </c>
      <c r="S958" s="5">
        <v>98659</v>
      </c>
      <c r="T958" s="42">
        <v>580952</v>
      </c>
    </row>
    <row r="959" spans="1:20" x14ac:dyDescent="0.3">
      <c r="A959" s="7">
        <v>44761</v>
      </c>
      <c r="B959" s="5"/>
      <c r="C959" s="6">
        <v>155494</v>
      </c>
      <c r="D959" s="6">
        <v>228479</v>
      </c>
      <c r="E959" s="6">
        <v>142216</v>
      </c>
      <c r="F959" s="14">
        <v>695571</v>
      </c>
      <c r="G959" s="6">
        <v>229979</v>
      </c>
      <c r="H959" s="6">
        <v>45467</v>
      </c>
      <c r="I959" s="6">
        <v>41855</v>
      </c>
      <c r="J959" s="6">
        <v>174592</v>
      </c>
      <c r="K959" s="6">
        <v>524786</v>
      </c>
      <c r="L959" s="6">
        <v>145247</v>
      </c>
      <c r="M959" s="6">
        <v>1577616</v>
      </c>
      <c r="N959" s="42">
        <v>953325</v>
      </c>
      <c r="O959" s="42"/>
      <c r="P959" s="42">
        <v>71277</v>
      </c>
      <c r="Q959" s="42">
        <v>256388</v>
      </c>
      <c r="R959" s="42">
        <v>2335319</v>
      </c>
      <c r="S959" s="5">
        <v>97043</v>
      </c>
      <c r="T959" s="42">
        <v>577317</v>
      </c>
    </row>
    <row r="960" spans="1:20" x14ac:dyDescent="0.3">
      <c r="A960" s="7">
        <v>44760</v>
      </c>
      <c r="B960" s="5"/>
      <c r="C960" s="6">
        <v>156547</v>
      </c>
      <c r="D960" s="6">
        <v>229974</v>
      </c>
      <c r="E960" s="6">
        <v>141498</v>
      </c>
      <c r="F960" s="14">
        <v>688868</v>
      </c>
      <c r="G960" s="6">
        <v>229601</v>
      </c>
      <c r="H960" s="6">
        <v>45161</v>
      </c>
      <c r="I960" s="6">
        <v>41159</v>
      </c>
      <c r="J960" s="6">
        <v>174874</v>
      </c>
      <c r="K960" s="6">
        <v>531752</v>
      </c>
      <c r="L960" s="6">
        <v>146697</v>
      </c>
      <c r="M960" s="6">
        <v>1595494</v>
      </c>
      <c r="N960" s="42">
        <v>963774</v>
      </c>
      <c r="O960" s="42"/>
      <c r="P960" s="42">
        <v>67842</v>
      </c>
      <c r="Q960" s="42">
        <v>252666</v>
      </c>
      <c r="R960" s="42">
        <v>2311090</v>
      </c>
      <c r="S960" s="5">
        <v>95353</v>
      </c>
      <c r="T960" s="42">
        <v>578566</v>
      </c>
    </row>
    <row r="961" spans="1:20" x14ac:dyDescent="0.3">
      <c r="A961" s="7">
        <v>44757</v>
      </c>
      <c r="B961" s="5"/>
      <c r="C961" s="6">
        <v>158581</v>
      </c>
      <c r="D961" s="6">
        <v>230055</v>
      </c>
      <c r="E961" s="6">
        <v>144195</v>
      </c>
      <c r="F961" s="14">
        <v>683595</v>
      </c>
      <c r="G961" s="6">
        <v>228657</v>
      </c>
      <c r="H961" s="6">
        <v>44468</v>
      </c>
      <c r="I961" s="6">
        <v>41289</v>
      </c>
      <c r="J961" s="6">
        <v>174563</v>
      </c>
      <c r="K961" s="6">
        <v>546081</v>
      </c>
      <c r="L961" s="6">
        <v>146693</v>
      </c>
      <c r="M961" s="6">
        <v>1602623</v>
      </c>
      <c r="N961" s="42">
        <v>968092</v>
      </c>
      <c r="O961" s="42"/>
      <c r="P961" s="42">
        <v>69931</v>
      </c>
      <c r="Q961" s="42">
        <v>255246</v>
      </c>
      <c r="R961" s="42">
        <v>2322653</v>
      </c>
      <c r="S961" s="5">
        <v>97884</v>
      </c>
      <c r="T961" s="42">
        <v>587250</v>
      </c>
    </row>
    <row r="962" spans="1:20" x14ac:dyDescent="0.3">
      <c r="A962" s="7">
        <v>44756</v>
      </c>
      <c r="B962" s="5"/>
      <c r="C962" s="6">
        <v>158594</v>
      </c>
      <c r="D962" s="6">
        <v>232163</v>
      </c>
      <c r="E962" s="6">
        <v>148645</v>
      </c>
      <c r="F962" s="14">
        <v>685653</v>
      </c>
      <c r="G962" s="6">
        <v>233095</v>
      </c>
      <c r="H962" s="6">
        <v>45212</v>
      </c>
      <c r="I962" s="6">
        <v>40714</v>
      </c>
      <c r="J962" s="6">
        <v>174347</v>
      </c>
      <c r="K962" s="6">
        <v>552130</v>
      </c>
      <c r="L962" s="6">
        <v>149088</v>
      </c>
      <c r="M962" s="6">
        <v>1626811</v>
      </c>
      <c r="N962" s="42">
        <v>971279</v>
      </c>
      <c r="O962" s="42"/>
      <c r="P962" s="42">
        <v>68261</v>
      </c>
      <c r="Q962" s="42">
        <v>256566</v>
      </c>
      <c r="R962" s="42">
        <v>2338428</v>
      </c>
      <c r="S962" s="5">
        <v>100442</v>
      </c>
      <c r="T962" s="42">
        <v>586788</v>
      </c>
    </row>
    <row r="963" spans="1:20" x14ac:dyDescent="0.3">
      <c r="A963" s="7">
        <v>44755</v>
      </c>
      <c r="B963" s="5"/>
      <c r="C963" s="6">
        <v>155990</v>
      </c>
      <c r="D963" s="6">
        <v>230793</v>
      </c>
      <c r="E963" s="6">
        <v>140212</v>
      </c>
      <c r="F963" s="14">
        <v>680006</v>
      </c>
      <c r="G963" s="6">
        <v>223395</v>
      </c>
      <c r="H963" s="6">
        <v>46204</v>
      </c>
      <c r="I963" s="6">
        <v>41152</v>
      </c>
      <c r="J963" s="6">
        <v>174152</v>
      </c>
      <c r="K963" s="6">
        <v>535552</v>
      </c>
      <c r="L963" s="6">
        <v>144410</v>
      </c>
      <c r="M963" s="6">
        <v>1617609</v>
      </c>
      <c r="N963" s="42">
        <v>972936</v>
      </c>
      <c r="O963" s="42"/>
      <c r="P963" s="42">
        <v>67587</v>
      </c>
      <c r="Q963" s="42">
        <v>254892</v>
      </c>
      <c r="R963" s="42">
        <v>2324401</v>
      </c>
      <c r="S963" s="5">
        <v>99213</v>
      </c>
      <c r="T963" s="42">
        <v>587970</v>
      </c>
    </row>
    <row r="964" spans="1:20" x14ac:dyDescent="0.3">
      <c r="A964" s="7">
        <v>44754</v>
      </c>
      <c r="B964" s="5"/>
      <c r="C964" s="6">
        <v>158263</v>
      </c>
      <c r="D964" s="6">
        <v>231945</v>
      </c>
      <c r="E964" s="6">
        <v>139297</v>
      </c>
      <c r="F964" s="14">
        <v>682031</v>
      </c>
      <c r="G964" s="6">
        <v>223539</v>
      </c>
      <c r="H964" s="6">
        <v>45837</v>
      </c>
      <c r="I964" s="6">
        <v>41255</v>
      </c>
      <c r="J964" s="6">
        <v>172037</v>
      </c>
      <c r="K964" s="6">
        <v>542493</v>
      </c>
      <c r="L964" s="6">
        <v>142259</v>
      </c>
      <c r="M964" s="6">
        <v>1612803</v>
      </c>
      <c r="N964" s="42">
        <v>969204</v>
      </c>
      <c r="O964" s="42"/>
      <c r="P964" s="42">
        <v>67254</v>
      </c>
      <c r="Q964" s="42">
        <v>254260</v>
      </c>
      <c r="R964" s="42">
        <v>2317580</v>
      </c>
      <c r="S964" s="5">
        <v>94639</v>
      </c>
      <c r="T964" s="42">
        <v>592508</v>
      </c>
    </row>
    <row r="965" spans="1:20" x14ac:dyDescent="0.3">
      <c r="A965" s="7">
        <v>44753</v>
      </c>
      <c r="B965" s="5"/>
      <c r="C965" s="6">
        <v>157526</v>
      </c>
      <c r="D965" s="6">
        <v>231582</v>
      </c>
      <c r="E965" s="6">
        <v>138395</v>
      </c>
      <c r="F965" s="14">
        <v>679804</v>
      </c>
      <c r="G965" s="6">
        <v>228209</v>
      </c>
      <c r="H965" s="6">
        <v>44681</v>
      </c>
      <c r="I965" s="6">
        <v>40618</v>
      </c>
      <c r="J965" s="6">
        <v>171864</v>
      </c>
      <c r="K965" s="6">
        <v>517246</v>
      </c>
      <c r="L965" s="6">
        <v>141883</v>
      </c>
      <c r="M965" s="6">
        <v>1614300</v>
      </c>
      <c r="N965" s="42">
        <v>976728</v>
      </c>
      <c r="O965" s="42"/>
      <c r="P965" s="42">
        <v>67250</v>
      </c>
      <c r="Q965" s="42">
        <v>254936</v>
      </c>
      <c r="R965" s="42">
        <v>2307914</v>
      </c>
      <c r="S965" s="5">
        <v>92715</v>
      </c>
      <c r="T965" s="42">
        <v>584188</v>
      </c>
    </row>
    <row r="966" spans="1:20" x14ac:dyDescent="0.3">
      <c r="A966" s="7">
        <v>44750</v>
      </c>
      <c r="B966" s="5"/>
      <c r="C966" s="6">
        <v>151124</v>
      </c>
      <c r="D966" s="6">
        <v>234360</v>
      </c>
      <c r="E966" s="6">
        <v>136009</v>
      </c>
      <c r="F966" s="14">
        <v>672902</v>
      </c>
      <c r="G966" s="6">
        <v>222261</v>
      </c>
      <c r="H966" s="6">
        <v>43245</v>
      </c>
      <c r="I966" s="6">
        <v>40134</v>
      </c>
      <c r="J966" s="6">
        <v>174303</v>
      </c>
      <c r="K966" s="6">
        <v>500451</v>
      </c>
      <c r="L966" s="6">
        <v>140677</v>
      </c>
      <c r="M966" s="6">
        <v>1615952</v>
      </c>
      <c r="N966" s="42">
        <v>973088</v>
      </c>
      <c r="O966" s="42"/>
      <c r="P966" s="42">
        <v>67292</v>
      </c>
      <c r="Q966" s="42">
        <v>251177</v>
      </c>
      <c r="R966" s="42">
        <v>2314580</v>
      </c>
      <c r="S966" s="5">
        <v>95295</v>
      </c>
      <c r="T966" s="42">
        <v>584682</v>
      </c>
    </row>
    <row r="967" spans="1:20" x14ac:dyDescent="0.3">
      <c r="A967" s="7">
        <v>44749</v>
      </c>
      <c r="B967" s="5"/>
      <c r="C967" s="6">
        <v>154234</v>
      </c>
      <c r="D967" s="6">
        <v>247180</v>
      </c>
      <c r="E967" s="6">
        <v>137842</v>
      </c>
      <c r="F967" s="14">
        <v>673101</v>
      </c>
      <c r="G967" s="6">
        <v>222446</v>
      </c>
      <c r="H967" s="6">
        <v>42891</v>
      </c>
      <c r="I967" s="6">
        <v>39125</v>
      </c>
      <c r="J967" s="6">
        <v>178119</v>
      </c>
      <c r="K967" s="6">
        <v>494996</v>
      </c>
      <c r="L967" s="6">
        <v>138897</v>
      </c>
      <c r="M967" s="6">
        <v>1614141</v>
      </c>
      <c r="N967" s="42">
        <v>973627</v>
      </c>
      <c r="O967" s="42"/>
      <c r="P967" s="42">
        <v>67310</v>
      </c>
      <c r="Q967" s="42">
        <v>254190</v>
      </c>
      <c r="R967" s="42">
        <v>2308396</v>
      </c>
      <c r="S967" s="5">
        <v>95121</v>
      </c>
      <c r="T967" s="42">
        <v>588355</v>
      </c>
    </row>
    <row r="968" spans="1:20" x14ac:dyDescent="0.3">
      <c r="A968" s="7">
        <v>44748</v>
      </c>
      <c r="B968" s="5"/>
      <c r="C968" s="6">
        <v>146274</v>
      </c>
      <c r="D968" s="6">
        <v>245155</v>
      </c>
      <c r="E968" s="6">
        <v>140392</v>
      </c>
      <c r="F968" s="14">
        <v>671015</v>
      </c>
      <c r="G968" s="6">
        <v>217362</v>
      </c>
      <c r="H968" s="6">
        <v>44248</v>
      </c>
      <c r="I968" s="6">
        <v>38989</v>
      </c>
      <c r="J968" s="6">
        <v>180197</v>
      </c>
      <c r="K968" s="6">
        <v>501234</v>
      </c>
      <c r="L968" s="6">
        <v>137601</v>
      </c>
      <c r="M968" s="6">
        <v>1637015</v>
      </c>
      <c r="N968" s="42">
        <v>978626</v>
      </c>
      <c r="O968" s="42"/>
      <c r="P968" s="42">
        <v>67403</v>
      </c>
      <c r="Q968" s="42">
        <v>251547</v>
      </c>
      <c r="R968" s="42">
        <v>2308893</v>
      </c>
      <c r="S968" s="5">
        <v>97267</v>
      </c>
      <c r="T968" s="42">
        <v>587115</v>
      </c>
    </row>
    <row r="969" spans="1:20" x14ac:dyDescent="0.3">
      <c r="A969" s="7">
        <v>44747</v>
      </c>
      <c r="B969" s="5"/>
      <c r="C969" s="6">
        <v>146950</v>
      </c>
      <c r="D969" s="6">
        <v>240926</v>
      </c>
      <c r="E969" s="6">
        <v>145372</v>
      </c>
      <c r="F969" s="14">
        <v>673772</v>
      </c>
      <c r="G969" s="6">
        <v>217672</v>
      </c>
      <c r="H969" s="6">
        <v>45403</v>
      </c>
      <c r="I969" s="6">
        <v>38504</v>
      </c>
      <c r="J969" s="6">
        <v>183331</v>
      </c>
      <c r="K969" s="6">
        <v>498210</v>
      </c>
      <c r="L969" s="6">
        <v>140463</v>
      </c>
      <c r="M969" s="6">
        <v>1637862</v>
      </c>
      <c r="N969" s="42">
        <v>977507</v>
      </c>
      <c r="O969" s="42"/>
      <c r="P969" s="42">
        <v>67437</v>
      </c>
      <c r="Q969" s="42">
        <v>259449</v>
      </c>
      <c r="R969" s="42">
        <v>2309241</v>
      </c>
      <c r="S969" s="5">
        <v>102761</v>
      </c>
      <c r="T969" s="42">
        <v>583523</v>
      </c>
    </row>
    <row r="970" spans="1:20" x14ac:dyDescent="0.3">
      <c r="A970" s="7">
        <v>44743</v>
      </c>
      <c r="B970" s="5"/>
      <c r="C970" s="6">
        <v>146187</v>
      </c>
      <c r="D970" s="6">
        <v>238637</v>
      </c>
      <c r="E970" s="6">
        <v>138320</v>
      </c>
      <c r="F970" s="14">
        <v>668331</v>
      </c>
      <c r="G970" s="6">
        <v>217587</v>
      </c>
      <c r="H970" s="6">
        <v>43337</v>
      </c>
      <c r="I970" s="6">
        <v>39997</v>
      </c>
      <c r="J970" s="6">
        <v>180744</v>
      </c>
      <c r="K970" s="6">
        <v>494664</v>
      </c>
      <c r="L970" s="6">
        <v>140169</v>
      </c>
      <c r="M970" s="6">
        <v>1626674</v>
      </c>
      <c r="N970" s="42">
        <v>984729</v>
      </c>
      <c r="O970" s="42"/>
      <c r="P970" s="42">
        <v>67564</v>
      </c>
      <c r="Q970" s="42">
        <v>257658</v>
      </c>
      <c r="R970" s="42">
        <v>2304108</v>
      </c>
      <c r="S970" s="5">
        <v>89188</v>
      </c>
      <c r="T970" s="42">
        <v>583973</v>
      </c>
    </row>
    <row r="971" spans="1:20" x14ac:dyDescent="0.3">
      <c r="A971" s="7">
        <v>44742</v>
      </c>
      <c r="B971" s="5"/>
      <c r="C971" s="6">
        <v>141348</v>
      </c>
      <c r="D971" s="6">
        <v>232208</v>
      </c>
      <c r="E971" s="6">
        <v>138048</v>
      </c>
      <c r="F971" s="14">
        <v>665327</v>
      </c>
      <c r="G971" s="6">
        <v>217729</v>
      </c>
      <c r="H971" s="6">
        <v>41976</v>
      </c>
      <c r="I971" s="6">
        <v>42022</v>
      </c>
      <c r="J971" s="6">
        <v>182924</v>
      </c>
      <c r="K971" s="6">
        <v>495832</v>
      </c>
      <c r="L971" s="6">
        <v>139925</v>
      </c>
      <c r="M971" s="6">
        <v>1630216</v>
      </c>
      <c r="N971" s="42">
        <v>985101</v>
      </c>
      <c r="O971" s="42"/>
      <c r="P971" s="42">
        <v>67667</v>
      </c>
      <c r="Q971" s="42">
        <v>254509</v>
      </c>
      <c r="R971" s="42">
        <v>2279573</v>
      </c>
      <c r="S971" s="5">
        <v>96358</v>
      </c>
      <c r="T971" s="42">
        <v>575730</v>
      </c>
    </row>
    <row r="972" spans="1:20" x14ac:dyDescent="0.3">
      <c r="A972" s="7">
        <v>44741</v>
      </c>
      <c r="B972" s="5"/>
      <c r="C972" s="6">
        <v>145718</v>
      </c>
      <c r="D972" s="6">
        <v>230165</v>
      </c>
      <c r="E972" s="6">
        <v>142663</v>
      </c>
      <c r="F972" s="14">
        <v>675476</v>
      </c>
      <c r="G972" s="6">
        <v>217284</v>
      </c>
      <c r="H972" s="6">
        <v>44089</v>
      </c>
      <c r="I972" s="6">
        <v>42410</v>
      </c>
      <c r="J972" s="6">
        <v>182992</v>
      </c>
      <c r="K972" s="6">
        <v>498299</v>
      </c>
      <c r="L972" s="6">
        <v>138309</v>
      </c>
      <c r="M972" s="6">
        <v>1647654</v>
      </c>
      <c r="N972" s="42">
        <v>988226</v>
      </c>
      <c r="O972" s="42"/>
      <c r="P972" s="42">
        <v>64835</v>
      </c>
      <c r="Q972" s="42">
        <v>250776</v>
      </c>
      <c r="R972" s="42">
        <v>2254164</v>
      </c>
      <c r="S972" s="5">
        <v>100907</v>
      </c>
      <c r="T972" s="42">
        <v>570497</v>
      </c>
    </row>
    <row r="973" spans="1:20" x14ac:dyDescent="0.3">
      <c r="A973" s="7">
        <v>44740</v>
      </c>
      <c r="B973" s="5"/>
      <c r="C973" s="6">
        <v>139891</v>
      </c>
      <c r="D973" s="6">
        <v>228736</v>
      </c>
      <c r="E973" s="6">
        <v>142584</v>
      </c>
      <c r="F973" s="14">
        <v>671472</v>
      </c>
      <c r="G973" s="6">
        <v>213767</v>
      </c>
      <c r="H973" s="6">
        <v>40337</v>
      </c>
      <c r="I973" s="6">
        <v>40123</v>
      </c>
      <c r="J973" s="6">
        <v>182352</v>
      </c>
      <c r="K973" s="6">
        <v>497005</v>
      </c>
      <c r="L973" s="6">
        <v>135775</v>
      </c>
      <c r="M973" s="6">
        <v>1651566</v>
      </c>
      <c r="N973" s="42">
        <v>987740</v>
      </c>
      <c r="O973" s="42"/>
      <c r="P973" s="42">
        <v>66759</v>
      </c>
      <c r="Q973" s="42">
        <v>248045</v>
      </c>
      <c r="R973" s="42">
        <v>2248771</v>
      </c>
      <c r="S973" s="5">
        <v>94433</v>
      </c>
      <c r="T973" s="42">
        <v>569979</v>
      </c>
    </row>
    <row r="974" spans="1:20" x14ac:dyDescent="0.3">
      <c r="A974" s="7">
        <v>44739</v>
      </c>
      <c r="B974" s="5"/>
      <c r="C974" s="6">
        <v>138815</v>
      </c>
      <c r="D974" s="6">
        <v>226646</v>
      </c>
      <c r="E974" s="6">
        <v>141577</v>
      </c>
      <c r="F974" s="14">
        <v>675272</v>
      </c>
      <c r="G974" s="6">
        <v>208340</v>
      </c>
      <c r="H974" s="6">
        <v>40586</v>
      </c>
      <c r="I974" s="6">
        <v>39164</v>
      </c>
      <c r="J974" s="6">
        <v>182500</v>
      </c>
      <c r="K974" s="6">
        <v>498031</v>
      </c>
      <c r="L974" s="6">
        <v>137671</v>
      </c>
      <c r="M974" s="6">
        <v>1647517</v>
      </c>
      <c r="N974" s="42">
        <v>989690</v>
      </c>
      <c r="O974" s="42"/>
      <c r="P974" s="42">
        <v>67373</v>
      </c>
      <c r="Q974" s="42">
        <v>242126</v>
      </c>
      <c r="R974" s="42">
        <v>2251220</v>
      </c>
      <c r="S974" s="5">
        <v>90757</v>
      </c>
      <c r="T974" s="42">
        <v>573268</v>
      </c>
    </row>
    <row r="975" spans="1:20" x14ac:dyDescent="0.3">
      <c r="A975" s="7">
        <v>44736</v>
      </c>
      <c r="B975" s="5"/>
      <c r="C975" s="6">
        <v>139460</v>
      </c>
      <c r="D975" s="6">
        <v>226850</v>
      </c>
      <c r="E975" s="6">
        <v>139329</v>
      </c>
      <c r="F975" s="14">
        <v>671206</v>
      </c>
      <c r="G975" s="6">
        <v>208835</v>
      </c>
      <c r="H975" s="6">
        <v>40671</v>
      </c>
      <c r="I975" s="6">
        <v>39044</v>
      </c>
      <c r="J975" s="6">
        <v>186081</v>
      </c>
      <c r="K975" s="6">
        <v>496958</v>
      </c>
      <c r="L975" s="6">
        <v>142090</v>
      </c>
      <c r="M975" s="6">
        <v>1645460</v>
      </c>
      <c r="N975" s="42">
        <v>1003308</v>
      </c>
      <c r="O975" s="42"/>
      <c r="P975" s="42">
        <v>68582</v>
      </c>
      <c r="Q975" s="42">
        <v>239475</v>
      </c>
      <c r="R975" s="42">
        <v>2269205</v>
      </c>
      <c r="S975" s="5">
        <v>90601</v>
      </c>
      <c r="T975" s="42">
        <v>586420</v>
      </c>
    </row>
    <row r="976" spans="1:20" x14ac:dyDescent="0.3">
      <c r="A976" s="7">
        <v>44735</v>
      </c>
      <c r="B976" s="5"/>
      <c r="C976" s="6">
        <v>141734</v>
      </c>
      <c r="D976" s="6">
        <v>227821</v>
      </c>
      <c r="E976" s="6">
        <v>137913</v>
      </c>
      <c r="F976" s="14">
        <v>671315</v>
      </c>
      <c r="G976" s="6">
        <v>212234</v>
      </c>
      <c r="H976" s="6">
        <v>42536</v>
      </c>
      <c r="I976" s="6">
        <v>38142</v>
      </c>
      <c r="J976" s="6">
        <v>187549</v>
      </c>
      <c r="K976" s="6">
        <v>501673</v>
      </c>
      <c r="L976" s="6">
        <v>141555</v>
      </c>
      <c r="M976" s="6">
        <v>1655113</v>
      </c>
      <c r="N976" s="42">
        <v>1009897</v>
      </c>
      <c r="O976" s="42"/>
      <c r="P976" s="42">
        <v>68489</v>
      </c>
      <c r="Q976" s="42">
        <v>246302</v>
      </c>
      <c r="R976" s="42">
        <v>2271707</v>
      </c>
      <c r="S976" s="5">
        <v>90793</v>
      </c>
      <c r="T976" s="42">
        <v>577895</v>
      </c>
    </row>
    <row r="977" spans="1:20" x14ac:dyDescent="0.3">
      <c r="A977" s="7">
        <v>44734</v>
      </c>
      <c r="B977" s="5"/>
      <c r="C977" s="6">
        <v>140836</v>
      </c>
      <c r="D977" s="6">
        <v>225992</v>
      </c>
      <c r="E977" s="6">
        <v>139396</v>
      </c>
      <c r="F977" s="14">
        <v>676149</v>
      </c>
      <c r="G977" s="6">
        <v>216912</v>
      </c>
      <c r="H977" s="6">
        <v>43404</v>
      </c>
      <c r="I977" s="6">
        <v>38450</v>
      </c>
      <c r="J977" s="6">
        <v>186972</v>
      </c>
      <c r="K977" s="6">
        <v>499268</v>
      </c>
      <c r="L977" s="6">
        <v>142602</v>
      </c>
      <c r="M977" s="6">
        <v>1651075</v>
      </c>
      <c r="N977" s="42">
        <v>1021690</v>
      </c>
      <c r="O977" s="42"/>
      <c r="P977" s="42">
        <v>68257</v>
      </c>
      <c r="Q977" s="42">
        <v>245181</v>
      </c>
      <c r="R977" s="42">
        <v>2259801</v>
      </c>
      <c r="S977" s="5">
        <v>93043</v>
      </c>
      <c r="T977" s="42">
        <v>569541</v>
      </c>
    </row>
    <row r="978" spans="1:20" x14ac:dyDescent="0.3">
      <c r="A978" s="7">
        <v>44733</v>
      </c>
      <c r="B978" s="5"/>
      <c r="C978" s="6">
        <v>137017</v>
      </c>
      <c r="D978" s="6">
        <v>228266</v>
      </c>
      <c r="E978" s="6">
        <v>140047</v>
      </c>
      <c r="F978" s="14">
        <v>671718</v>
      </c>
      <c r="G978" s="6">
        <v>218076</v>
      </c>
      <c r="H978" s="6">
        <v>42889</v>
      </c>
      <c r="I978" s="6">
        <v>37669</v>
      </c>
      <c r="J978" s="6">
        <v>187170</v>
      </c>
      <c r="K978" s="6">
        <v>500276</v>
      </c>
      <c r="L978" s="6">
        <v>145356</v>
      </c>
      <c r="M978" s="6">
        <v>1658636</v>
      </c>
      <c r="N978" s="42">
        <v>1030971</v>
      </c>
      <c r="O978" s="42"/>
      <c r="P978" s="42">
        <v>69024</v>
      </c>
      <c r="Q978" s="42">
        <v>236624</v>
      </c>
      <c r="R978" s="42">
        <v>2263962</v>
      </c>
      <c r="S978" s="5">
        <v>89439</v>
      </c>
      <c r="T978" s="42">
        <v>644780</v>
      </c>
    </row>
    <row r="979" spans="1:20" x14ac:dyDescent="0.3">
      <c r="A979" s="7">
        <v>44729</v>
      </c>
      <c r="B979" s="5"/>
      <c r="C979" s="6">
        <v>138912</v>
      </c>
      <c r="D979" s="6">
        <v>230420</v>
      </c>
      <c r="E979" s="6">
        <v>142381</v>
      </c>
      <c r="F979" s="14">
        <v>667580</v>
      </c>
      <c r="G979" s="6">
        <v>213733</v>
      </c>
      <c r="H979" s="6">
        <v>41906</v>
      </c>
      <c r="I979" s="6">
        <v>38031</v>
      </c>
      <c r="J979" s="6">
        <v>188859</v>
      </c>
      <c r="K979" s="6">
        <v>497815</v>
      </c>
      <c r="L979" s="6">
        <v>143588</v>
      </c>
      <c r="M979" s="6">
        <v>1662289</v>
      </c>
      <c r="N979" s="42">
        <v>1034701</v>
      </c>
      <c r="O979" s="42"/>
      <c r="P979" s="42">
        <v>71381</v>
      </c>
      <c r="Q979" s="42">
        <v>291507</v>
      </c>
      <c r="R979" s="42">
        <v>2735839</v>
      </c>
      <c r="S979" s="5">
        <v>86297</v>
      </c>
      <c r="T979" s="42">
        <v>641190</v>
      </c>
    </row>
    <row r="980" spans="1:20" x14ac:dyDescent="0.3">
      <c r="A980" s="7">
        <v>44728</v>
      </c>
      <c r="B980" s="5"/>
      <c r="C980" s="6">
        <v>141312</v>
      </c>
      <c r="D980" s="6">
        <v>236184</v>
      </c>
      <c r="E980" s="6">
        <v>141997</v>
      </c>
      <c r="F980" s="14">
        <v>669099</v>
      </c>
      <c r="G980" s="6">
        <v>220664</v>
      </c>
      <c r="H980" s="6">
        <v>44266</v>
      </c>
      <c r="I980" s="6">
        <v>39444</v>
      </c>
      <c r="J980" s="6">
        <v>186858</v>
      </c>
      <c r="K980" s="6">
        <v>495256</v>
      </c>
      <c r="L980" s="6">
        <v>144039</v>
      </c>
      <c r="M980" s="6">
        <v>1675109</v>
      </c>
      <c r="N980" s="42">
        <v>1037424</v>
      </c>
      <c r="O980" s="42"/>
      <c r="P980" s="42">
        <v>89576</v>
      </c>
      <c r="Q980" s="42">
        <v>298916</v>
      </c>
      <c r="R980" s="42">
        <v>2699681</v>
      </c>
      <c r="S980" s="5">
        <v>82870</v>
      </c>
      <c r="T980" s="42">
        <v>626899</v>
      </c>
    </row>
    <row r="981" spans="1:20" x14ac:dyDescent="0.3">
      <c r="A981" s="7">
        <v>44727</v>
      </c>
      <c r="B981" s="5"/>
      <c r="C981" s="6">
        <v>142591</v>
      </c>
      <c r="D981" s="6">
        <v>238977</v>
      </c>
      <c r="E981" s="6">
        <v>137891</v>
      </c>
      <c r="F981" s="14">
        <v>666857</v>
      </c>
      <c r="G981" s="6">
        <v>229217</v>
      </c>
      <c r="H981" s="6">
        <v>45507</v>
      </c>
      <c r="I981" s="6">
        <v>40984</v>
      </c>
      <c r="J981" s="6">
        <v>185153</v>
      </c>
      <c r="K981" s="6">
        <v>492113</v>
      </c>
      <c r="L981" s="6">
        <v>145925</v>
      </c>
      <c r="M981" s="6">
        <v>1689627</v>
      </c>
      <c r="N981" s="42">
        <v>1045801</v>
      </c>
      <c r="O981" s="42"/>
      <c r="P981" s="42">
        <v>89283</v>
      </c>
      <c r="Q981" s="42">
        <v>296461</v>
      </c>
      <c r="R981" s="42">
        <v>2650268</v>
      </c>
      <c r="S981" s="5">
        <v>91466</v>
      </c>
      <c r="T981" s="42">
        <v>635997</v>
      </c>
    </row>
    <row r="982" spans="1:20" x14ac:dyDescent="0.3">
      <c r="A982" s="7">
        <v>44726</v>
      </c>
      <c r="B982" s="5"/>
      <c r="C982" s="6">
        <v>177926</v>
      </c>
      <c r="D982" s="6">
        <v>285185</v>
      </c>
      <c r="E982" s="6">
        <v>175219</v>
      </c>
      <c r="F982" s="14">
        <v>785327</v>
      </c>
      <c r="G982" s="6">
        <v>281608</v>
      </c>
      <c r="H982" s="6">
        <v>71891</v>
      </c>
      <c r="I982" s="6">
        <v>56902</v>
      </c>
      <c r="J982" s="6">
        <v>187247</v>
      </c>
      <c r="K982" s="6">
        <v>497456</v>
      </c>
      <c r="L982" s="6">
        <v>151978</v>
      </c>
      <c r="M982" s="6">
        <v>1715674</v>
      </c>
      <c r="N982" s="42">
        <v>1053265</v>
      </c>
      <c r="O982" s="42"/>
      <c r="P982" s="42">
        <v>93583</v>
      </c>
      <c r="Q982" s="42">
        <v>302267</v>
      </c>
      <c r="R982" s="42">
        <v>2654399</v>
      </c>
      <c r="S982" s="5">
        <v>30487</v>
      </c>
      <c r="T982" s="42">
        <v>622626</v>
      </c>
    </row>
    <row r="983" spans="1:20" x14ac:dyDescent="0.3">
      <c r="A983" s="7">
        <v>44725</v>
      </c>
      <c r="B983" s="5"/>
      <c r="C983" s="6">
        <v>179257</v>
      </c>
      <c r="D983" s="6">
        <v>277425</v>
      </c>
      <c r="E983" s="6">
        <v>175491</v>
      </c>
      <c r="F983" s="14">
        <v>789538</v>
      </c>
      <c r="G983" s="6">
        <v>280191</v>
      </c>
      <c r="H983" s="6">
        <v>69911</v>
      </c>
      <c r="I983" s="6">
        <v>56592</v>
      </c>
      <c r="J983" s="6">
        <v>189160</v>
      </c>
      <c r="K983" s="6">
        <v>499867</v>
      </c>
      <c r="L983" s="6">
        <v>155283</v>
      </c>
      <c r="M983" s="6">
        <v>1738130</v>
      </c>
      <c r="N983" s="42">
        <v>1068162</v>
      </c>
      <c r="O983" s="42"/>
      <c r="P983" s="42">
        <v>90535</v>
      </c>
      <c r="Q983" s="42">
        <v>304352</v>
      </c>
      <c r="R983" s="42">
        <v>2662707</v>
      </c>
      <c r="S983" s="5">
        <v>54597</v>
      </c>
      <c r="T983" s="42">
        <v>577996</v>
      </c>
    </row>
    <row r="984" spans="1:20" x14ac:dyDescent="0.3">
      <c r="A984" s="7">
        <v>44722</v>
      </c>
      <c r="B984" s="5"/>
      <c r="C984" s="6">
        <v>176581</v>
      </c>
      <c r="D984" s="6">
        <v>273474</v>
      </c>
      <c r="E984" s="6">
        <v>172210</v>
      </c>
      <c r="F984" s="14">
        <v>783393</v>
      </c>
      <c r="G984" s="6">
        <v>278835</v>
      </c>
      <c r="H984" s="6">
        <v>68020</v>
      </c>
      <c r="I984" s="6">
        <v>56201</v>
      </c>
      <c r="J984" s="6">
        <v>190626</v>
      </c>
      <c r="K984" s="6">
        <v>509575</v>
      </c>
      <c r="L984" s="6">
        <v>150044</v>
      </c>
      <c r="M984" s="6">
        <v>1744296</v>
      </c>
      <c r="N984" s="42">
        <v>1069991</v>
      </c>
      <c r="O984" s="42"/>
      <c r="P984" s="42">
        <v>86058</v>
      </c>
      <c r="Q984" s="42">
        <v>288072</v>
      </c>
      <c r="R984" s="42">
        <v>2530769</v>
      </c>
      <c r="S984" s="5">
        <v>87282</v>
      </c>
      <c r="T984" s="42">
        <v>562424</v>
      </c>
    </row>
    <row r="985" spans="1:20" x14ac:dyDescent="0.3">
      <c r="A985" s="7">
        <v>44721</v>
      </c>
      <c r="B985" s="5"/>
      <c r="C985" s="6">
        <v>173973</v>
      </c>
      <c r="D985" s="6">
        <v>269983</v>
      </c>
      <c r="E985" s="6">
        <v>177264</v>
      </c>
      <c r="F985" s="14">
        <v>801699</v>
      </c>
      <c r="G985" s="6">
        <v>292641</v>
      </c>
      <c r="H985" s="6">
        <v>70350</v>
      </c>
      <c r="I985" s="6">
        <v>56474</v>
      </c>
      <c r="J985" s="6">
        <v>193169</v>
      </c>
      <c r="K985" s="6">
        <v>494698</v>
      </c>
      <c r="L985" s="6">
        <v>151743</v>
      </c>
      <c r="M985" s="6">
        <v>1760703</v>
      </c>
      <c r="N985" s="42">
        <v>1080253</v>
      </c>
      <c r="O985" s="42"/>
      <c r="P985" s="42">
        <v>80129</v>
      </c>
      <c r="Q985" s="42">
        <v>277684</v>
      </c>
      <c r="R985" s="42">
        <v>2385143</v>
      </c>
      <c r="S985" s="5">
        <v>97456</v>
      </c>
      <c r="T985" s="42">
        <v>562599</v>
      </c>
    </row>
    <row r="986" spans="1:20" x14ac:dyDescent="0.3">
      <c r="A986" s="7">
        <v>44720</v>
      </c>
      <c r="B986" s="5"/>
      <c r="C986" s="6">
        <v>175199</v>
      </c>
      <c r="D986" s="6">
        <v>286153</v>
      </c>
      <c r="E986" s="6">
        <v>176751</v>
      </c>
      <c r="F986" s="14">
        <v>757954</v>
      </c>
      <c r="G986" s="6">
        <v>278533</v>
      </c>
      <c r="H986" s="6">
        <v>66901</v>
      </c>
      <c r="I986" s="6">
        <v>54194</v>
      </c>
      <c r="J986" s="6">
        <v>195888</v>
      </c>
      <c r="K986" s="6">
        <v>497300</v>
      </c>
      <c r="L986" s="6">
        <v>146992</v>
      </c>
      <c r="M986" s="6">
        <v>1784061</v>
      </c>
      <c r="N986" s="42">
        <v>1102554</v>
      </c>
      <c r="O986" s="42"/>
      <c r="P986" s="42">
        <v>79317</v>
      </c>
      <c r="Q986" s="42">
        <v>269294</v>
      </c>
      <c r="R986" s="42">
        <v>2292503</v>
      </c>
      <c r="S986" s="5">
        <v>91733</v>
      </c>
      <c r="T986" s="42">
        <v>551907</v>
      </c>
    </row>
    <row r="987" spans="1:20" x14ac:dyDescent="0.3">
      <c r="A987" s="7">
        <v>44719</v>
      </c>
      <c r="B987" s="5"/>
      <c r="C987" s="6">
        <v>166422</v>
      </c>
      <c r="D987" s="6">
        <v>258623</v>
      </c>
      <c r="E987" s="6">
        <v>167373</v>
      </c>
      <c r="F987" s="14">
        <v>730667</v>
      </c>
      <c r="G987" s="6">
        <v>266054</v>
      </c>
      <c r="H987" s="6">
        <v>63540</v>
      </c>
      <c r="I987" s="6">
        <v>49794</v>
      </c>
      <c r="J987" s="6">
        <v>194187</v>
      </c>
      <c r="K987" s="6">
        <v>494130</v>
      </c>
      <c r="L987" s="6">
        <v>148294</v>
      </c>
      <c r="M987" s="6">
        <v>1790618</v>
      </c>
      <c r="N987" s="42">
        <v>1127731</v>
      </c>
      <c r="O987" s="42"/>
      <c r="P987" s="42">
        <v>80410</v>
      </c>
      <c r="Q987" s="42">
        <v>268293</v>
      </c>
      <c r="R987" s="42">
        <v>2267420</v>
      </c>
      <c r="S987" s="5">
        <v>88553</v>
      </c>
      <c r="T987" s="42">
        <v>542492</v>
      </c>
    </row>
    <row r="988" spans="1:20" x14ac:dyDescent="0.3">
      <c r="A988" s="7">
        <v>44718</v>
      </c>
      <c r="B988" s="5"/>
      <c r="C988" s="6">
        <v>160193</v>
      </c>
      <c r="D988" s="6">
        <v>258298</v>
      </c>
      <c r="E988" s="6">
        <v>161460</v>
      </c>
      <c r="F988" s="14">
        <v>706694</v>
      </c>
      <c r="G988" s="6">
        <v>261578</v>
      </c>
      <c r="H988" s="6">
        <v>60251</v>
      </c>
      <c r="I988" s="6">
        <v>48633</v>
      </c>
      <c r="J988" s="6">
        <v>192293</v>
      </c>
      <c r="K988" s="6">
        <v>495816</v>
      </c>
      <c r="L988" s="6">
        <v>147401</v>
      </c>
      <c r="M988" s="6">
        <v>1824500</v>
      </c>
      <c r="N988" s="42">
        <v>1136308</v>
      </c>
      <c r="O988" s="42"/>
      <c r="P988" s="42">
        <v>80262</v>
      </c>
      <c r="Q988" s="42">
        <v>267182</v>
      </c>
      <c r="R988" s="42">
        <v>2262894</v>
      </c>
      <c r="S988" s="5">
        <v>88923</v>
      </c>
      <c r="T988" s="42">
        <v>539856</v>
      </c>
    </row>
    <row r="989" spans="1:20" x14ac:dyDescent="0.3">
      <c r="A989" s="7">
        <v>44715</v>
      </c>
      <c r="B989" s="5"/>
      <c r="C989" s="6">
        <v>155639</v>
      </c>
      <c r="D989" s="6">
        <v>254529</v>
      </c>
      <c r="E989" s="6">
        <v>154458</v>
      </c>
      <c r="F989" s="14">
        <v>709405</v>
      </c>
      <c r="G989" s="6">
        <v>249780</v>
      </c>
      <c r="H989" s="6">
        <v>57334</v>
      </c>
      <c r="I989" s="6">
        <v>49301</v>
      </c>
      <c r="J989" s="6">
        <v>188715</v>
      </c>
      <c r="K989" s="6">
        <v>498442</v>
      </c>
      <c r="L989" s="6">
        <v>146096</v>
      </c>
      <c r="M989" s="6">
        <v>1820899</v>
      </c>
      <c r="N989" s="42">
        <v>1122191</v>
      </c>
      <c r="O989" s="42"/>
      <c r="P989" s="42">
        <v>79498</v>
      </c>
      <c r="Q989" s="42">
        <v>269517</v>
      </c>
      <c r="R989" s="42">
        <v>2263028</v>
      </c>
      <c r="S989" s="5">
        <v>90165</v>
      </c>
      <c r="T989" s="42">
        <v>538516</v>
      </c>
    </row>
    <row r="990" spans="1:20" x14ac:dyDescent="0.3">
      <c r="A990" s="7">
        <v>44714</v>
      </c>
      <c r="B990" s="5"/>
      <c r="C990" s="6">
        <v>154748</v>
      </c>
      <c r="D990" s="6">
        <v>258112</v>
      </c>
      <c r="E990" s="6">
        <v>142943</v>
      </c>
      <c r="F990" s="14">
        <v>709339</v>
      </c>
      <c r="G990" s="6">
        <v>239271</v>
      </c>
      <c r="H990" s="6">
        <v>55425</v>
      </c>
      <c r="I990" s="6">
        <v>50076</v>
      </c>
      <c r="J990" s="6">
        <v>190280</v>
      </c>
      <c r="K990" s="6">
        <v>511320</v>
      </c>
      <c r="L990" s="6">
        <v>146737</v>
      </c>
      <c r="M990" s="6">
        <v>1810295</v>
      </c>
      <c r="N990" s="42">
        <v>1121925</v>
      </c>
      <c r="O990" s="42"/>
      <c r="P990" s="42">
        <v>81754</v>
      </c>
      <c r="Q990" s="42">
        <v>267389</v>
      </c>
      <c r="R990" s="42">
        <v>2260111</v>
      </c>
      <c r="S990" s="5">
        <v>89959</v>
      </c>
      <c r="T990" s="42">
        <v>538218</v>
      </c>
    </row>
    <row r="991" spans="1:20" x14ac:dyDescent="0.3">
      <c r="A991" s="7">
        <v>44713</v>
      </c>
      <c r="B991" s="5"/>
      <c r="C991" s="6">
        <v>155534</v>
      </c>
      <c r="D991" s="6">
        <v>255929</v>
      </c>
      <c r="E991" s="6">
        <v>136572</v>
      </c>
      <c r="F991" s="14">
        <v>706660</v>
      </c>
      <c r="G991" s="6">
        <v>237454</v>
      </c>
      <c r="H991" s="6">
        <v>55405</v>
      </c>
      <c r="I991" s="6">
        <v>49012</v>
      </c>
      <c r="J991" s="6">
        <v>188455</v>
      </c>
      <c r="K991" s="6">
        <v>505854</v>
      </c>
      <c r="L991" s="6">
        <v>146640</v>
      </c>
      <c r="M991" s="6">
        <v>1802324</v>
      </c>
      <c r="N991" s="42">
        <v>1122978</v>
      </c>
      <c r="O991" s="42"/>
      <c r="P991" s="42">
        <v>81952</v>
      </c>
      <c r="Q991" s="42">
        <v>265778</v>
      </c>
      <c r="R991" s="42">
        <v>2250328</v>
      </c>
      <c r="S991" s="5">
        <v>89055</v>
      </c>
      <c r="T991" s="42">
        <v>540537</v>
      </c>
    </row>
    <row r="992" spans="1:20" x14ac:dyDescent="0.3">
      <c r="A992" s="7">
        <v>44712</v>
      </c>
      <c r="B992" s="5"/>
      <c r="C992" s="6">
        <v>153661</v>
      </c>
      <c r="D992" s="6">
        <v>252881</v>
      </c>
      <c r="E992" s="6">
        <v>135929</v>
      </c>
      <c r="F992" s="14">
        <v>706317</v>
      </c>
      <c r="G992" s="6">
        <v>239080</v>
      </c>
      <c r="H992" s="6">
        <v>55134</v>
      </c>
      <c r="I992" s="6">
        <v>49579</v>
      </c>
      <c r="J992" s="6">
        <v>189923</v>
      </c>
      <c r="K992" s="6">
        <v>513722</v>
      </c>
      <c r="L992" s="6">
        <v>147301</v>
      </c>
      <c r="M992" s="6">
        <v>1787928</v>
      </c>
      <c r="N992" s="42">
        <v>1115815</v>
      </c>
      <c r="O992" s="42"/>
      <c r="P992" s="42">
        <v>84482</v>
      </c>
      <c r="Q992" s="42">
        <v>263080</v>
      </c>
      <c r="R992" s="42">
        <v>2260467</v>
      </c>
      <c r="S992" s="5">
        <v>89567</v>
      </c>
      <c r="T992" s="42">
        <v>538335</v>
      </c>
    </row>
    <row r="993" spans="1:20" x14ac:dyDescent="0.3">
      <c r="A993" s="7">
        <v>44708</v>
      </c>
      <c r="B993" s="5"/>
      <c r="C993" s="6">
        <v>157142</v>
      </c>
      <c r="D993" s="6">
        <v>251773</v>
      </c>
      <c r="E993" s="6">
        <v>137122</v>
      </c>
      <c r="F993" s="14">
        <v>701924</v>
      </c>
      <c r="G993" s="6">
        <v>236230</v>
      </c>
      <c r="H993" s="6">
        <v>57584</v>
      </c>
      <c r="I993" s="6">
        <v>49016</v>
      </c>
      <c r="J993" s="6">
        <v>186254</v>
      </c>
      <c r="K993" s="6">
        <v>519723</v>
      </c>
      <c r="L993" s="6">
        <v>147369</v>
      </c>
      <c r="M993" s="6">
        <v>1768423</v>
      </c>
      <c r="N993" s="42">
        <v>1106721</v>
      </c>
      <c r="O993" s="42"/>
      <c r="P993" s="42">
        <v>85700</v>
      </c>
      <c r="Q993" s="42">
        <v>265825</v>
      </c>
      <c r="R993" s="42">
        <v>2268820</v>
      </c>
      <c r="S993" s="5">
        <v>91287</v>
      </c>
      <c r="T993" s="42">
        <v>541949</v>
      </c>
    </row>
    <row r="994" spans="1:20" x14ac:dyDescent="0.3">
      <c r="A994" s="7">
        <v>44707</v>
      </c>
      <c r="B994" s="5"/>
      <c r="C994" s="6">
        <v>157606</v>
      </c>
      <c r="D994" s="6">
        <v>254267</v>
      </c>
      <c r="E994" s="6">
        <v>138722</v>
      </c>
      <c r="F994" s="14">
        <v>710745</v>
      </c>
      <c r="G994" s="6">
        <v>237896</v>
      </c>
      <c r="H994" s="6">
        <v>56840</v>
      </c>
      <c r="I994" s="6">
        <v>49396</v>
      </c>
      <c r="J994" s="6">
        <v>188185</v>
      </c>
      <c r="K994" s="6">
        <v>523307</v>
      </c>
      <c r="L994" s="6">
        <v>146803</v>
      </c>
      <c r="M994" s="6">
        <v>1755569</v>
      </c>
      <c r="N994" s="42">
        <v>1102952</v>
      </c>
      <c r="O994" s="42"/>
      <c r="P994" s="42">
        <v>85065</v>
      </c>
      <c r="Q994" s="42">
        <v>258734</v>
      </c>
      <c r="R994" s="42">
        <v>2270307</v>
      </c>
      <c r="S994" s="5">
        <v>92561</v>
      </c>
      <c r="T994" s="42">
        <v>539248</v>
      </c>
    </row>
    <row r="995" spans="1:20" x14ac:dyDescent="0.3">
      <c r="A995" s="7">
        <v>44706</v>
      </c>
      <c r="B995" s="5"/>
      <c r="C995" s="6">
        <v>157101</v>
      </c>
      <c r="D995" s="6">
        <v>253211</v>
      </c>
      <c r="E995" s="6">
        <v>136782</v>
      </c>
      <c r="F995" s="14">
        <v>706465</v>
      </c>
      <c r="G995" s="6">
        <v>239946</v>
      </c>
      <c r="H995" s="6">
        <v>57781</v>
      </c>
      <c r="I995" s="6">
        <v>49000</v>
      </c>
      <c r="J995" s="6">
        <v>186155</v>
      </c>
      <c r="K995" s="6">
        <v>526060</v>
      </c>
      <c r="L995" s="6">
        <v>146281</v>
      </c>
      <c r="M995" s="6">
        <v>1722645</v>
      </c>
      <c r="N995" s="42">
        <v>1099322</v>
      </c>
      <c r="O995" s="42"/>
      <c r="P995" s="42">
        <v>85156</v>
      </c>
      <c r="Q995" s="42">
        <v>252734</v>
      </c>
      <c r="R995" s="42">
        <v>2288653</v>
      </c>
      <c r="S995" s="5">
        <v>86167</v>
      </c>
      <c r="T995" s="42">
        <v>537973</v>
      </c>
    </row>
    <row r="996" spans="1:20" x14ac:dyDescent="0.3">
      <c r="A996" s="7">
        <v>44705</v>
      </c>
      <c r="B996" s="5"/>
      <c r="C996" s="6">
        <v>158615</v>
      </c>
      <c r="D996" s="6">
        <v>253864</v>
      </c>
      <c r="E996" s="6">
        <v>138508</v>
      </c>
      <c r="F996" s="14">
        <v>708938</v>
      </c>
      <c r="G996" s="6">
        <v>237256</v>
      </c>
      <c r="H996" s="6">
        <v>59279</v>
      </c>
      <c r="I996" s="6">
        <v>49918</v>
      </c>
      <c r="J996" s="6">
        <v>186433</v>
      </c>
      <c r="K996" s="6">
        <v>530098</v>
      </c>
      <c r="L996" s="6">
        <v>146456</v>
      </c>
      <c r="M996" s="6">
        <v>1711863</v>
      </c>
      <c r="N996" s="42">
        <v>1107496</v>
      </c>
      <c r="O996" s="42"/>
      <c r="P996" s="42">
        <v>83020</v>
      </c>
      <c r="Q996" s="42">
        <v>255244</v>
      </c>
      <c r="R996" s="42">
        <v>2262171</v>
      </c>
      <c r="S996" s="5">
        <v>89258</v>
      </c>
      <c r="T996" s="42">
        <v>535051</v>
      </c>
    </row>
    <row r="997" spans="1:20" x14ac:dyDescent="0.3">
      <c r="A997" s="7">
        <v>44704</v>
      </c>
      <c r="B997" s="5"/>
      <c r="C997" s="6">
        <v>160068</v>
      </c>
      <c r="D997" s="6">
        <v>254188</v>
      </c>
      <c r="E997" s="6">
        <v>141586</v>
      </c>
      <c r="F997" s="14">
        <v>709103</v>
      </c>
      <c r="G997" s="6">
        <v>237218</v>
      </c>
      <c r="H997" s="6">
        <v>60395</v>
      </c>
      <c r="I997" s="6">
        <v>51438</v>
      </c>
      <c r="J997" s="6">
        <v>185024</v>
      </c>
      <c r="K997" s="6">
        <v>540034</v>
      </c>
      <c r="L997" s="6">
        <v>147046</v>
      </c>
      <c r="M997" s="6">
        <v>1714004</v>
      </c>
      <c r="N997" s="42">
        <v>1106962</v>
      </c>
      <c r="O997" s="42"/>
      <c r="P997" s="42">
        <v>84987</v>
      </c>
      <c r="Q997" s="42">
        <v>251914</v>
      </c>
      <c r="R997" s="42">
        <v>2256813</v>
      </c>
      <c r="S997" s="5">
        <v>89925</v>
      </c>
      <c r="T997" s="42">
        <v>536906</v>
      </c>
    </row>
    <row r="998" spans="1:20" x14ac:dyDescent="0.3">
      <c r="A998" s="7">
        <v>44701</v>
      </c>
      <c r="B998" s="5"/>
      <c r="C998" s="6">
        <v>158759</v>
      </c>
      <c r="D998" s="6">
        <v>253936</v>
      </c>
      <c r="E998" s="6">
        <v>142050</v>
      </c>
      <c r="F998" s="14">
        <v>702458</v>
      </c>
      <c r="G998" s="6">
        <v>234529</v>
      </c>
      <c r="H998" s="6">
        <v>60664</v>
      </c>
      <c r="I998" s="6">
        <v>51597</v>
      </c>
      <c r="J998" s="6">
        <v>186692</v>
      </c>
      <c r="K998" s="6">
        <v>542132</v>
      </c>
      <c r="L998" s="6">
        <v>145768</v>
      </c>
      <c r="M998" s="6">
        <v>1708925</v>
      </c>
      <c r="N998" s="42">
        <v>1107773</v>
      </c>
      <c r="O998" s="42"/>
      <c r="P998" s="42">
        <v>85803</v>
      </c>
      <c r="Q998" s="42">
        <v>256019</v>
      </c>
      <c r="R998" s="42">
        <v>2283929</v>
      </c>
      <c r="S998" s="5">
        <v>90016</v>
      </c>
      <c r="T998" s="42">
        <v>535722</v>
      </c>
    </row>
    <row r="999" spans="1:20" x14ac:dyDescent="0.3">
      <c r="A999" s="7">
        <v>44700</v>
      </c>
      <c r="B999" s="5"/>
      <c r="C999" s="6">
        <v>161340</v>
      </c>
      <c r="D999" s="6">
        <v>252733</v>
      </c>
      <c r="E999" s="6">
        <v>143581</v>
      </c>
      <c r="F999" s="14">
        <v>707223</v>
      </c>
      <c r="G999" s="6">
        <v>238822</v>
      </c>
      <c r="H999" s="6">
        <v>61720</v>
      </c>
      <c r="I999" s="6">
        <v>53214</v>
      </c>
      <c r="J999" s="6">
        <v>187100</v>
      </c>
      <c r="K999" s="6">
        <v>548595</v>
      </c>
      <c r="L999" s="6">
        <v>145699</v>
      </c>
      <c r="M999" s="6">
        <v>1712368</v>
      </c>
      <c r="N999" s="42">
        <v>1112878</v>
      </c>
      <c r="O999" s="42"/>
      <c r="P999" s="42">
        <v>84875</v>
      </c>
      <c r="Q999" s="42">
        <v>258587</v>
      </c>
      <c r="R999" s="42">
        <v>2288408</v>
      </c>
      <c r="S999" s="5">
        <v>92309</v>
      </c>
      <c r="T999" s="42">
        <v>531697</v>
      </c>
    </row>
    <row r="1000" spans="1:20" x14ac:dyDescent="0.3">
      <c r="A1000" s="7">
        <v>44699</v>
      </c>
      <c r="B1000" s="5"/>
      <c r="C1000" s="6">
        <v>162163</v>
      </c>
      <c r="D1000" s="6">
        <v>253311</v>
      </c>
      <c r="E1000" s="6">
        <v>150133</v>
      </c>
      <c r="F1000" s="14">
        <v>707288</v>
      </c>
      <c r="G1000" s="6">
        <v>240775</v>
      </c>
      <c r="H1000" s="6">
        <v>61432</v>
      </c>
      <c r="I1000" s="6">
        <v>53467</v>
      </c>
      <c r="J1000" s="6">
        <v>188950</v>
      </c>
      <c r="K1000" s="6">
        <v>551158</v>
      </c>
      <c r="L1000" s="6">
        <v>145045</v>
      </c>
      <c r="M1000" s="6">
        <v>1721970</v>
      </c>
      <c r="N1000" s="42">
        <v>1118205</v>
      </c>
      <c r="O1000" s="42"/>
      <c r="P1000" s="42">
        <v>84635</v>
      </c>
      <c r="Q1000" s="42">
        <v>254462</v>
      </c>
      <c r="R1000" s="42">
        <v>2275676</v>
      </c>
      <c r="S1000" s="5">
        <v>91386</v>
      </c>
      <c r="T1000" s="42">
        <v>527331</v>
      </c>
    </row>
    <row r="1001" spans="1:20" x14ac:dyDescent="0.3">
      <c r="A1001" s="7">
        <v>44698</v>
      </c>
      <c r="B1001" s="5"/>
      <c r="C1001" s="6">
        <v>163844</v>
      </c>
      <c r="D1001" s="6">
        <v>254710</v>
      </c>
      <c r="E1001" s="6">
        <v>151585</v>
      </c>
      <c r="F1001" s="14">
        <v>707781</v>
      </c>
      <c r="G1001" s="6">
        <v>241546</v>
      </c>
      <c r="H1001" s="6">
        <v>60804</v>
      </c>
      <c r="I1001" s="6">
        <v>53291</v>
      </c>
      <c r="J1001" s="6">
        <v>189483</v>
      </c>
      <c r="K1001" s="6">
        <v>555756</v>
      </c>
      <c r="L1001" s="6">
        <v>144534</v>
      </c>
      <c r="M1001" s="6">
        <v>1730665</v>
      </c>
      <c r="N1001" s="42">
        <v>1118417</v>
      </c>
      <c r="O1001" s="42"/>
      <c r="P1001" s="42">
        <v>80197</v>
      </c>
      <c r="Q1001" s="42">
        <v>243553</v>
      </c>
      <c r="R1001" s="42">
        <v>2252109</v>
      </c>
      <c r="S1001" s="5">
        <v>95552</v>
      </c>
      <c r="T1001" s="42">
        <v>531812</v>
      </c>
    </row>
    <row r="1002" spans="1:20" x14ac:dyDescent="0.3">
      <c r="A1002" s="7">
        <v>44697</v>
      </c>
      <c r="B1002" s="5"/>
      <c r="C1002" s="6">
        <v>162144</v>
      </c>
      <c r="D1002" s="6">
        <v>253242</v>
      </c>
      <c r="E1002" s="6">
        <v>154810</v>
      </c>
      <c r="F1002" s="14">
        <v>703139</v>
      </c>
      <c r="G1002" s="6">
        <v>241293</v>
      </c>
      <c r="H1002" s="6">
        <v>60340</v>
      </c>
      <c r="I1002" s="6">
        <v>53635</v>
      </c>
      <c r="J1002" s="6">
        <v>191589</v>
      </c>
      <c r="K1002" s="6">
        <v>557303</v>
      </c>
      <c r="L1002" s="6">
        <v>142915</v>
      </c>
      <c r="M1002" s="6">
        <v>1765892</v>
      </c>
      <c r="N1002" s="42">
        <v>1114090</v>
      </c>
      <c r="O1002" s="42"/>
      <c r="P1002" s="42">
        <v>80880</v>
      </c>
      <c r="Q1002" s="42">
        <v>247473</v>
      </c>
      <c r="R1002" s="42">
        <v>2269364</v>
      </c>
      <c r="S1002" s="5">
        <v>95708</v>
      </c>
      <c r="T1002" s="42">
        <v>527792</v>
      </c>
    </row>
    <row r="1003" spans="1:20" x14ac:dyDescent="0.3">
      <c r="A1003" s="7">
        <v>44694</v>
      </c>
      <c r="B1003" s="5"/>
      <c r="C1003" s="6">
        <v>158329</v>
      </c>
      <c r="D1003" s="6">
        <v>255102</v>
      </c>
      <c r="E1003" s="6">
        <v>157154</v>
      </c>
      <c r="F1003" s="14">
        <v>698907</v>
      </c>
      <c r="G1003" s="6">
        <v>239269</v>
      </c>
      <c r="H1003" s="6">
        <v>59230</v>
      </c>
      <c r="I1003" s="6">
        <v>52858</v>
      </c>
      <c r="J1003" s="6">
        <v>189589</v>
      </c>
      <c r="K1003" s="6">
        <v>566403</v>
      </c>
      <c r="L1003" s="6">
        <v>142543</v>
      </c>
      <c r="M1003" s="6">
        <v>1752279</v>
      </c>
      <c r="N1003" s="42">
        <v>1109394</v>
      </c>
      <c r="O1003" s="42"/>
      <c r="P1003" s="42">
        <v>81631</v>
      </c>
      <c r="Q1003" s="42">
        <v>247756</v>
      </c>
      <c r="R1003" s="42">
        <v>2279563</v>
      </c>
      <c r="S1003" s="5">
        <v>92970</v>
      </c>
      <c r="T1003" s="42">
        <v>531175</v>
      </c>
    </row>
    <row r="1004" spans="1:20" x14ac:dyDescent="0.3">
      <c r="A1004" s="7">
        <v>44693</v>
      </c>
      <c r="B1004" s="5"/>
      <c r="C1004" s="6">
        <v>156836</v>
      </c>
      <c r="D1004" s="6">
        <v>260232</v>
      </c>
      <c r="E1004" s="6">
        <v>155175</v>
      </c>
      <c r="F1004" s="14">
        <v>701254</v>
      </c>
      <c r="G1004" s="6">
        <v>243459</v>
      </c>
      <c r="H1004" s="6">
        <v>56826</v>
      </c>
      <c r="I1004" s="6">
        <v>51937</v>
      </c>
      <c r="J1004" s="6">
        <v>188368</v>
      </c>
      <c r="K1004" s="6">
        <v>573045</v>
      </c>
      <c r="L1004" s="6">
        <v>142689</v>
      </c>
      <c r="M1004" s="6">
        <v>1737758</v>
      </c>
      <c r="N1004" s="42">
        <v>1107872</v>
      </c>
      <c r="O1004" s="42"/>
      <c r="P1004" s="42">
        <v>84766</v>
      </c>
      <c r="Q1004" s="42">
        <v>254906</v>
      </c>
      <c r="R1004" s="42">
        <v>2286881</v>
      </c>
      <c r="S1004" s="5">
        <v>91495</v>
      </c>
      <c r="T1004" s="42">
        <v>533521</v>
      </c>
    </row>
    <row r="1005" spans="1:20" x14ac:dyDescent="0.3">
      <c r="A1005" s="7">
        <v>44692</v>
      </c>
      <c r="B1005" s="5"/>
      <c r="C1005" s="6">
        <v>153264</v>
      </c>
      <c r="D1005" s="6">
        <v>264347</v>
      </c>
      <c r="E1005" s="6">
        <v>154236</v>
      </c>
      <c r="F1005" s="14">
        <v>705456</v>
      </c>
      <c r="G1005" s="6">
        <v>246608</v>
      </c>
      <c r="H1005" s="6">
        <v>56581</v>
      </c>
      <c r="I1005" s="6">
        <v>51205</v>
      </c>
      <c r="J1005" s="6">
        <v>184359</v>
      </c>
      <c r="K1005" s="6">
        <v>574663</v>
      </c>
      <c r="L1005" s="6">
        <v>141746</v>
      </c>
      <c r="M1005" s="6">
        <v>1736669</v>
      </c>
      <c r="N1005" s="42">
        <v>1105197</v>
      </c>
      <c r="O1005" s="42"/>
      <c r="P1005" s="42">
        <v>84310</v>
      </c>
      <c r="Q1005" s="42">
        <v>260972</v>
      </c>
      <c r="R1005" s="42">
        <v>2267710</v>
      </c>
      <c r="S1005" s="5">
        <v>93426</v>
      </c>
      <c r="T1005" s="42">
        <v>524949</v>
      </c>
    </row>
    <row r="1006" spans="1:20" x14ac:dyDescent="0.3">
      <c r="A1006" s="7">
        <v>44691</v>
      </c>
      <c r="B1006" s="5"/>
      <c r="C1006" s="6">
        <v>153209</v>
      </c>
      <c r="D1006" s="6">
        <v>264594</v>
      </c>
      <c r="E1006" s="6">
        <v>151009</v>
      </c>
      <c r="F1006" s="14">
        <v>705046</v>
      </c>
      <c r="G1006" s="6">
        <v>247278</v>
      </c>
      <c r="H1006" s="6">
        <v>56235</v>
      </c>
      <c r="I1006" s="6">
        <v>51282</v>
      </c>
      <c r="J1006" s="6">
        <v>184502</v>
      </c>
      <c r="K1006" s="6">
        <v>571447</v>
      </c>
      <c r="L1006" s="6">
        <v>142752</v>
      </c>
      <c r="M1006" s="6">
        <v>1736594</v>
      </c>
      <c r="N1006" s="42">
        <v>1108451</v>
      </c>
      <c r="O1006" s="42"/>
      <c r="P1006" s="42">
        <v>82940</v>
      </c>
      <c r="Q1006" s="42">
        <v>249921</v>
      </c>
      <c r="R1006" s="42">
        <v>2261956</v>
      </c>
      <c r="S1006" s="5">
        <v>94893</v>
      </c>
      <c r="T1006" s="42">
        <v>517717</v>
      </c>
    </row>
    <row r="1007" spans="1:20" x14ac:dyDescent="0.3">
      <c r="A1007" s="7">
        <v>44690</v>
      </c>
      <c r="B1007" s="5"/>
      <c r="C1007" s="6">
        <v>152645</v>
      </c>
      <c r="D1007" s="6">
        <v>264004</v>
      </c>
      <c r="E1007" s="6">
        <v>150345</v>
      </c>
      <c r="F1007" s="14">
        <v>703729</v>
      </c>
      <c r="G1007" s="6">
        <v>249988</v>
      </c>
      <c r="H1007" s="6">
        <v>53497</v>
      </c>
      <c r="I1007" s="6">
        <v>51759</v>
      </c>
      <c r="J1007" s="6">
        <v>182242</v>
      </c>
      <c r="K1007" s="6">
        <v>553131</v>
      </c>
      <c r="L1007" s="6">
        <v>141747</v>
      </c>
      <c r="M1007" s="6">
        <v>1734325</v>
      </c>
      <c r="N1007" s="42">
        <v>1117793</v>
      </c>
      <c r="O1007" s="42"/>
      <c r="P1007" s="42">
        <v>82910</v>
      </c>
      <c r="Q1007" s="42">
        <v>249444</v>
      </c>
      <c r="R1007" s="42">
        <v>2253045</v>
      </c>
      <c r="S1007" s="5">
        <v>98783</v>
      </c>
      <c r="T1007" s="42">
        <v>512631</v>
      </c>
    </row>
    <row r="1008" spans="1:20" x14ac:dyDescent="0.3">
      <c r="A1008" s="7">
        <v>44687</v>
      </c>
      <c r="B1008" s="5"/>
      <c r="C1008" s="6">
        <v>147569</v>
      </c>
      <c r="D1008" s="6">
        <v>264182</v>
      </c>
      <c r="E1008" s="6">
        <v>144943</v>
      </c>
      <c r="F1008" s="14">
        <v>699511</v>
      </c>
      <c r="G1008" s="6">
        <v>248096</v>
      </c>
      <c r="H1008" s="6">
        <v>52147</v>
      </c>
      <c r="I1008" s="6">
        <v>51195</v>
      </c>
      <c r="J1008" s="6">
        <v>181376</v>
      </c>
      <c r="K1008" s="6">
        <v>554662</v>
      </c>
      <c r="L1008" s="6">
        <v>141187</v>
      </c>
      <c r="M1008" s="6">
        <v>1742290</v>
      </c>
      <c r="N1008" s="42">
        <v>1121684</v>
      </c>
      <c r="O1008" s="42"/>
      <c r="P1008" s="42">
        <v>81066</v>
      </c>
      <c r="Q1008" s="42">
        <v>239843</v>
      </c>
      <c r="R1008" s="42">
        <v>2200529</v>
      </c>
      <c r="S1008" s="5">
        <v>99331</v>
      </c>
      <c r="T1008" s="42">
        <v>503082</v>
      </c>
    </row>
    <row r="1009" spans="1:20" x14ac:dyDescent="0.3">
      <c r="A1009" s="7">
        <v>44686</v>
      </c>
      <c r="B1009" s="5"/>
      <c r="C1009" s="6">
        <v>147226</v>
      </c>
      <c r="D1009" s="6">
        <v>276751</v>
      </c>
      <c r="E1009" s="6">
        <v>147003</v>
      </c>
      <c r="F1009" s="14">
        <v>701678</v>
      </c>
      <c r="G1009" s="6">
        <v>254097</v>
      </c>
      <c r="H1009" s="6">
        <v>52030</v>
      </c>
      <c r="I1009" s="6">
        <v>50311</v>
      </c>
      <c r="J1009" s="6">
        <v>182244</v>
      </c>
      <c r="K1009" s="6">
        <v>573773</v>
      </c>
      <c r="L1009" s="6">
        <v>141590</v>
      </c>
      <c r="M1009" s="6">
        <v>1798557</v>
      </c>
      <c r="N1009" s="42">
        <v>1138809</v>
      </c>
      <c r="O1009" s="42"/>
      <c r="P1009" s="42">
        <v>80873</v>
      </c>
      <c r="Q1009" s="42">
        <v>238444</v>
      </c>
      <c r="R1009" s="42">
        <v>2187334</v>
      </c>
      <c r="S1009" s="5">
        <v>97836</v>
      </c>
      <c r="T1009" s="42">
        <v>496495</v>
      </c>
    </row>
    <row r="1010" spans="1:20" x14ac:dyDescent="0.3">
      <c r="A1010" s="7">
        <v>44685</v>
      </c>
      <c r="B1010" s="5"/>
      <c r="C1010" s="6">
        <v>150263</v>
      </c>
      <c r="D1010" s="6">
        <v>271842</v>
      </c>
      <c r="E1010" s="6">
        <v>146953</v>
      </c>
      <c r="F1010" s="14">
        <v>699891</v>
      </c>
      <c r="G1010" s="6">
        <v>252971</v>
      </c>
      <c r="H1010" s="6">
        <v>52677</v>
      </c>
      <c r="I1010" s="6">
        <v>50066</v>
      </c>
      <c r="J1010" s="6">
        <v>183849</v>
      </c>
      <c r="K1010" s="6">
        <v>568986</v>
      </c>
      <c r="L1010" s="6">
        <v>139492</v>
      </c>
      <c r="M1010" s="6">
        <v>1747914</v>
      </c>
      <c r="N1010" s="42">
        <v>1144480</v>
      </c>
      <c r="O1010" s="42"/>
      <c r="P1010" s="42">
        <v>79344</v>
      </c>
      <c r="Q1010" s="42">
        <v>229602</v>
      </c>
      <c r="R1010" s="42">
        <v>2178104</v>
      </c>
      <c r="S1010" s="5">
        <v>96544</v>
      </c>
      <c r="T1010" s="42">
        <v>494389</v>
      </c>
    </row>
    <row r="1011" spans="1:20" x14ac:dyDescent="0.3">
      <c r="A1011" s="7">
        <v>44684</v>
      </c>
      <c r="B1011" s="5"/>
      <c r="C1011" s="6">
        <v>152257</v>
      </c>
      <c r="D1011" s="6">
        <v>268496</v>
      </c>
      <c r="E1011" s="6">
        <v>152779</v>
      </c>
      <c r="F1011" s="14">
        <v>694926</v>
      </c>
      <c r="G1011" s="6">
        <v>254813</v>
      </c>
      <c r="H1011" s="6">
        <v>50844</v>
      </c>
      <c r="I1011" s="6">
        <v>49385</v>
      </c>
      <c r="J1011" s="6">
        <v>185255</v>
      </c>
      <c r="K1011" s="6">
        <v>560441</v>
      </c>
      <c r="L1011" s="6">
        <v>137692</v>
      </c>
      <c r="M1011" s="6">
        <v>1751564</v>
      </c>
      <c r="N1011" s="42">
        <v>1138319</v>
      </c>
      <c r="O1011" s="42"/>
      <c r="P1011" s="42">
        <v>79448</v>
      </c>
      <c r="Q1011" s="42">
        <v>226722</v>
      </c>
      <c r="R1011" s="42">
        <v>2208674</v>
      </c>
      <c r="S1011" s="5">
        <v>97316</v>
      </c>
      <c r="T1011" s="42">
        <v>497249</v>
      </c>
    </row>
    <row r="1012" spans="1:20" x14ac:dyDescent="0.3">
      <c r="A1012" s="7">
        <v>44683</v>
      </c>
      <c r="B1012" s="5"/>
      <c r="C1012" s="6">
        <v>144143</v>
      </c>
      <c r="D1012" s="6">
        <v>271800</v>
      </c>
      <c r="E1012" s="6">
        <v>155809</v>
      </c>
      <c r="F1012" s="14">
        <v>695854</v>
      </c>
      <c r="G1012" s="6">
        <v>252535</v>
      </c>
      <c r="H1012" s="6">
        <v>49374</v>
      </c>
      <c r="I1012" s="6">
        <v>48538</v>
      </c>
      <c r="J1012" s="6">
        <v>185788</v>
      </c>
      <c r="K1012" s="6">
        <v>560166</v>
      </c>
      <c r="L1012" s="6">
        <v>137176</v>
      </c>
      <c r="M1012" s="6">
        <v>1758210</v>
      </c>
      <c r="N1012" s="42">
        <v>1137182</v>
      </c>
      <c r="O1012" s="42"/>
      <c r="P1012" s="42">
        <v>81338</v>
      </c>
      <c r="Q1012" s="42">
        <v>231440</v>
      </c>
      <c r="R1012" s="42">
        <v>2204832</v>
      </c>
      <c r="S1012" s="5">
        <v>96199</v>
      </c>
      <c r="T1012" s="42">
        <v>504923</v>
      </c>
    </row>
    <row r="1013" spans="1:20" x14ac:dyDescent="0.3">
      <c r="A1013" s="7">
        <v>44680</v>
      </c>
      <c r="B1013" s="5"/>
      <c r="C1013" s="6">
        <v>141465</v>
      </c>
      <c r="D1013" s="6">
        <v>271193</v>
      </c>
      <c r="E1013" s="6">
        <v>154361</v>
      </c>
      <c r="F1013" s="14">
        <v>695379</v>
      </c>
      <c r="G1013" s="6">
        <v>253383</v>
      </c>
      <c r="H1013" s="6">
        <v>49066</v>
      </c>
      <c r="I1013" s="6">
        <v>49035</v>
      </c>
      <c r="J1013" s="6">
        <v>185003</v>
      </c>
      <c r="K1013" s="6">
        <v>561272</v>
      </c>
      <c r="L1013" s="6">
        <v>135949</v>
      </c>
      <c r="M1013" s="6">
        <v>1752306</v>
      </c>
      <c r="N1013" s="42">
        <v>1138495</v>
      </c>
      <c r="O1013" s="42"/>
      <c r="P1013" s="42">
        <v>81549</v>
      </c>
      <c r="Q1013" s="42">
        <v>231796</v>
      </c>
      <c r="R1013" s="42">
        <v>2237868</v>
      </c>
      <c r="S1013" s="5">
        <v>90570</v>
      </c>
      <c r="T1013" s="42">
        <v>493876</v>
      </c>
    </row>
    <row r="1014" spans="1:20" x14ac:dyDescent="0.3">
      <c r="A1014" s="7">
        <v>44679</v>
      </c>
      <c r="B1014" s="5"/>
      <c r="C1014" s="6">
        <v>145088</v>
      </c>
      <c r="D1014" s="6">
        <v>269723</v>
      </c>
      <c r="E1014" s="6">
        <v>159790</v>
      </c>
      <c r="F1014" s="14">
        <v>693845</v>
      </c>
      <c r="G1014" s="6">
        <v>252395</v>
      </c>
      <c r="H1014" s="6">
        <v>49058</v>
      </c>
      <c r="I1014" s="6">
        <v>49558</v>
      </c>
      <c r="J1014" s="6">
        <v>186481</v>
      </c>
      <c r="K1014" s="6">
        <v>558777</v>
      </c>
      <c r="L1014" s="6">
        <v>136891</v>
      </c>
      <c r="M1014" s="6">
        <v>1751739</v>
      </c>
      <c r="N1014" s="42">
        <v>1125630</v>
      </c>
      <c r="O1014" s="42"/>
      <c r="P1014" s="42">
        <v>80506</v>
      </c>
      <c r="Q1014" s="42">
        <v>232322</v>
      </c>
      <c r="R1014" s="42">
        <v>2156673</v>
      </c>
      <c r="S1014" s="5">
        <v>91121</v>
      </c>
      <c r="T1014" s="42">
        <v>485993</v>
      </c>
    </row>
    <row r="1015" spans="1:20" x14ac:dyDescent="0.3">
      <c r="A1015" s="7">
        <v>44678</v>
      </c>
      <c r="B1015" s="5"/>
      <c r="C1015" s="6">
        <v>145174</v>
      </c>
      <c r="D1015" s="6">
        <v>271087</v>
      </c>
      <c r="E1015" s="6">
        <v>157382</v>
      </c>
      <c r="F1015" s="14">
        <v>691392</v>
      </c>
      <c r="G1015" s="6">
        <v>244923</v>
      </c>
      <c r="H1015" s="6">
        <v>45784</v>
      </c>
      <c r="I1015" s="6">
        <v>49078</v>
      </c>
      <c r="J1015" s="6">
        <v>188246</v>
      </c>
      <c r="K1015" s="6">
        <v>555494</v>
      </c>
      <c r="L1015" s="6">
        <v>139240</v>
      </c>
      <c r="M1015" s="6">
        <v>1742759</v>
      </c>
      <c r="N1015" s="42">
        <v>1131071</v>
      </c>
      <c r="O1015" s="42"/>
      <c r="P1015" s="42">
        <v>80334</v>
      </c>
      <c r="Q1015" s="42">
        <v>234124</v>
      </c>
      <c r="R1015" s="42">
        <v>2185077</v>
      </c>
      <c r="S1015" s="5">
        <v>91536</v>
      </c>
      <c r="T1015" s="42">
        <v>485140</v>
      </c>
    </row>
    <row r="1016" spans="1:20" x14ac:dyDescent="0.3">
      <c r="A1016" s="7">
        <v>44677</v>
      </c>
      <c r="B1016" s="5"/>
      <c r="C1016" s="6">
        <v>147090</v>
      </c>
      <c r="D1016" s="6">
        <v>272792</v>
      </c>
      <c r="E1016" s="6">
        <v>155362</v>
      </c>
      <c r="F1016" s="14">
        <v>688449</v>
      </c>
      <c r="G1016" s="6">
        <v>237995</v>
      </c>
      <c r="H1016" s="6">
        <v>46510</v>
      </c>
      <c r="I1016" s="6">
        <v>47297</v>
      </c>
      <c r="J1016" s="6">
        <v>193763</v>
      </c>
      <c r="K1016" s="6">
        <v>557785</v>
      </c>
      <c r="L1016" s="6">
        <v>145538</v>
      </c>
      <c r="M1016" s="6">
        <v>1733586</v>
      </c>
      <c r="N1016" s="42">
        <v>1121112</v>
      </c>
      <c r="O1016" s="42"/>
      <c r="P1016" s="42">
        <v>84463</v>
      </c>
      <c r="Q1016" s="42">
        <v>236977</v>
      </c>
      <c r="R1016" s="42">
        <v>2191696</v>
      </c>
      <c r="S1016" s="5">
        <v>92668</v>
      </c>
      <c r="T1016" s="42">
        <v>472248</v>
      </c>
    </row>
    <row r="1017" spans="1:20" x14ac:dyDescent="0.3">
      <c r="A1017" s="7">
        <v>44676</v>
      </c>
      <c r="B1017" s="5"/>
      <c r="C1017" s="6">
        <v>150040</v>
      </c>
      <c r="D1017" s="6">
        <v>269916</v>
      </c>
      <c r="E1017" s="6">
        <v>153943</v>
      </c>
      <c r="F1017" s="14">
        <v>688712</v>
      </c>
      <c r="G1017" s="6">
        <v>242716</v>
      </c>
      <c r="H1017" s="6">
        <v>44578</v>
      </c>
      <c r="I1017" s="6">
        <v>46528</v>
      </c>
      <c r="J1017" s="6">
        <v>195509</v>
      </c>
      <c r="K1017" s="6">
        <v>556876</v>
      </c>
      <c r="L1017" s="6">
        <v>150312</v>
      </c>
      <c r="M1017" s="6">
        <v>1728613</v>
      </c>
      <c r="N1017" s="42">
        <v>1137169</v>
      </c>
      <c r="O1017" s="42"/>
      <c r="P1017" s="42">
        <v>77575</v>
      </c>
      <c r="Q1017" s="42">
        <v>239489</v>
      </c>
      <c r="R1017" s="42">
        <v>2182786</v>
      </c>
      <c r="S1017" s="5">
        <v>94029</v>
      </c>
      <c r="T1017" s="42">
        <v>468964</v>
      </c>
    </row>
    <row r="1018" spans="1:20" x14ac:dyDescent="0.3">
      <c r="A1018" s="7">
        <v>44673</v>
      </c>
      <c r="B1018" s="5"/>
      <c r="C1018" s="6">
        <v>147656</v>
      </c>
      <c r="D1018" s="6">
        <v>270587</v>
      </c>
      <c r="E1018" s="6">
        <v>153438</v>
      </c>
      <c r="F1018" s="14">
        <v>687762</v>
      </c>
      <c r="G1018" s="6">
        <v>245832</v>
      </c>
      <c r="H1018" s="6">
        <v>43103</v>
      </c>
      <c r="I1018" s="6">
        <v>47228</v>
      </c>
      <c r="J1018" s="6">
        <v>203386</v>
      </c>
      <c r="K1018" s="6">
        <v>568150</v>
      </c>
      <c r="L1018" s="6">
        <v>155474</v>
      </c>
      <c r="M1018" s="6">
        <v>1729425</v>
      </c>
      <c r="N1018" s="42">
        <v>1135723</v>
      </c>
      <c r="O1018" s="42"/>
      <c r="P1018" s="42">
        <v>79425</v>
      </c>
      <c r="Q1018" s="42">
        <v>237703</v>
      </c>
      <c r="R1018" s="42">
        <v>2189047</v>
      </c>
      <c r="S1018" s="5">
        <v>93838</v>
      </c>
      <c r="T1018" s="42">
        <v>461024</v>
      </c>
    </row>
    <row r="1019" spans="1:20" x14ac:dyDescent="0.3">
      <c r="A1019" s="7">
        <v>44672</v>
      </c>
      <c r="B1019" s="5"/>
      <c r="C1019" s="6">
        <v>145292</v>
      </c>
      <c r="D1019" s="6">
        <v>248566</v>
      </c>
      <c r="E1019" s="6">
        <v>159102</v>
      </c>
      <c r="F1019" s="14">
        <v>685918</v>
      </c>
      <c r="G1019" s="6">
        <v>244540</v>
      </c>
      <c r="H1019" s="6">
        <v>41726</v>
      </c>
      <c r="I1019" s="6">
        <v>46670</v>
      </c>
      <c r="J1019" s="6">
        <v>203046</v>
      </c>
      <c r="K1019" s="6">
        <v>569941</v>
      </c>
      <c r="L1019" s="6">
        <v>163719</v>
      </c>
      <c r="M1019" s="6">
        <v>1728312</v>
      </c>
      <c r="N1019" s="42">
        <v>1134559</v>
      </c>
      <c r="O1019" s="42"/>
      <c r="P1019" s="42">
        <v>78210</v>
      </c>
      <c r="Q1019" s="42">
        <v>232431</v>
      </c>
      <c r="R1019" s="42">
        <v>2155990</v>
      </c>
      <c r="S1019" s="5">
        <v>91396</v>
      </c>
      <c r="T1019" s="42">
        <v>457042</v>
      </c>
    </row>
    <row r="1020" spans="1:20" x14ac:dyDescent="0.3">
      <c r="A1020" s="7">
        <v>44671</v>
      </c>
      <c r="B1020" s="5"/>
      <c r="C1020" s="6">
        <v>145062</v>
      </c>
      <c r="D1020" s="6">
        <v>248419</v>
      </c>
      <c r="E1020" s="6">
        <v>159437</v>
      </c>
      <c r="F1020" s="14">
        <v>682237</v>
      </c>
      <c r="G1020" s="6">
        <v>245570</v>
      </c>
      <c r="H1020" s="6">
        <v>41742</v>
      </c>
      <c r="I1020" s="6">
        <v>45602</v>
      </c>
      <c r="J1020" s="6">
        <v>205211</v>
      </c>
      <c r="K1020" s="6">
        <v>572326</v>
      </c>
      <c r="L1020" s="6">
        <v>167366</v>
      </c>
      <c r="M1020" s="6">
        <v>1733822</v>
      </c>
      <c r="N1020" s="42">
        <v>1137768</v>
      </c>
      <c r="O1020" s="42"/>
      <c r="P1020" s="42">
        <v>80707</v>
      </c>
      <c r="Q1020" s="42">
        <v>230572</v>
      </c>
      <c r="R1020" s="42">
        <v>2139719</v>
      </c>
      <c r="S1020" s="5">
        <v>89565</v>
      </c>
      <c r="T1020" s="42">
        <v>462879</v>
      </c>
    </row>
    <row r="1021" spans="1:20" x14ac:dyDescent="0.3">
      <c r="A1021" s="7">
        <v>44670</v>
      </c>
      <c r="B1021" s="5"/>
      <c r="C1021" s="6">
        <v>147540</v>
      </c>
      <c r="D1021" s="6">
        <v>250408</v>
      </c>
      <c r="E1021" s="6">
        <v>153302</v>
      </c>
      <c r="F1021" s="14">
        <v>678065</v>
      </c>
      <c r="G1021" s="6">
        <v>252568</v>
      </c>
      <c r="H1021" s="6">
        <v>41098</v>
      </c>
      <c r="I1021" s="6">
        <v>44269</v>
      </c>
      <c r="J1021" s="6">
        <v>203896</v>
      </c>
      <c r="K1021" s="6">
        <v>575202</v>
      </c>
      <c r="L1021" s="6">
        <v>170577</v>
      </c>
      <c r="M1021" s="6">
        <v>1740300</v>
      </c>
      <c r="N1021" s="42">
        <v>1144047</v>
      </c>
      <c r="O1021" s="42"/>
      <c r="P1021" s="42">
        <v>77622</v>
      </c>
      <c r="Q1021" s="42">
        <v>237109</v>
      </c>
      <c r="R1021" s="42">
        <v>2158797</v>
      </c>
      <c r="S1021" s="5">
        <v>86694</v>
      </c>
      <c r="T1021" s="42">
        <v>462041</v>
      </c>
    </row>
    <row r="1022" spans="1:20" x14ac:dyDescent="0.3">
      <c r="A1022" s="7">
        <v>44669</v>
      </c>
      <c r="B1022" s="5"/>
      <c r="C1022" s="6">
        <v>148864</v>
      </c>
      <c r="D1022" s="6">
        <v>246714</v>
      </c>
      <c r="E1022" s="6">
        <v>153422</v>
      </c>
      <c r="F1022" s="14">
        <v>676608</v>
      </c>
      <c r="G1022" s="6">
        <v>247735</v>
      </c>
      <c r="H1022" s="6">
        <v>41790</v>
      </c>
      <c r="I1022" s="6">
        <v>43937</v>
      </c>
      <c r="J1022" s="6">
        <v>207146</v>
      </c>
      <c r="K1022" s="6">
        <v>579612</v>
      </c>
      <c r="L1022" s="6">
        <v>169749</v>
      </c>
      <c r="M1022" s="6">
        <v>1756157</v>
      </c>
      <c r="N1022" s="42">
        <v>1167049</v>
      </c>
      <c r="O1022" s="42"/>
      <c r="P1022" s="42">
        <v>73404</v>
      </c>
      <c r="Q1022" s="42">
        <v>238618</v>
      </c>
      <c r="R1022" s="42">
        <v>2175367</v>
      </c>
      <c r="S1022" s="5">
        <v>83185</v>
      </c>
      <c r="T1022" s="42">
        <v>461602</v>
      </c>
    </row>
    <row r="1023" spans="1:20" x14ac:dyDescent="0.3">
      <c r="A1023" s="7">
        <v>44665</v>
      </c>
      <c r="B1023" s="5"/>
      <c r="C1023" s="6">
        <v>151336</v>
      </c>
      <c r="D1023" s="6">
        <v>246584</v>
      </c>
      <c r="E1023" s="6">
        <v>151409</v>
      </c>
      <c r="F1023" s="14">
        <v>677911</v>
      </c>
      <c r="G1023" s="6">
        <v>243872</v>
      </c>
      <c r="H1023" s="6">
        <v>40486</v>
      </c>
      <c r="I1023" s="6">
        <v>42892</v>
      </c>
      <c r="J1023" s="6">
        <v>203468</v>
      </c>
      <c r="K1023" s="6">
        <v>575296</v>
      </c>
      <c r="L1023" s="6">
        <v>166380</v>
      </c>
      <c r="M1023" s="6">
        <v>1762779</v>
      </c>
      <c r="N1023" s="42">
        <v>1172459</v>
      </c>
      <c r="O1023" s="42"/>
      <c r="P1023" s="42">
        <v>71894</v>
      </c>
      <c r="Q1023" s="42">
        <v>234509</v>
      </c>
      <c r="R1023" s="42">
        <v>2178195</v>
      </c>
      <c r="S1023" s="5">
        <v>81949</v>
      </c>
      <c r="T1023" s="42">
        <v>464932</v>
      </c>
    </row>
    <row r="1024" spans="1:20" x14ac:dyDescent="0.3">
      <c r="A1024" s="7">
        <v>44664</v>
      </c>
      <c r="B1024" s="5"/>
      <c r="C1024" s="6">
        <v>149835</v>
      </c>
      <c r="D1024" s="6">
        <v>251689</v>
      </c>
      <c r="E1024" s="6">
        <v>153686</v>
      </c>
      <c r="F1024" s="14">
        <v>677253</v>
      </c>
      <c r="G1024" s="6">
        <v>245057</v>
      </c>
      <c r="H1024" s="6">
        <v>40603</v>
      </c>
      <c r="I1024" s="6">
        <v>40610</v>
      </c>
      <c r="J1024" s="6">
        <v>203684</v>
      </c>
      <c r="K1024" s="6">
        <v>579030</v>
      </c>
      <c r="L1024" s="6">
        <v>165229</v>
      </c>
      <c r="M1024" s="6">
        <v>1775320</v>
      </c>
      <c r="N1024" s="42">
        <v>1175186</v>
      </c>
      <c r="O1024" s="42"/>
      <c r="P1024" s="42">
        <v>72944</v>
      </c>
      <c r="Q1024" s="42">
        <v>230740</v>
      </c>
      <c r="R1024" s="42">
        <v>2173915</v>
      </c>
      <c r="S1024" s="5">
        <v>81721</v>
      </c>
      <c r="T1024" s="42">
        <v>469947</v>
      </c>
    </row>
    <row r="1025" spans="1:20" x14ac:dyDescent="0.3">
      <c r="A1025" s="7">
        <v>44663</v>
      </c>
      <c r="B1025" s="5"/>
      <c r="C1025" s="6">
        <v>150939</v>
      </c>
      <c r="D1025" s="6">
        <v>246152</v>
      </c>
      <c r="E1025" s="6">
        <v>155390</v>
      </c>
      <c r="F1025" s="14">
        <v>678607</v>
      </c>
      <c r="G1025" s="6">
        <v>245403</v>
      </c>
      <c r="H1025" s="6">
        <v>37585</v>
      </c>
      <c r="I1025" s="6">
        <v>41231</v>
      </c>
      <c r="J1025" s="6">
        <v>204825</v>
      </c>
      <c r="K1025" s="6">
        <v>577639</v>
      </c>
      <c r="L1025" s="6">
        <v>158813</v>
      </c>
      <c r="M1025" s="6">
        <v>1783725</v>
      </c>
      <c r="N1025" s="42">
        <v>1170828</v>
      </c>
      <c r="O1025" s="42"/>
      <c r="P1025" s="42">
        <v>71185</v>
      </c>
      <c r="Q1025" s="42">
        <v>228302</v>
      </c>
      <c r="R1025" s="42">
        <v>2156967</v>
      </c>
      <c r="S1025" s="5">
        <v>81481</v>
      </c>
      <c r="T1025" s="42">
        <v>483829</v>
      </c>
    </row>
    <row r="1026" spans="1:20" x14ac:dyDescent="0.3">
      <c r="A1026" s="7">
        <v>44662</v>
      </c>
      <c r="B1026" s="5"/>
      <c r="C1026" s="6">
        <v>150353</v>
      </c>
      <c r="D1026" s="6">
        <v>245333</v>
      </c>
      <c r="E1026" s="6">
        <v>156422</v>
      </c>
      <c r="F1026" s="14">
        <v>675928</v>
      </c>
      <c r="G1026" s="6">
        <v>248237</v>
      </c>
      <c r="H1026" s="6">
        <v>37187</v>
      </c>
      <c r="I1026" s="6">
        <v>41600</v>
      </c>
      <c r="J1026" s="6">
        <v>205927</v>
      </c>
      <c r="K1026" s="6">
        <v>570795</v>
      </c>
      <c r="L1026" s="6">
        <v>154945</v>
      </c>
      <c r="M1026" s="6">
        <v>1788190</v>
      </c>
      <c r="N1026" s="42">
        <v>1185508</v>
      </c>
      <c r="O1026" s="42"/>
      <c r="P1026" s="42">
        <v>70721</v>
      </c>
      <c r="Q1026" s="42">
        <v>234157</v>
      </c>
      <c r="R1026" s="42">
        <v>2144869</v>
      </c>
      <c r="S1026" s="5">
        <v>79135</v>
      </c>
      <c r="T1026" s="42">
        <v>488020</v>
      </c>
    </row>
    <row r="1027" spans="1:20" x14ac:dyDescent="0.3">
      <c r="A1027" s="7">
        <v>44659</v>
      </c>
      <c r="B1027" s="5"/>
      <c r="C1027" s="6">
        <v>150776</v>
      </c>
      <c r="D1027" s="6">
        <v>249165</v>
      </c>
      <c r="E1027" s="6">
        <v>155585</v>
      </c>
      <c r="F1027" s="14">
        <v>672273</v>
      </c>
      <c r="G1027" s="6">
        <v>239518</v>
      </c>
      <c r="H1027" s="6">
        <v>38771</v>
      </c>
      <c r="I1027" s="6">
        <v>41473</v>
      </c>
      <c r="J1027" s="6">
        <v>210208</v>
      </c>
      <c r="K1027" s="6">
        <v>569443</v>
      </c>
      <c r="L1027" s="6">
        <v>151670</v>
      </c>
      <c r="M1027" s="6">
        <v>1802330</v>
      </c>
      <c r="N1027" s="42">
        <v>1177031</v>
      </c>
      <c r="O1027" s="42"/>
      <c r="P1027" s="42">
        <v>68696</v>
      </c>
      <c r="Q1027" s="42">
        <v>233518</v>
      </c>
      <c r="R1027" s="42">
        <v>2118669</v>
      </c>
      <c r="S1027" s="5">
        <v>82479</v>
      </c>
      <c r="T1027" s="42">
        <v>486180</v>
      </c>
    </row>
    <row r="1028" spans="1:20" x14ac:dyDescent="0.3">
      <c r="A1028" s="7">
        <v>44658</v>
      </c>
      <c r="B1028" s="5"/>
      <c r="C1028" s="6">
        <v>150087</v>
      </c>
      <c r="D1028" s="6">
        <v>245071</v>
      </c>
      <c r="E1028" s="6">
        <v>157832</v>
      </c>
      <c r="F1028" s="14">
        <v>665450</v>
      </c>
      <c r="G1028" s="6">
        <v>242061</v>
      </c>
      <c r="H1028" s="6">
        <v>36774</v>
      </c>
      <c r="I1028" s="6">
        <v>39613</v>
      </c>
      <c r="J1028" s="6">
        <v>213315</v>
      </c>
      <c r="K1028" s="6">
        <v>563771</v>
      </c>
      <c r="L1028" s="6">
        <v>149110</v>
      </c>
      <c r="M1028" s="6">
        <v>1824078</v>
      </c>
      <c r="N1028" s="42">
        <v>1183108</v>
      </c>
      <c r="O1028" s="42"/>
      <c r="P1028" s="42">
        <v>68209</v>
      </c>
      <c r="Q1028" s="42">
        <v>232014</v>
      </c>
      <c r="R1028" s="42">
        <v>2119539</v>
      </c>
      <c r="S1028" s="5">
        <v>80730</v>
      </c>
      <c r="T1028" s="42">
        <v>472988</v>
      </c>
    </row>
    <row r="1029" spans="1:20" x14ac:dyDescent="0.3">
      <c r="A1029" s="7">
        <v>44657</v>
      </c>
      <c r="B1029" s="5"/>
      <c r="C1029" s="6">
        <v>148506</v>
      </c>
      <c r="D1029" s="6">
        <v>241295</v>
      </c>
      <c r="E1029" s="6">
        <v>157138</v>
      </c>
      <c r="F1029" s="14">
        <v>664599</v>
      </c>
      <c r="G1029" s="6">
        <v>242613</v>
      </c>
      <c r="H1029" s="6">
        <v>36447</v>
      </c>
      <c r="I1029" s="6">
        <v>39904</v>
      </c>
      <c r="J1029" s="6">
        <v>216486</v>
      </c>
      <c r="K1029" s="6">
        <v>562357</v>
      </c>
      <c r="L1029" s="6">
        <v>147633</v>
      </c>
      <c r="M1029" s="6">
        <v>1839132</v>
      </c>
      <c r="N1029" s="42">
        <v>1175615</v>
      </c>
      <c r="O1029" s="42"/>
      <c r="P1029" s="42">
        <v>67714</v>
      </c>
      <c r="Q1029" s="42">
        <v>236967</v>
      </c>
      <c r="R1029" s="42">
        <v>2120006</v>
      </c>
      <c r="S1029" s="5">
        <v>79146</v>
      </c>
      <c r="T1029" s="42">
        <v>470730</v>
      </c>
    </row>
    <row r="1030" spans="1:20" x14ac:dyDescent="0.3">
      <c r="A1030" s="7">
        <v>44656</v>
      </c>
      <c r="B1030" s="5"/>
      <c r="C1030" s="6">
        <v>148898</v>
      </c>
      <c r="D1030" s="6">
        <v>238266</v>
      </c>
      <c r="E1030" s="6">
        <v>157562</v>
      </c>
      <c r="F1030" s="14">
        <v>663589</v>
      </c>
      <c r="G1030" s="6">
        <v>242217</v>
      </c>
      <c r="H1030" s="6">
        <v>35788</v>
      </c>
      <c r="I1030" s="6">
        <v>40005</v>
      </c>
      <c r="J1030" s="6">
        <v>216157</v>
      </c>
      <c r="K1030" s="6">
        <v>560666</v>
      </c>
      <c r="L1030" s="6">
        <v>148526</v>
      </c>
      <c r="M1030" s="6">
        <v>1823366</v>
      </c>
      <c r="N1030" s="42">
        <v>1169620</v>
      </c>
      <c r="O1030" s="42"/>
      <c r="P1030" s="42">
        <v>66632</v>
      </c>
      <c r="Q1030" s="42">
        <v>232689</v>
      </c>
      <c r="R1030" s="42">
        <v>2122357</v>
      </c>
      <c r="S1030" s="5">
        <v>82081</v>
      </c>
      <c r="T1030" s="42">
        <v>462981</v>
      </c>
    </row>
    <row r="1031" spans="1:20" x14ac:dyDescent="0.3">
      <c r="A1031" s="7">
        <v>44655</v>
      </c>
      <c r="B1031" s="5"/>
      <c r="C1031" s="6">
        <v>148473</v>
      </c>
      <c r="D1031" s="6">
        <v>236900</v>
      </c>
      <c r="E1031" s="6">
        <v>152505</v>
      </c>
      <c r="F1031" s="14">
        <v>664085</v>
      </c>
      <c r="G1031" s="6">
        <v>238095</v>
      </c>
      <c r="H1031" s="6">
        <v>35242</v>
      </c>
      <c r="I1031" s="6">
        <v>39718</v>
      </c>
      <c r="J1031" s="6">
        <v>214221</v>
      </c>
      <c r="K1031" s="6">
        <v>560605</v>
      </c>
      <c r="L1031" s="6">
        <v>147545</v>
      </c>
      <c r="M1031" s="6">
        <v>1803467</v>
      </c>
      <c r="N1031" s="42">
        <v>1159371</v>
      </c>
      <c r="O1031" s="42"/>
      <c r="P1031" s="42">
        <v>66599</v>
      </c>
      <c r="Q1031" s="42">
        <v>228743</v>
      </c>
      <c r="R1031" s="42">
        <v>2114335</v>
      </c>
      <c r="S1031" s="5">
        <v>84765</v>
      </c>
      <c r="T1031" s="42">
        <v>463560</v>
      </c>
    </row>
    <row r="1032" spans="1:20" x14ac:dyDescent="0.3">
      <c r="A1032" s="7">
        <v>44652</v>
      </c>
      <c r="B1032" s="5"/>
      <c r="C1032" s="6">
        <v>144483</v>
      </c>
      <c r="D1032" s="6">
        <v>235045</v>
      </c>
      <c r="E1032" s="6">
        <v>152528</v>
      </c>
      <c r="F1032" s="14">
        <v>661797</v>
      </c>
      <c r="G1032" s="6">
        <v>248350</v>
      </c>
      <c r="H1032" s="6">
        <v>34587</v>
      </c>
      <c r="I1032" s="6">
        <v>39996</v>
      </c>
      <c r="J1032" s="6">
        <v>210682</v>
      </c>
      <c r="K1032" s="6">
        <v>565115</v>
      </c>
      <c r="L1032" s="6">
        <v>147033</v>
      </c>
      <c r="M1032" s="6">
        <v>1791481</v>
      </c>
      <c r="N1032" s="42">
        <v>1140213</v>
      </c>
      <c r="O1032" s="42"/>
      <c r="P1032" s="42">
        <v>66113</v>
      </c>
      <c r="Q1032" s="42">
        <v>229178</v>
      </c>
      <c r="R1032" s="42">
        <v>2118373</v>
      </c>
      <c r="S1032" s="5">
        <v>77447</v>
      </c>
      <c r="T1032" s="42">
        <v>465012</v>
      </c>
    </row>
    <row r="1033" spans="1:20" x14ac:dyDescent="0.3">
      <c r="A1033" s="7">
        <v>44651</v>
      </c>
      <c r="B1033" s="5"/>
      <c r="C1033" s="6">
        <v>143703</v>
      </c>
      <c r="D1033" s="6">
        <v>231363</v>
      </c>
      <c r="E1033" s="6">
        <v>150852</v>
      </c>
      <c r="F1033" s="14">
        <v>658648</v>
      </c>
      <c r="G1033" s="6">
        <v>240682</v>
      </c>
      <c r="H1033" s="6">
        <v>33970</v>
      </c>
      <c r="I1033" s="6">
        <v>40264</v>
      </c>
      <c r="J1033" s="6">
        <v>209743</v>
      </c>
      <c r="K1033" s="6">
        <v>569969</v>
      </c>
      <c r="L1033" s="6">
        <v>148844</v>
      </c>
      <c r="M1033" s="6">
        <v>1805276</v>
      </c>
      <c r="N1033" s="42">
        <v>1124511</v>
      </c>
      <c r="O1033" s="42"/>
      <c r="P1033" s="42">
        <v>65746</v>
      </c>
      <c r="Q1033" s="42">
        <v>224003</v>
      </c>
      <c r="R1033" s="42">
        <v>2113865</v>
      </c>
      <c r="S1033" s="5">
        <v>76162</v>
      </c>
      <c r="T1033" s="42">
        <v>482939</v>
      </c>
    </row>
    <row r="1034" spans="1:20" x14ac:dyDescent="0.3">
      <c r="A1034" s="7">
        <v>44650</v>
      </c>
      <c r="B1034" s="5"/>
      <c r="C1034" s="6">
        <v>142804</v>
      </c>
      <c r="D1034" s="6">
        <v>222488</v>
      </c>
      <c r="E1034" s="6">
        <v>153694</v>
      </c>
      <c r="F1034" s="14">
        <v>667973</v>
      </c>
      <c r="G1034" s="6">
        <v>238125</v>
      </c>
      <c r="H1034" s="6">
        <v>35127</v>
      </c>
      <c r="I1034" s="6">
        <v>42334</v>
      </c>
      <c r="J1034" s="6">
        <v>208641</v>
      </c>
      <c r="K1034" s="6">
        <v>579110</v>
      </c>
      <c r="L1034" s="6">
        <v>147430</v>
      </c>
      <c r="M1034" s="6">
        <v>1806727</v>
      </c>
      <c r="N1034" s="42">
        <v>1114009</v>
      </c>
      <c r="O1034" s="42"/>
      <c r="P1034" s="42">
        <v>65229</v>
      </c>
      <c r="Q1034" s="42">
        <v>223256</v>
      </c>
      <c r="R1034" s="42">
        <v>2130044</v>
      </c>
      <c r="S1034" s="5">
        <v>75017</v>
      </c>
      <c r="T1034" s="42">
        <v>471412</v>
      </c>
    </row>
    <row r="1035" spans="1:20" x14ac:dyDescent="0.3">
      <c r="A1035" s="7">
        <v>44649</v>
      </c>
      <c r="B1035" s="5"/>
      <c r="C1035" s="6">
        <v>143007</v>
      </c>
      <c r="D1035" s="6">
        <v>224365</v>
      </c>
      <c r="E1035" s="6">
        <v>147421</v>
      </c>
      <c r="F1035" s="14">
        <v>662415</v>
      </c>
      <c r="G1035" s="6">
        <v>239698</v>
      </c>
      <c r="H1035" s="6">
        <v>34881</v>
      </c>
      <c r="I1035" s="6">
        <v>44327</v>
      </c>
      <c r="J1035" s="6">
        <v>203692</v>
      </c>
      <c r="K1035" s="6">
        <v>574521</v>
      </c>
      <c r="L1035" s="6">
        <v>147370</v>
      </c>
      <c r="M1035" s="6">
        <v>1795929</v>
      </c>
      <c r="N1035" s="42">
        <v>1100690</v>
      </c>
      <c r="O1035" s="42"/>
      <c r="P1035" s="42">
        <v>65308</v>
      </c>
      <c r="Q1035" s="42">
        <v>223320</v>
      </c>
      <c r="R1035" s="42">
        <v>2120049</v>
      </c>
      <c r="S1035" s="5">
        <v>80110</v>
      </c>
      <c r="T1035" s="42">
        <v>475796</v>
      </c>
    </row>
    <row r="1036" spans="1:20" x14ac:dyDescent="0.3">
      <c r="A1036" s="7">
        <v>44648</v>
      </c>
      <c r="B1036" s="5"/>
      <c r="C1036" s="6">
        <v>136295</v>
      </c>
      <c r="D1036" s="6">
        <v>227662</v>
      </c>
      <c r="E1036" s="6">
        <v>138678</v>
      </c>
      <c r="F1036" s="14">
        <v>663389</v>
      </c>
      <c r="G1036" s="6">
        <v>244620</v>
      </c>
      <c r="H1036" s="6">
        <v>34819</v>
      </c>
      <c r="I1036" s="6">
        <v>44553</v>
      </c>
      <c r="J1036" s="6">
        <v>201209</v>
      </c>
      <c r="K1036" s="6">
        <v>587080</v>
      </c>
      <c r="L1036" s="6">
        <v>153374</v>
      </c>
      <c r="M1036" s="6">
        <v>1797764</v>
      </c>
      <c r="N1036" s="42">
        <v>1088334</v>
      </c>
      <c r="O1036" s="42"/>
      <c r="P1036" s="42">
        <v>65154</v>
      </c>
      <c r="Q1036" s="42">
        <v>222024</v>
      </c>
      <c r="R1036" s="42">
        <v>2106715</v>
      </c>
      <c r="S1036" s="5">
        <v>78421</v>
      </c>
      <c r="T1036" s="42">
        <v>470703</v>
      </c>
    </row>
    <row r="1037" spans="1:20" x14ac:dyDescent="0.3">
      <c r="A1037" s="7">
        <v>44645</v>
      </c>
      <c r="B1037" s="5"/>
      <c r="C1037" s="6">
        <v>136597</v>
      </c>
      <c r="D1037" s="6">
        <v>224735</v>
      </c>
      <c r="E1037" s="6">
        <v>137302</v>
      </c>
      <c r="F1037" s="14">
        <v>653259</v>
      </c>
      <c r="G1037" s="6">
        <v>244391</v>
      </c>
      <c r="H1037" s="6">
        <v>35350</v>
      </c>
      <c r="I1037" s="6">
        <v>44327</v>
      </c>
      <c r="J1037" s="6">
        <v>203244</v>
      </c>
      <c r="K1037" s="6">
        <v>607974</v>
      </c>
      <c r="L1037" s="6">
        <v>156360</v>
      </c>
      <c r="M1037" s="6">
        <v>1798893</v>
      </c>
      <c r="N1037" s="42">
        <v>1095150</v>
      </c>
      <c r="O1037" s="42"/>
      <c r="P1037" s="42">
        <v>64431</v>
      </c>
      <c r="Q1037" s="42">
        <v>219375</v>
      </c>
      <c r="R1037" s="42">
        <v>2104769</v>
      </c>
      <c r="S1037" s="5">
        <v>84407</v>
      </c>
      <c r="T1037" s="42">
        <v>473777</v>
      </c>
    </row>
    <row r="1038" spans="1:20" x14ac:dyDescent="0.3">
      <c r="A1038" s="7">
        <v>44644</v>
      </c>
      <c r="B1038" s="5"/>
      <c r="C1038" s="6">
        <v>130206</v>
      </c>
      <c r="D1038" s="6">
        <v>198913</v>
      </c>
      <c r="E1038" s="6">
        <v>131083</v>
      </c>
      <c r="F1038" s="14">
        <v>654984</v>
      </c>
      <c r="G1038" s="6">
        <v>251162</v>
      </c>
      <c r="H1038" s="6">
        <v>34578</v>
      </c>
      <c r="I1038" s="6">
        <v>44616</v>
      </c>
      <c r="J1038" s="6">
        <v>203599</v>
      </c>
      <c r="K1038" s="6">
        <v>608575</v>
      </c>
      <c r="L1038" s="6">
        <v>157989</v>
      </c>
      <c r="M1038" s="6">
        <v>1794775</v>
      </c>
      <c r="N1038" s="42">
        <v>1095248</v>
      </c>
      <c r="O1038" s="42"/>
      <c r="P1038" s="42">
        <v>64420</v>
      </c>
      <c r="Q1038" s="42">
        <v>217139</v>
      </c>
      <c r="R1038" s="42">
        <v>2102152</v>
      </c>
      <c r="S1038" s="5">
        <v>78166</v>
      </c>
      <c r="T1038" s="42">
        <v>478052</v>
      </c>
    </row>
    <row r="1039" spans="1:20" x14ac:dyDescent="0.3">
      <c r="A1039" s="7">
        <v>44643</v>
      </c>
      <c r="B1039" s="5"/>
      <c r="C1039" s="6">
        <v>127585</v>
      </c>
      <c r="D1039" s="6">
        <v>202038</v>
      </c>
      <c r="E1039" s="6">
        <v>127540</v>
      </c>
      <c r="F1039" s="14">
        <v>655592</v>
      </c>
      <c r="G1039" s="6">
        <v>242540</v>
      </c>
      <c r="H1039" s="6">
        <v>35047</v>
      </c>
      <c r="I1039" s="6">
        <v>44639</v>
      </c>
      <c r="J1039" s="6">
        <v>201474</v>
      </c>
      <c r="K1039" s="6">
        <v>608085</v>
      </c>
      <c r="L1039" s="6">
        <v>154490</v>
      </c>
      <c r="M1039" s="6">
        <v>1787812</v>
      </c>
      <c r="N1039" s="42">
        <v>1091169</v>
      </c>
      <c r="O1039" s="42"/>
      <c r="P1039" s="42">
        <v>64018</v>
      </c>
      <c r="Q1039" s="42">
        <v>214268</v>
      </c>
      <c r="R1039" s="42">
        <v>2111610</v>
      </c>
      <c r="S1039" s="5">
        <v>76932</v>
      </c>
      <c r="T1039" s="42">
        <v>483220</v>
      </c>
    </row>
    <row r="1040" spans="1:20" x14ac:dyDescent="0.3">
      <c r="A1040" s="7">
        <v>44642</v>
      </c>
      <c r="B1040" s="5"/>
      <c r="C1040" s="6">
        <v>127767</v>
      </c>
      <c r="D1040" s="6">
        <v>195712</v>
      </c>
      <c r="E1040" s="6">
        <v>124090</v>
      </c>
      <c r="F1040" s="14">
        <v>658817</v>
      </c>
      <c r="G1040" s="6">
        <v>248221</v>
      </c>
      <c r="H1040" s="6">
        <v>35256</v>
      </c>
      <c r="I1040" s="6">
        <v>44911</v>
      </c>
      <c r="J1040" s="6">
        <v>197244</v>
      </c>
      <c r="K1040" s="6">
        <v>605191</v>
      </c>
      <c r="L1040" s="6">
        <v>155456</v>
      </c>
      <c r="M1040" s="6">
        <v>1788211</v>
      </c>
      <c r="N1040" s="42">
        <v>1085676</v>
      </c>
      <c r="O1040" s="42"/>
      <c r="P1040" s="42">
        <v>63024</v>
      </c>
      <c r="Q1040" s="42">
        <v>212808</v>
      </c>
      <c r="R1040" s="42">
        <v>2111687</v>
      </c>
      <c r="S1040" s="5">
        <v>77136</v>
      </c>
      <c r="T1040" s="42">
        <v>489798</v>
      </c>
    </row>
    <row r="1041" spans="1:20" x14ac:dyDescent="0.3">
      <c r="A1041" s="7">
        <v>44641</v>
      </c>
      <c r="B1041" s="5"/>
      <c r="C1041" s="6">
        <v>122890</v>
      </c>
      <c r="D1041" s="6">
        <v>195013</v>
      </c>
      <c r="E1041" s="6">
        <v>119025</v>
      </c>
      <c r="F1041" s="14">
        <v>664037</v>
      </c>
      <c r="G1041" s="6">
        <v>236508</v>
      </c>
      <c r="H1041" s="6">
        <v>36957</v>
      </c>
      <c r="I1041" s="6">
        <v>45896</v>
      </c>
      <c r="J1041" s="6">
        <v>193885</v>
      </c>
      <c r="K1041" s="6">
        <v>610889</v>
      </c>
      <c r="L1041" s="6">
        <v>157972</v>
      </c>
      <c r="M1041" s="6">
        <v>1791376</v>
      </c>
      <c r="N1041" s="42">
        <v>1083311</v>
      </c>
      <c r="O1041" s="42"/>
      <c r="P1041" s="42">
        <v>62153</v>
      </c>
      <c r="Q1041" s="42">
        <v>205624</v>
      </c>
      <c r="R1041" s="42">
        <v>2125020</v>
      </c>
      <c r="S1041" s="5">
        <v>77685</v>
      </c>
      <c r="T1041" s="42">
        <v>566756</v>
      </c>
    </row>
    <row r="1042" spans="1:20" x14ac:dyDescent="0.3">
      <c r="A1042" s="7">
        <v>44638</v>
      </c>
      <c r="B1042" s="5"/>
      <c r="C1042" s="6">
        <v>119700</v>
      </c>
      <c r="D1042" s="6">
        <v>194753</v>
      </c>
      <c r="E1042" s="6">
        <v>116816</v>
      </c>
      <c r="F1042" s="14">
        <v>665741</v>
      </c>
      <c r="G1042" s="6">
        <v>233571</v>
      </c>
      <c r="H1042" s="6">
        <v>37205</v>
      </c>
      <c r="I1042" s="6">
        <v>45565</v>
      </c>
      <c r="J1042" s="6">
        <v>194060</v>
      </c>
      <c r="K1042" s="6">
        <v>610101</v>
      </c>
      <c r="L1042" s="6">
        <v>157342</v>
      </c>
      <c r="M1042" s="6">
        <v>1793331</v>
      </c>
      <c r="N1042" s="42">
        <v>1085250</v>
      </c>
      <c r="O1042" s="42"/>
      <c r="P1042" s="42">
        <v>90722</v>
      </c>
      <c r="Q1042" s="42">
        <v>260757</v>
      </c>
      <c r="R1042" s="42">
        <v>2538692</v>
      </c>
      <c r="S1042" s="5">
        <v>76027</v>
      </c>
      <c r="T1042" s="42">
        <v>565598</v>
      </c>
    </row>
    <row r="1043" spans="1:20" x14ac:dyDescent="0.3">
      <c r="A1043" s="7">
        <v>44637</v>
      </c>
      <c r="B1043" s="5"/>
      <c r="C1043" s="6">
        <v>122222</v>
      </c>
      <c r="D1043" s="6">
        <v>196061</v>
      </c>
      <c r="E1043" s="6">
        <v>113128</v>
      </c>
      <c r="F1043" s="14">
        <v>662481</v>
      </c>
      <c r="G1043" s="6">
        <v>228789</v>
      </c>
      <c r="H1043" s="6">
        <v>37937</v>
      </c>
      <c r="I1043" s="6">
        <v>45220</v>
      </c>
      <c r="J1043" s="6">
        <v>189240</v>
      </c>
      <c r="K1043" s="6">
        <v>612766</v>
      </c>
      <c r="L1043" s="6">
        <v>158366</v>
      </c>
      <c r="M1043" s="6">
        <v>1797129</v>
      </c>
      <c r="N1043" s="42">
        <v>1091208</v>
      </c>
      <c r="O1043" s="42"/>
      <c r="P1043" s="42">
        <v>90394</v>
      </c>
      <c r="Q1043" s="42">
        <v>256798</v>
      </c>
      <c r="R1043" s="42">
        <v>2548499</v>
      </c>
      <c r="S1043" s="5">
        <v>75691</v>
      </c>
      <c r="T1043" s="42">
        <v>572889</v>
      </c>
    </row>
    <row r="1044" spans="1:20" x14ac:dyDescent="0.3">
      <c r="A1044" s="7">
        <v>44636</v>
      </c>
      <c r="B1044" s="5"/>
      <c r="C1044" s="6">
        <v>126580</v>
      </c>
      <c r="D1044" s="6">
        <v>193031</v>
      </c>
      <c r="E1044" s="6">
        <v>109358</v>
      </c>
      <c r="F1044" s="14">
        <v>657771</v>
      </c>
      <c r="G1044" s="6">
        <v>222246</v>
      </c>
      <c r="H1044" s="6">
        <v>38590</v>
      </c>
      <c r="I1044" s="6">
        <v>43116</v>
      </c>
      <c r="J1044" s="6">
        <v>184055</v>
      </c>
      <c r="K1044" s="6">
        <v>613890</v>
      </c>
      <c r="L1044" s="6">
        <v>157056</v>
      </c>
      <c r="M1044" s="6">
        <v>1828830</v>
      </c>
      <c r="N1044" s="42">
        <v>1082103</v>
      </c>
      <c r="O1044" s="42"/>
      <c r="P1044" s="42">
        <v>88300</v>
      </c>
      <c r="Q1044" s="42">
        <v>257745</v>
      </c>
      <c r="R1044" s="42">
        <v>2584236</v>
      </c>
      <c r="S1044" s="5">
        <v>79092</v>
      </c>
      <c r="T1044" s="42">
        <v>582619</v>
      </c>
    </row>
    <row r="1045" spans="1:20" x14ac:dyDescent="0.3">
      <c r="A1045" s="7">
        <v>44635</v>
      </c>
      <c r="B1045" s="5"/>
      <c r="C1045" s="6">
        <v>196807</v>
      </c>
      <c r="D1045" s="6">
        <v>256704</v>
      </c>
      <c r="E1045" s="6">
        <v>143863</v>
      </c>
      <c r="F1045" s="14">
        <v>783444</v>
      </c>
      <c r="G1045" s="6">
        <v>257231</v>
      </c>
      <c r="H1045" s="6">
        <v>59672</v>
      </c>
      <c r="I1045" s="6">
        <v>60555</v>
      </c>
      <c r="J1045" s="6">
        <v>183170</v>
      </c>
      <c r="K1045" s="6">
        <v>617605</v>
      </c>
      <c r="L1045" s="6">
        <v>159571</v>
      </c>
      <c r="M1045" s="6">
        <v>1850794</v>
      </c>
      <c r="N1045" s="42">
        <v>1082746</v>
      </c>
      <c r="O1045" s="42"/>
      <c r="P1045" s="42">
        <v>92557</v>
      </c>
      <c r="Q1045" s="42">
        <v>264733</v>
      </c>
      <c r="R1045" s="42">
        <v>2582759</v>
      </c>
      <c r="S1045" s="5">
        <v>35836</v>
      </c>
      <c r="T1045" s="42">
        <v>586849</v>
      </c>
    </row>
    <row r="1046" spans="1:20" x14ac:dyDescent="0.3">
      <c r="A1046" s="7">
        <v>44634</v>
      </c>
      <c r="B1046" s="5"/>
      <c r="C1046" s="6">
        <v>192030</v>
      </c>
      <c r="D1046" s="6">
        <v>256493</v>
      </c>
      <c r="E1046" s="6">
        <v>144499</v>
      </c>
      <c r="F1046" s="14">
        <v>777499</v>
      </c>
      <c r="G1046" s="6">
        <v>251999</v>
      </c>
      <c r="H1046" s="6">
        <v>59288</v>
      </c>
      <c r="I1046" s="6">
        <v>61175</v>
      </c>
      <c r="J1046" s="6">
        <v>188019</v>
      </c>
      <c r="K1046" s="6">
        <v>624775</v>
      </c>
      <c r="L1046" s="6">
        <v>160795</v>
      </c>
      <c r="M1046" s="6">
        <v>1860422</v>
      </c>
      <c r="N1046" s="42">
        <v>1088622</v>
      </c>
      <c r="O1046" s="42"/>
      <c r="P1046" s="42">
        <v>94686</v>
      </c>
      <c r="Q1046" s="42">
        <v>283273</v>
      </c>
      <c r="R1046" s="42">
        <v>2631861</v>
      </c>
      <c r="S1046" s="5">
        <v>58348</v>
      </c>
      <c r="T1046" s="42">
        <v>578609</v>
      </c>
    </row>
    <row r="1047" spans="1:20" x14ac:dyDescent="0.3">
      <c r="A1047" s="7">
        <v>44631</v>
      </c>
      <c r="B1047" s="5"/>
      <c r="C1047" s="6">
        <v>191749</v>
      </c>
      <c r="D1047" s="6">
        <v>257064</v>
      </c>
      <c r="E1047" s="6">
        <v>147897</v>
      </c>
      <c r="F1047" s="14">
        <v>791453</v>
      </c>
      <c r="G1047" s="6">
        <v>242704</v>
      </c>
      <c r="H1047" s="6">
        <v>56587</v>
      </c>
      <c r="I1047" s="6">
        <v>58280</v>
      </c>
      <c r="J1047" s="6">
        <v>191048</v>
      </c>
      <c r="K1047" s="6">
        <v>633725</v>
      </c>
      <c r="L1047" s="6">
        <v>163907</v>
      </c>
      <c r="M1047" s="6">
        <v>1875698</v>
      </c>
      <c r="N1047" s="42">
        <v>1087372</v>
      </c>
      <c r="O1047" s="42"/>
      <c r="P1047" s="42">
        <v>86464</v>
      </c>
      <c r="Q1047" s="42">
        <v>272413</v>
      </c>
      <c r="R1047" s="42">
        <v>2583851</v>
      </c>
      <c r="S1047" s="5">
        <v>84685</v>
      </c>
      <c r="T1047" s="42">
        <v>556301</v>
      </c>
    </row>
    <row r="1048" spans="1:20" x14ac:dyDescent="0.3">
      <c r="A1048" s="7">
        <v>44630</v>
      </c>
      <c r="B1048" s="5"/>
      <c r="C1048" s="6">
        <v>190585</v>
      </c>
      <c r="D1048" s="6">
        <v>259303</v>
      </c>
      <c r="E1048" s="6">
        <v>149918</v>
      </c>
      <c r="F1048" s="14">
        <v>762667</v>
      </c>
      <c r="G1048" s="6">
        <v>229999</v>
      </c>
      <c r="H1048" s="6">
        <v>61555</v>
      </c>
      <c r="I1048" s="6">
        <v>58221</v>
      </c>
      <c r="J1048" s="6">
        <v>191537</v>
      </c>
      <c r="K1048" s="6">
        <v>619721</v>
      </c>
      <c r="L1048" s="6">
        <v>164741</v>
      </c>
      <c r="M1048" s="6">
        <v>1880554</v>
      </c>
      <c r="N1048" s="42">
        <v>1087285</v>
      </c>
      <c r="O1048" s="42"/>
      <c r="P1048" s="42">
        <v>84996</v>
      </c>
      <c r="Q1048" s="42">
        <v>258360</v>
      </c>
      <c r="R1048" s="42">
        <v>2535927</v>
      </c>
      <c r="S1048" s="5">
        <v>92236</v>
      </c>
      <c r="T1048" s="42">
        <v>529366</v>
      </c>
    </row>
    <row r="1049" spans="1:20" x14ac:dyDescent="0.3">
      <c r="A1049" s="7">
        <v>44629</v>
      </c>
      <c r="B1049" s="5"/>
      <c r="C1049" s="6">
        <v>192051</v>
      </c>
      <c r="D1049" s="6">
        <v>260080</v>
      </c>
      <c r="E1049" s="6">
        <v>151262</v>
      </c>
      <c r="F1049" s="14">
        <v>753211</v>
      </c>
      <c r="G1049" s="6">
        <v>215443</v>
      </c>
      <c r="H1049" s="6">
        <v>53627</v>
      </c>
      <c r="I1049" s="6">
        <v>51938</v>
      </c>
      <c r="J1049" s="6">
        <v>192233</v>
      </c>
      <c r="K1049" s="6">
        <v>641975</v>
      </c>
      <c r="L1049" s="6">
        <v>163982</v>
      </c>
      <c r="M1049" s="6">
        <v>1872172</v>
      </c>
      <c r="N1049" s="42">
        <v>1085527</v>
      </c>
      <c r="O1049" s="42"/>
      <c r="P1049" s="42">
        <v>78633</v>
      </c>
      <c r="Q1049" s="42">
        <v>246982</v>
      </c>
      <c r="R1049" s="42">
        <v>2446664</v>
      </c>
      <c r="S1049" s="5">
        <v>92144</v>
      </c>
      <c r="T1049" s="42">
        <v>525504</v>
      </c>
    </row>
    <row r="1050" spans="1:20" x14ac:dyDescent="0.3">
      <c r="A1050" s="7">
        <v>44628</v>
      </c>
      <c r="B1050" s="5"/>
      <c r="C1050" s="6">
        <v>197094</v>
      </c>
      <c r="D1050" s="6">
        <v>246312</v>
      </c>
      <c r="E1050" s="6">
        <v>149425</v>
      </c>
      <c r="F1050" s="14">
        <v>738990</v>
      </c>
      <c r="G1050" s="6">
        <v>208683</v>
      </c>
      <c r="H1050" s="6">
        <v>53250</v>
      </c>
      <c r="I1050" s="6">
        <v>51820</v>
      </c>
      <c r="J1050" s="6">
        <v>198844</v>
      </c>
      <c r="K1050" s="6">
        <v>638502</v>
      </c>
      <c r="L1050" s="6">
        <v>168283</v>
      </c>
      <c r="M1050" s="6">
        <v>1896974</v>
      </c>
      <c r="N1050" s="42">
        <v>1085853</v>
      </c>
      <c r="O1050" s="42"/>
      <c r="P1050" s="42">
        <v>77560</v>
      </c>
      <c r="Q1050" s="42">
        <v>248009</v>
      </c>
      <c r="R1050" s="42">
        <v>2435543</v>
      </c>
      <c r="S1050" s="5">
        <v>94245</v>
      </c>
      <c r="T1050" s="42">
        <v>514212</v>
      </c>
    </row>
    <row r="1051" spans="1:20" x14ac:dyDescent="0.3">
      <c r="A1051" s="7">
        <v>44627</v>
      </c>
      <c r="B1051" s="5"/>
      <c r="C1051" s="6">
        <v>200740</v>
      </c>
      <c r="D1051" s="6">
        <v>230914</v>
      </c>
      <c r="E1051" s="6">
        <v>147311</v>
      </c>
      <c r="F1051" s="14">
        <v>747348</v>
      </c>
      <c r="G1051" s="6">
        <v>205435</v>
      </c>
      <c r="H1051" s="6">
        <v>51211</v>
      </c>
      <c r="I1051" s="6">
        <v>51526</v>
      </c>
      <c r="J1051" s="6">
        <v>205281</v>
      </c>
      <c r="K1051" s="6">
        <v>645711</v>
      </c>
      <c r="L1051" s="6">
        <v>167020</v>
      </c>
      <c r="M1051" s="6">
        <v>1895097</v>
      </c>
      <c r="N1051" s="42">
        <v>1094802</v>
      </c>
      <c r="O1051" s="42"/>
      <c r="P1051" s="42">
        <v>76895</v>
      </c>
      <c r="Q1051" s="42">
        <v>250385</v>
      </c>
      <c r="R1051" s="42">
        <v>2417839</v>
      </c>
      <c r="S1051" s="5">
        <v>105661</v>
      </c>
      <c r="T1051" s="42">
        <v>510553</v>
      </c>
    </row>
    <row r="1052" spans="1:20" x14ac:dyDescent="0.3">
      <c r="A1052" s="7">
        <v>44624</v>
      </c>
      <c r="B1052" s="5"/>
      <c r="C1052" s="6">
        <v>200356</v>
      </c>
      <c r="D1052" s="6">
        <v>224941</v>
      </c>
      <c r="E1052" s="6">
        <v>144258</v>
      </c>
      <c r="F1052" s="14">
        <v>748081</v>
      </c>
      <c r="G1052" s="6">
        <v>206516</v>
      </c>
      <c r="H1052" s="6">
        <v>51837</v>
      </c>
      <c r="I1052" s="6">
        <v>49099</v>
      </c>
      <c r="J1052" s="6">
        <v>209530</v>
      </c>
      <c r="K1052" s="6">
        <v>633697</v>
      </c>
      <c r="L1052" s="6">
        <v>165431</v>
      </c>
      <c r="M1052" s="6">
        <v>1929152</v>
      </c>
      <c r="N1052" s="42">
        <v>1100035</v>
      </c>
      <c r="O1052" s="42"/>
      <c r="P1052" s="42">
        <v>76508</v>
      </c>
      <c r="Q1052" s="42">
        <v>248444</v>
      </c>
      <c r="R1052" s="42">
        <v>2366046</v>
      </c>
      <c r="S1052" s="5">
        <v>106784</v>
      </c>
      <c r="T1052" s="42">
        <v>506834</v>
      </c>
    </row>
    <row r="1053" spans="1:20" x14ac:dyDescent="0.3">
      <c r="A1053" s="7">
        <v>44623</v>
      </c>
      <c r="B1053" s="5"/>
      <c r="C1053" s="6">
        <v>194484</v>
      </c>
      <c r="D1053" s="6">
        <v>217919</v>
      </c>
      <c r="E1053" s="6">
        <v>145349</v>
      </c>
      <c r="F1053" s="14">
        <v>737527</v>
      </c>
      <c r="G1053" s="6">
        <v>202635</v>
      </c>
      <c r="H1053" s="6">
        <v>49385</v>
      </c>
      <c r="I1053" s="6">
        <v>47289</v>
      </c>
      <c r="J1053" s="6">
        <v>205023</v>
      </c>
      <c r="K1053" s="6">
        <v>617053</v>
      </c>
      <c r="L1053" s="6">
        <v>161172</v>
      </c>
      <c r="M1053" s="6">
        <v>1943641</v>
      </c>
      <c r="N1053" s="42">
        <v>1099847</v>
      </c>
      <c r="O1053" s="42"/>
      <c r="P1053" s="42">
        <v>76670</v>
      </c>
      <c r="Q1053" s="42">
        <v>247628</v>
      </c>
      <c r="R1053" s="42">
        <v>2356577</v>
      </c>
      <c r="S1053" s="5">
        <v>106577</v>
      </c>
      <c r="T1053" s="42">
        <v>508215</v>
      </c>
    </row>
    <row r="1054" spans="1:20" x14ac:dyDescent="0.3">
      <c r="A1054" s="7">
        <v>44622</v>
      </c>
      <c r="B1054" s="5"/>
      <c r="C1054" s="6">
        <v>191189</v>
      </c>
      <c r="D1054" s="6">
        <v>217969</v>
      </c>
      <c r="E1054" s="6">
        <v>143930</v>
      </c>
      <c r="F1054" s="14">
        <v>730373</v>
      </c>
      <c r="G1054" s="6">
        <v>202398</v>
      </c>
      <c r="H1054" s="6">
        <v>50168</v>
      </c>
      <c r="I1054" s="6">
        <v>46444</v>
      </c>
      <c r="J1054" s="6">
        <v>197262</v>
      </c>
      <c r="K1054" s="6">
        <v>612827</v>
      </c>
      <c r="L1054" s="6">
        <v>159321</v>
      </c>
      <c r="M1054" s="6">
        <v>1978789</v>
      </c>
      <c r="N1054" s="42">
        <v>1109830</v>
      </c>
      <c r="O1054" s="42"/>
      <c r="P1054" s="42">
        <v>75507</v>
      </c>
      <c r="Q1054" s="42">
        <v>244239</v>
      </c>
      <c r="R1054" s="42">
        <v>2359458</v>
      </c>
      <c r="S1054" s="5">
        <v>100445</v>
      </c>
      <c r="T1054" s="42">
        <v>509940</v>
      </c>
    </row>
    <row r="1055" spans="1:20" x14ac:dyDescent="0.3">
      <c r="A1055" s="7">
        <v>44621</v>
      </c>
      <c r="B1055" s="5"/>
      <c r="C1055" s="6">
        <v>189667</v>
      </c>
      <c r="D1055" s="6">
        <v>211869</v>
      </c>
      <c r="E1055" s="6">
        <v>143507</v>
      </c>
      <c r="F1055" s="14">
        <v>719975</v>
      </c>
      <c r="G1055" s="6">
        <v>208629</v>
      </c>
      <c r="H1055" s="6">
        <v>50389</v>
      </c>
      <c r="I1055" s="6">
        <v>47273</v>
      </c>
      <c r="J1055" s="6">
        <v>195398</v>
      </c>
      <c r="K1055" s="6">
        <v>615600</v>
      </c>
      <c r="L1055" s="6">
        <v>157391</v>
      </c>
      <c r="M1055" s="6">
        <v>2028476</v>
      </c>
      <c r="N1055" s="42">
        <v>1112832</v>
      </c>
      <c r="O1055" s="42"/>
      <c r="P1055" s="42">
        <v>78067</v>
      </c>
      <c r="Q1055" s="42">
        <v>249537</v>
      </c>
      <c r="R1055" s="42">
        <v>2387492</v>
      </c>
      <c r="S1055" s="5">
        <v>96127</v>
      </c>
      <c r="T1055" s="42">
        <v>511525</v>
      </c>
    </row>
    <row r="1056" spans="1:20" x14ac:dyDescent="0.3">
      <c r="A1056" s="7">
        <v>44620</v>
      </c>
      <c r="B1056" s="5"/>
      <c r="C1056" s="6">
        <v>192061</v>
      </c>
      <c r="D1056" s="6">
        <v>194974</v>
      </c>
      <c r="E1056" s="6">
        <v>145494</v>
      </c>
      <c r="F1056" s="14">
        <v>710846</v>
      </c>
      <c r="G1056" s="6">
        <v>205215</v>
      </c>
      <c r="H1056" s="6">
        <v>50711</v>
      </c>
      <c r="I1056" s="6">
        <v>47167</v>
      </c>
      <c r="J1056" s="6">
        <v>194969</v>
      </c>
      <c r="K1056" s="6">
        <v>603287</v>
      </c>
      <c r="L1056" s="6">
        <v>150597</v>
      </c>
      <c r="M1056" s="6">
        <v>2093222</v>
      </c>
      <c r="N1056" s="42">
        <v>1114582</v>
      </c>
      <c r="O1056" s="42"/>
      <c r="P1056" s="42">
        <v>76491</v>
      </c>
      <c r="Q1056" s="42">
        <v>251842</v>
      </c>
      <c r="R1056" s="42">
        <v>2391264</v>
      </c>
      <c r="S1056" s="5">
        <v>97284</v>
      </c>
      <c r="T1056" s="42">
        <v>516407</v>
      </c>
    </row>
    <row r="1057" spans="1:20" x14ac:dyDescent="0.3">
      <c r="A1057" s="7">
        <v>44617</v>
      </c>
      <c r="B1057" s="5"/>
      <c r="C1057" s="6">
        <v>192751</v>
      </c>
      <c r="D1057" s="6">
        <v>188303</v>
      </c>
      <c r="E1057" s="6">
        <v>144405</v>
      </c>
      <c r="F1057" s="14">
        <v>704064</v>
      </c>
      <c r="G1057" s="6">
        <v>205945</v>
      </c>
      <c r="H1057" s="6">
        <v>53115</v>
      </c>
      <c r="I1057" s="6">
        <v>48854</v>
      </c>
      <c r="J1057" s="6">
        <v>199528</v>
      </c>
      <c r="K1057" s="6">
        <v>605244</v>
      </c>
      <c r="L1057" s="6">
        <v>149965</v>
      </c>
      <c r="M1057" s="6">
        <v>2091498</v>
      </c>
      <c r="N1057" s="42">
        <v>1112086</v>
      </c>
      <c r="O1057" s="42"/>
      <c r="P1057" s="42">
        <v>75274</v>
      </c>
      <c r="Q1057" s="42">
        <v>252638</v>
      </c>
      <c r="R1057" s="42">
        <v>2379923</v>
      </c>
      <c r="S1057" s="5">
        <v>99246</v>
      </c>
      <c r="T1057" s="42">
        <v>526557</v>
      </c>
    </row>
    <row r="1058" spans="1:20" x14ac:dyDescent="0.3">
      <c r="A1058" s="7">
        <v>44616</v>
      </c>
      <c r="B1058" s="5"/>
      <c r="C1058" s="6">
        <v>191635</v>
      </c>
      <c r="D1058" s="6">
        <v>195386</v>
      </c>
      <c r="E1058" s="6">
        <v>148024</v>
      </c>
      <c r="F1058" s="14">
        <v>707251</v>
      </c>
      <c r="G1058" s="6">
        <v>202404</v>
      </c>
      <c r="H1058" s="6">
        <v>53576</v>
      </c>
      <c r="I1058" s="6">
        <v>47721</v>
      </c>
      <c r="J1058" s="6">
        <v>197965</v>
      </c>
      <c r="K1058" s="6">
        <v>611983</v>
      </c>
      <c r="L1058" s="6">
        <v>155661</v>
      </c>
      <c r="M1058" s="6">
        <v>2080268</v>
      </c>
      <c r="N1058" s="42">
        <v>1111520</v>
      </c>
      <c r="O1058" s="42"/>
      <c r="P1058" s="42">
        <v>79009</v>
      </c>
      <c r="Q1058" s="42">
        <v>259329</v>
      </c>
      <c r="R1058" s="42">
        <v>2397134</v>
      </c>
      <c r="S1058" s="5">
        <v>95312</v>
      </c>
      <c r="T1058" s="42">
        <v>520863</v>
      </c>
    </row>
    <row r="1059" spans="1:20" x14ac:dyDescent="0.3">
      <c r="A1059" s="7">
        <v>44615</v>
      </c>
      <c r="B1059" s="5"/>
      <c r="C1059" s="6">
        <v>192612</v>
      </c>
      <c r="D1059" s="6">
        <v>189065</v>
      </c>
      <c r="E1059" s="6">
        <v>141647</v>
      </c>
      <c r="F1059" s="14">
        <v>695451</v>
      </c>
      <c r="G1059" s="6">
        <v>194619</v>
      </c>
      <c r="H1059" s="6">
        <v>53537</v>
      </c>
      <c r="I1059" s="6">
        <v>46154</v>
      </c>
      <c r="J1059" s="6">
        <v>202197</v>
      </c>
      <c r="K1059" s="6">
        <v>618186</v>
      </c>
      <c r="L1059" s="6">
        <v>163480</v>
      </c>
      <c r="M1059" s="6">
        <v>2060522</v>
      </c>
      <c r="N1059" s="42">
        <v>1104213</v>
      </c>
      <c r="O1059" s="42"/>
      <c r="P1059" s="42">
        <v>81193</v>
      </c>
      <c r="Q1059" s="42">
        <v>264135</v>
      </c>
      <c r="R1059" s="42">
        <v>2396676</v>
      </c>
      <c r="S1059" s="5">
        <v>100670</v>
      </c>
      <c r="T1059" s="42">
        <v>509340</v>
      </c>
    </row>
    <row r="1060" spans="1:20" x14ac:dyDescent="0.3">
      <c r="A1060" s="7">
        <v>44614</v>
      </c>
      <c r="B1060" s="5"/>
      <c r="C1060" s="6">
        <v>192579</v>
      </c>
      <c r="D1060" s="6">
        <v>188443</v>
      </c>
      <c r="E1060" s="6">
        <v>140305</v>
      </c>
      <c r="F1060" s="14">
        <v>696682</v>
      </c>
      <c r="G1060" s="6">
        <v>194169</v>
      </c>
      <c r="H1060" s="6">
        <v>56636</v>
      </c>
      <c r="I1060" s="6">
        <v>47339</v>
      </c>
      <c r="J1060" s="6">
        <v>204123</v>
      </c>
      <c r="K1060" s="6">
        <v>611488</v>
      </c>
      <c r="L1060" s="6">
        <v>163745</v>
      </c>
      <c r="M1060" s="6">
        <v>2058132</v>
      </c>
      <c r="N1060" s="42">
        <v>1107113</v>
      </c>
      <c r="O1060" s="42"/>
      <c r="P1060" s="42">
        <v>79592</v>
      </c>
      <c r="Q1060" s="42">
        <v>257929</v>
      </c>
      <c r="R1060" s="42">
        <v>2374165</v>
      </c>
      <c r="S1060" s="5">
        <v>104753</v>
      </c>
      <c r="T1060" s="42">
        <v>504784</v>
      </c>
    </row>
    <row r="1061" spans="1:20" x14ac:dyDescent="0.3">
      <c r="A1061" s="7">
        <v>44610</v>
      </c>
      <c r="B1061" s="5"/>
      <c r="C1061" s="6">
        <v>191617</v>
      </c>
      <c r="D1061" s="6">
        <v>195883</v>
      </c>
      <c r="E1061" s="6">
        <v>140402</v>
      </c>
      <c r="F1061" s="14">
        <v>694173</v>
      </c>
      <c r="G1061" s="6">
        <v>194826</v>
      </c>
      <c r="H1061" s="6">
        <v>59115</v>
      </c>
      <c r="I1061" s="6">
        <v>46080</v>
      </c>
      <c r="J1061" s="6">
        <v>206291</v>
      </c>
      <c r="K1061" s="6">
        <v>602228</v>
      </c>
      <c r="L1061" s="6">
        <v>162715</v>
      </c>
      <c r="M1061" s="6">
        <v>2066654</v>
      </c>
      <c r="N1061" s="42">
        <v>1097409</v>
      </c>
      <c r="O1061" s="42"/>
      <c r="P1061" s="42">
        <v>78826</v>
      </c>
      <c r="Q1061" s="42">
        <v>253132</v>
      </c>
      <c r="R1061" s="42">
        <v>2332826</v>
      </c>
      <c r="S1061" s="5">
        <v>87722</v>
      </c>
      <c r="T1061" s="42">
        <v>501362</v>
      </c>
    </row>
    <row r="1062" spans="1:20" x14ac:dyDescent="0.3">
      <c r="A1062" s="7">
        <v>44609</v>
      </c>
      <c r="B1062" s="5"/>
      <c r="C1062" s="6">
        <v>191184</v>
      </c>
      <c r="D1062" s="6">
        <v>196774</v>
      </c>
      <c r="E1062" s="6">
        <v>139852</v>
      </c>
      <c r="F1062" s="14">
        <v>695118</v>
      </c>
      <c r="G1062" s="6">
        <v>197950</v>
      </c>
      <c r="H1062" s="6">
        <v>59463</v>
      </c>
      <c r="I1062" s="6">
        <v>46035</v>
      </c>
      <c r="J1062" s="6">
        <v>207104</v>
      </c>
      <c r="K1062" s="6">
        <v>596773</v>
      </c>
      <c r="L1062" s="6">
        <v>161344</v>
      </c>
      <c r="M1062" s="6">
        <v>2085729</v>
      </c>
      <c r="N1062" s="42">
        <v>1104615</v>
      </c>
      <c r="O1062" s="42"/>
      <c r="P1062" s="42">
        <v>81025</v>
      </c>
      <c r="Q1062" s="42">
        <v>249922</v>
      </c>
      <c r="R1062" s="42">
        <v>2304573</v>
      </c>
      <c r="S1062" s="5">
        <v>95501</v>
      </c>
      <c r="T1062" s="42">
        <v>494824</v>
      </c>
    </row>
    <row r="1063" spans="1:20" x14ac:dyDescent="0.3">
      <c r="A1063" s="7">
        <v>44608</v>
      </c>
      <c r="B1063" s="5"/>
      <c r="C1063" s="6">
        <v>193248</v>
      </c>
      <c r="D1063" s="6">
        <v>196259</v>
      </c>
      <c r="E1063" s="6">
        <v>141795</v>
      </c>
      <c r="F1063" s="14">
        <v>698617</v>
      </c>
      <c r="G1063" s="6">
        <v>195193</v>
      </c>
      <c r="H1063" s="6">
        <v>62327</v>
      </c>
      <c r="I1063" s="6">
        <v>45799</v>
      </c>
      <c r="J1063" s="6">
        <v>208827</v>
      </c>
      <c r="K1063" s="6">
        <v>567282</v>
      </c>
      <c r="L1063" s="6">
        <v>161024</v>
      </c>
      <c r="M1063" s="6">
        <v>2103984</v>
      </c>
      <c r="N1063" s="42">
        <v>1111104</v>
      </c>
      <c r="O1063" s="42"/>
      <c r="P1063" s="42">
        <v>80056</v>
      </c>
      <c r="Q1063" s="42">
        <v>236560</v>
      </c>
      <c r="R1063" s="42">
        <v>2274432</v>
      </c>
      <c r="S1063" s="5">
        <v>88436</v>
      </c>
      <c r="T1063" s="42">
        <v>495518</v>
      </c>
    </row>
    <row r="1064" spans="1:20" x14ac:dyDescent="0.3">
      <c r="A1064" s="7">
        <v>44607</v>
      </c>
      <c r="B1064" s="5"/>
      <c r="C1064" s="6">
        <v>192630</v>
      </c>
      <c r="D1064" s="6">
        <v>196033</v>
      </c>
      <c r="E1064" s="6">
        <v>144815</v>
      </c>
      <c r="F1064" s="14">
        <v>705399</v>
      </c>
      <c r="G1064" s="6">
        <v>199876</v>
      </c>
      <c r="H1064" s="6">
        <v>64105</v>
      </c>
      <c r="I1064" s="6">
        <v>45522</v>
      </c>
      <c r="J1064" s="6">
        <v>210089</v>
      </c>
      <c r="K1064" s="6">
        <v>558645</v>
      </c>
      <c r="L1064" s="6">
        <v>156968</v>
      </c>
      <c r="M1064" s="6">
        <v>2122758</v>
      </c>
      <c r="N1064" s="42">
        <v>1098101</v>
      </c>
      <c r="O1064" s="42"/>
      <c r="P1064" s="42">
        <v>81392</v>
      </c>
      <c r="Q1064" s="42">
        <v>235945</v>
      </c>
      <c r="R1064" s="42">
        <v>2270263</v>
      </c>
      <c r="S1064" s="5">
        <v>80471</v>
      </c>
      <c r="T1064" s="42">
        <v>502053</v>
      </c>
    </row>
    <row r="1065" spans="1:20" x14ac:dyDescent="0.3">
      <c r="A1065" s="7">
        <v>44606</v>
      </c>
      <c r="B1065" s="5"/>
      <c r="C1065" s="6">
        <v>194156</v>
      </c>
      <c r="D1065" s="6">
        <v>195677</v>
      </c>
      <c r="E1065" s="6">
        <v>144730</v>
      </c>
      <c r="F1065" s="14">
        <v>703136</v>
      </c>
      <c r="G1065" s="6">
        <v>198780</v>
      </c>
      <c r="H1065" s="6">
        <v>60686</v>
      </c>
      <c r="I1065" s="6">
        <v>45414</v>
      </c>
      <c r="J1065" s="6">
        <v>210977</v>
      </c>
      <c r="K1065" s="6">
        <v>560182</v>
      </c>
      <c r="L1065" s="6">
        <v>159698</v>
      </c>
      <c r="M1065" s="6">
        <v>2134061</v>
      </c>
      <c r="N1065" s="42">
        <v>1090926</v>
      </c>
      <c r="O1065" s="42"/>
      <c r="P1065" s="42">
        <v>82040</v>
      </c>
      <c r="Q1065" s="42">
        <v>241421</v>
      </c>
      <c r="R1065" s="42">
        <v>2274756</v>
      </c>
      <c r="S1065" s="5">
        <v>79495</v>
      </c>
      <c r="T1065" s="42">
        <v>501967</v>
      </c>
    </row>
    <row r="1066" spans="1:20" x14ac:dyDescent="0.3">
      <c r="A1066" s="7">
        <v>44603</v>
      </c>
      <c r="B1066" s="5"/>
      <c r="C1066" s="6">
        <v>193168</v>
      </c>
      <c r="D1066" s="6">
        <v>197668</v>
      </c>
      <c r="E1066" s="6">
        <v>139554</v>
      </c>
      <c r="F1066" s="14">
        <v>695118</v>
      </c>
      <c r="G1066" s="6">
        <v>198793</v>
      </c>
      <c r="H1066" s="6">
        <v>56443</v>
      </c>
      <c r="I1066" s="6">
        <v>44781</v>
      </c>
      <c r="J1066" s="6">
        <v>215953</v>
      </c>
      <c r="K1066" s="6">
        <v>545836</v>
      </c>
      <c r="L1066" s="6">
        <v>159876</v>
      </c>
      <c r="M1066" s="6">
        <v>2155738</v>
      </c>
      <c r="N1066" s="42">
        <v>1087054</v>
      </c>
      <c r="O1066" s="42"/>
      <c r="P1066" s="42">
        <v>81296</v>
      </c>
      <c r="Q1066" s="42">
        <v>239122</v>
      </c>
      <c r="R1066" s="42">
        <v>2248504</v>
      </c>
      <c r="S1066" s="5">
        <v>76995</v>
      </c>
      <c r="T1066" s="42">
        <v>503970</v>
      </c>
    </row>
    <row r="1067" spans="1:20" x14ac:dyDescent="0.3">
      <c r="A1067" s="7">
        <v>44602</v>
      </c>
      <c r="B1067" s="5"/>
      <c r="C1067" s="6">
        <v>194360</v>
      </c>
      <c r="D1067" s="6">
        <v>202807</v>
      </c>
      <c r="E1067" s="6">
        <v>141749</v>
      </c>
      <c r="F1067" s="14">
        <v>700494</v>
      </c>
      <c r="G1067" s="6">
        <v>203754</v>
      </c>
      <c r="H1067" s="6">
        <v>55274</v>
      </c>
      <c r="I1067" s="6">
        <v>42582</v>
      </c>
      <c r="J1067" s="6">
        <v>221429</v>
      </c>
      <c r="K1067" s="6">
        <v>530507</v>
      </c>
      <c r="L1067" s="6">
        <v>156516</v>
      </c>
      <c r="M1067" s="6">
        <v>2175221</v>
      </c>
      <c r="N1067" s="42">
        <v>1096101</v>
      </c>
      <c r="O1067" s="42"/>
      <c r="P1067" s="42">
        <v>81816</v>
      </c>
      <c r="Q1067" s="42">
        <v>233096</v>
      </c>
      <c r="R1067" s="42">
        <v>2220989</v>
      </c>
      <c r="S1067" s="5">
        <v>85167</v>
      </c>
      <c r="T1067" s="42">
        <v>499578</v>
      </c>
    </row>
    <row r="1068" spans="1:20" x14ac:dyDescent="0.3">
      <c r="A1068" s="7">
        <v>44601</v>
      </c>
      <c r="B1068" s="5"/>
      <c r="C1068" s="6">
        <v>198062</v>
      </c>
      <c r="D1068" s="6">
        <v>199111</v>
      </c>
      <c r="E1068" s="6">
        <v>142646</v>
      </c>
      <c r="F1068" s="14">
        <v>700494</v>
      </c>
      <c r="G1068" s="6">
        <v>198941</v>
      </c>
      <c r="H1068" s="6">
        <v>55862</v>
      </c>
      <c r="I1068" s="6">
        <v>42413</v>
      </c>
      <c r="J1068" s="6">
        <v>214318</v>
      </c>
      <c r="K1068" s="6">
        <v>520626</v>
      </c>
      <c r="L1068" s="6">
        <v>150523</v>
      </c>
      <c r="M1068" s="6">
        <v>2170631</v>
      </c>
      <c r="N1068" s="42">
        <v>1105111</v>
      </c>
      <c r="O1068" s="42"/>
      <c r="P1068" s="42">
        <v>82797</v>
      </c>
      <c r="Q1068" s="42">
        <v>229013</v>
      </c>
      <c r="R1068" s="42">
        <v>2223642</v>
      </c>
      <c r="S1068" s="5">
        <v>89592</v>
      </c>
      <c r="T1068" s="42">
        <v>497652</v>
      </c>
    </row>
    <row r="1069" spans="1:20" x14ac:dyDescent="0.3">
      <c r="A1069" s="7">
        <v>44600</v>
      </c>
      <c r="B1069" s="5"/>
      <c r="C1069" s="6">
        <v>196403</v>
      </c>
      <c r="D1069" s="6">
        <v>197948</v>
      </c>
      <c r="E1069" s="6">
        <v>145208</v>
      </c>
      <c r="F1069" s="14">
        <v>700098</v>
      </c>
      <c r="G1069" s="6">
        <v>196478</v>
      </c>
      <c r="H1069" s="6">
        <v>54877</v>
      </c>
      <c r="I1069" s="6">
        <v>41481</v>
      </c>
      <c r="J1069" s="6">
        <v>201860</v>
      </c>
      <c r="K1069" s="6">
        <v>512842</v>
      </c>
      <c r="L1069" s="6">
        <v>147379</v>
      </c>
      <c r="M1069" s="6">
        <v>2170681</v>
      </c>
      <c r="N1069" s="42">
        <v>1133934</v>
      </c>
      <c r="O1069" s="42"/>
      <c r="P1069" s="42">
        <v>82794</v>
      </c>
      <c r="Q1069" s="42">
        <v>233767</v>
      </c>
      <c r="R1069" s="42">
        <v>2229911</v>
      </c>
      <c r="S1069" s="5">
        <v>79110</v>
      </c>
      <c r="T1069" s="42">
        <v>498036</v>
      </c>
    </row>
    <row r="1070" spans="1:20" x14ac:dyDescent="0.3">
      <c r="A1070" s="7">
        <v>44599</v>
      </c>
      <c r="B1070" s="5"/>
      <c r="C1070" s="6">
        <v>197202</v>
      </c>
      <c r="D1070" s="6">
        <v>194189</v>
      </c>
      <c r="E1070" s="6">
        <v>147104</v>
      </c>
      <c r="F1070" s="14">
        <v>704927</v>
      </c>
      <c r="G1070" s="6">
        <v>196798</v>
      </c>
      <c r="H1070" s="6">
        <v>54099</v>
      </c>
      <c r="I1070" s="6">
        <v>41301</v>
      </c>
      <c r="J1070" s="6">
        <v>203079</v>
      </c>
      <c r="K1070" s="6">
        <v>509402</v>
      </c>
      <c r="L1070" s="6">
        <v>148206</v>
      </c>
      <c r="M1070" s="6">
        <v>2162827</v>
      </c>
      <c r="N1070" s="42">
        <v>1158078</v>
      </c>
      <c r="O1070" s="42"/>
      <c r="P1070" s="42">
        <v>81047</v>
      </c>
      <c r="Q1070" s="42">
        <v>238991</v>
      </c>
      <c r="R1070" s="42">
        <v>2245162</v>
      </c>
      <c r="S1070" s="5">
        <v>77752</v>
      </c>
      <c r="T1070" s="42">
        <v>496128</v>
      </c>
    </row>
    <row r="1071" spans="1:20" x14ac:dyDescent="0.3">
      <c r="A1071" s="7">
        <v>44596</v>
      </c>
      <c r="B1071" s="5"/>
      <c r="C1071" s="6">
        <v>194856</v>
      </c>
      <c r="D1071" s="6">
        <v>192937</v>
      </c>
      <c r="E1071" s="6">
        <v>147643</v>
      </c>
      <c r="F1071" s="14">
        <v>696474</v>
      </c>
      <c r="G1071" s="6">
        <v>195715</v>
      </c>
      <c r="H1071" s="6">
        <v>52822</v>
      </c>
      <c r="I1071" s="6">
        <v>41185</v>
      </c>
      <c r="J1071" s="6">
        <v>203594</v>
      </c>
      <c r="K1071" s="6">
        <v>508423</v>
      </c>
      <c r="L1071" s="6">
        <v>148581</v>
      </c>
      <c r="M1071" s="6">
        <v>2156755</v>
      </c>
      <c r="N1071" s="42">
        <v>1179148</v>
      </c>
      <c r="O1071" s="42"/>
      <c r="P1071" s="42">
        <v>80083</v>
      </c>
      <c r="Q1071" s="42">
        <v>241275</v>
      </c>
      <c r="R1071" s="42">
        <v>2274264</v>
      </c>
      <c r="S1071" s="5">
        <v>75823</v>
      </c>
      <c r="T1071" s="42">
        <v>492466</v>
      </c>
    </row>
    <row r="1072" spans="1:20" x14ac:dyDescent="0.3">
      <c r="A1072" s="7">
        <v>44595</v>
      </c>
      <c r="B1072" s="5"/>
      <c r="C1072" s="6">
        <v>192123</v>
      </c>
      <c r="D1072" s="6">
        <v>196683</v>
      </c>
      <c r="E1072" s="6">
        <v>145599</v>
      </c>
      <c r="F1072" s="14">
        <v>697997</v>
      </c>
      <c r="G1072" s="6">
        <v>195281</v>
      </c>
      <c r="H1072" s="6">
        <v>53058</v>
      </c>
      <c r="I1072" s="6">
        <v>41135</v>
      </c>
      <c r="J1072" s="6">
        <v>202890</v>
      </c>
      <c r="K1072" s="6">
        <v>509989</v>
      </c>
      <c r="L1072" s="6">
        <v>149733</v>
      </c>
      <c r="M1072" s="6">
        <v>2139943</v>
      </c>
      <c r="N1072" s="42">
        <v>1176569</v>
      </c>
      <c r="O1072" s="42"/>
      <c r="P1072" s="42">
        <v>82447</v>
      </c>
      <c r="Q1072" s="42">
        <v>240228</v>
      </c>
      <c r="R1072" s="42">
        <v>2282051</v>
      </c>
      <c r="S1072" s="5">
        <v>74805</v>
      </c>
      <c r="T1072" s="42">
        <v>483455</v>
      </c>
    </row>
    <row r="1073" spans="1:20" x14ac:dyDescent="0.3">
      <c r="A1073" s="7">
        <v>44594</v>
      </c>
      <c r="B1073" s="5"/>
      <c r="C1073" s="6">
        <v>192943</v>
      </c>
      <c r="D1073" s="6">
        <v>188158</v>
      </c>
      <c r="E1073" s="6">
        <v>145634</v>
      </c>
      <c r="F1073" s="14">
        <v>695813</v>
      </c>
      <c r="G1073" s="6">
        <v>196881</v>
      </c>
      <c r="H1073" s="6">
        <v>55054</v>
      </c>
      <c r="I1073" s="6">
        <v>40809</v>
      </c>
      <c r="J1073" s="6">
        <v>202007</v>
      </c>
      <c r="K1073" s="6">
        <v>512349</v>
      </c>
      <c r="L1073" s="6">
        <v>147667</v>
      </c>
      <c r="M1073" s="6">
        <v>2118240</v>
      </c>
      <c r="N1073" s="42">
        <v>1182657</v>
      </c>
      <c r="O1073" s="42"/>
      <c r="P1073" s="42">
        <v>86505</v>
      </c>
      <c r="Q1073" s="42">
        <v>238264</v>
      </c>
      <c r="R1073" s="42">
        <v>2271410</v>
      </c>
      <c r="S1073" s="5">
        <v>75705</v>
      </c>
      <c r="T1073" s="42">
        <v>477959</v>
      </c>
    </row>
    <row r="1074" spans="1:20" x14ac:dyDescent="0.3">
      <c r="A1074" s="7">
        <v>44593</v>
      </c>
      <c r="B1074" s="5"/>
      <c r="C1074" s="6">
        <v>196913</v>
      </c>
      <c r="D1074" s="6">
        <v>184007</v>
      </c>
      <c r="E1074" s="6">
        <v>145082</v>
      </c>
      <c r="F1074" s="14">
        <v>685431</v>
      </c>
      <c r="G1074" s="6">
        <v>194435</v>
      </c>
      <c r="H1074" s="6">
        <v>58467</v>
      </c>
      <c r="I1074" s="6">
        <v>41054</v>
      </c>
      <c r="J1074" s="6">
        <v>198437</v>
      </c>
      <c r="K1074" s="6">
        <v>515331</v>
      </c>
      <c r="L1074" s="6">
        <v>149136</v>
      </c>
      <c r="M1074" s="6">
        <v>2093735</v>
      </c>
      <c r="N1074" s="42">
        <v>1162813</v>
      </c>
      <c r="O1074" s="42"/>
      <c r="P1074" s="42">
        <v>87365</v>
      </c>
      <c r="Q1074" s="42">
        <v>239334</v>
      </c>
      <c r="R1074" s="42">
        <v>2283969</v>
      </c>
      <c r="S1074" s="5">
        <v>79840</v>
      </c>
      <c r="T1074" s="42">
        <v>482689</v>
      </c>
    </row>
    <row r="1075" spans="1:20" x14ac:dyDescent="0.3">
      <c r="A1075" s="7">
        <v>44592</v>
      </c>
      <c r="B1075" s="5"/>
      <c r="C1075" s="6">
        <v>197810</v>
      </c>
      <c r="D1075" s="6">
        <v>182046</v>
      </c>
      <c r="E1075" s="6">
        <v>144403</v>
      </c>
      <c r="F1075" s="14">
        <v>684616</v>
      </c>
      <c r="G1075" s="6">
        <v>197221</v>
      </c>
      <c r="H1075" s="6">
        <v>59132</v>
      </c>
      <c r="I1075" s="6">
        <v>44145</v>
      </c>
      <c r="J1075" s="6">
        <v>198851</v>
      </c>
      <c r="K1075" s="6">
        <v>522502</v>
      </c>
      <c r="L1075" s="6">
        <v>150633</v>
      </c>
      <c r="M1075" s="6">
        <v>2100097</v>
      </c>
      <c r="N1075" s="42">
        <v>1160988</v>
      </c>
      <c r="O1075" s="42"/>
      <c r="P1075" s="42">
        <v>87921</v>
      </c>
      <c r="Q1075" s="42">
        <v>244288</v>
      </c>
      <c r="R1075" s="42">
        <v>2330363</v>
      </c>
      <c r="S1075" s="5">
        <v>75498</v>
      </c>
      <c r="T1075" s="42">
        <v>483919</v>
      </c>
    </row>
    <row r="1076" spans="1:20" x14ac:dyDescent="0.3">
      <c r="A1076" s="7">
        <v>44589</v>
      </c>
      <c r="B1076" s="5"/>
      <c r="C1076" s="6">
        <v>195453</v>
      </c>
      <c r="D1076" s="6">
        <v>183687</v>
      </c>
      <c r="E1076" s="6">
        <v>141637</v>
      </c>
      <c r="F1076" s="14">
        <v>682269</v>
      </c>
      <c r="G1076" s="6">
        <v>198627</v>
      </c>
      <c r="H1076" s="6">
        <v>59103</v>
      </c>
      <c r="I1076" s="6">
        <v>46805</v>
      </c>
      <c r="J1076" s="6">
        <v>200508</v>
      </c>
      <c r="K1076" s="6">
        <v>527601</v>
      </c>
      <c r="L1076" s="6">
        <v>148277</v>
      </c>
      <c r="M1076" s="6">
        <v>2096885</v>
      </c>
      <c r="N1076" s="42">
        <v>1159112</v>
      </c>
      <c r="O1076" s="42"/>
      <c r="P1076" s="42">
        <v>88907</v>
      </c>
      <c r="Q1076" s="42">
        <v>246185</v>
      </c>
      <c r="R1076" s="42">
        <v>2386716</v>
      </c>
      <c r="S1076" s="5">
        <v>70828</v>
      </c>
      <c r="T1076" s="42">
        <v>481250</v>
      </c>
    </row>
    <row r="1077" spans="1:20" x14ac:dyDescent="0.3">
      <c r="A1077" s="7">
        <v>44588</v>
      </c>
      <c r="B1077" s="5"/>
      <c r="C1077" s="6">
        <v>194745</v>
      </c>
      <c r="D1077" s="6">
        <v>183004</v>
      </c>
      <c r="E1077" s="6">
        <v>143348</v>
      </c>
      <c r="F1077" s="14">
        <v>690137</v>
      </c>
      <c r="G1077" s="6">
        <v>199395</v>
      </c>
      <c r="H1077" s="6">
        <v>55708</v>
      </c>
      <c r="I1077" s="6">
        <v>46936</v>
      </c>
      <c r="J1077" s="6">
        <v>205868</v>
      </c>
      <c r="K1077" s="6">
        <v>541720</v>
      </c>
      <c r="L1077" s="6">
        <v>149689</v>
      </c>
      <c r="M1077" s="6">
        <v>2108660</v>
      </c>
      <c r="N1077" s="42">
        <v>1153435</v>
      </c>
      <c r="O1077" s="42"/>
      <c r="P1077" s="42">
        <v>89933</v>
      </c>
      <c r="Q1077" s="42">
        <v>241867</v>
      </c>
      <c r="R1077" s="42">
        <v>2385204</v>
      </c>
      <c r="S1077" s="5">
        <v>75267</v>
      </c>
      <c r="T1077" s="42">
        <v>478200</v>
      </c>
    </row>
    <row r="1078" spans="1:20" x14ac:dyDescent="0.3">
      <c r="A1078" s="7">
        <v>44587</v>
      </c>
      <c r="B1078" s="5"/>
      <c r="C1078" s="6">
        <v>190539</v>
      </c>
      <c r="D1078" s="6">
        <v>178664</v>
      </c>
      <c r="E1078" s="6">
        <v>145353</v>
      </c>
      <c r="F1078" s="14">
        <v>682777</v>
      </c>
      <c r="G1078" s="6">
        <v>196953</v>
      </c>
      <c r="H1078" s="6">
        <v>53571</v>
      </c>
      <c r="I1078" s="6">
        <v>40959</v>
      </c>
      <c r="J1078" s="6">
        <v>206222</v>
      </c>
      <c r="K1078" s="6">
        <v>553207</v>
      </c>
      <c r="L1078" s="6">
        <v>151871</v>
      </c>
      <c r="M1078" s="6">
        <v>2114988</v>
      </c>
      <c r="N1078" s="42">
        <v>1132405</v>
      </c>
      <c r="O1078" s="42"/>
      <c r="P1078" s="42">
        <v>91576</v>
      </c>
      <c r="Q1078" s="42">
        <v>244094</v>
      </c>
      <c r="R1078" s="42">
        <v>2393625</v>
      </c>
      <c r="S1078" s="5">
        <v>76744</v>
      </c>
      <c r="T1078" s="42">
        <v>478727</v>
      </c>
    </row>
    <row r="1079" spans="1:20" x14ac:dyDescent="0.3">
      <c r="A1079" s="7">
        <v>44586</v>
      </c>
      <c r="B1079" s="5"/>
      <c r="C1079" s="6">
        <v>190020</v>
      </c>
      <c r="D1079" s="6">
        <v>182040</v>
      </c>
      <c r="E1079" s="6">
        <v>146448</v>
      </c>
      <c r="F1079" s="14">
        <v>682952</v>
      </c>
      <c r="G1079" s="6">
        <v>197830</v>
      </c>
      <c r="H1079" s="6">
        <v>53316</v>
      </c>
      <c r="I1079" s="6">
        <v>39742</v>
      </c>
      <c r="J1079" s="6">
        <v>205771</v>
      </c>
      <c r="K1079" s="6">
        <v>572078</v>
      </c>
      <c r="L1079" s="6">
        <v>151779</v>
      </c>
      <c r="M1079" s="6">
        <v>2095994</v>
      </c>
      <c r="N1079" s="42">
        <v>1141796</v>
      </c>
      <c r="O1079" s="42"/>
      <c r="P1079" s="42">
        <v>92635</v>
      </c>
      <c r="Q1079" s="42">
        <v>243347</v>
      </c>
      <c r="R1079" s="42">
        <v>2378857</v>
      </c>
      <c r="S1079" s="5">
        <v>78483</v>
      </c>
      <c r="T1079" s="42">
        <v>481928</v>
      </c>
    </row>
    <row r="1080" spans="1:20" x14ac:dyDescent="0.3">
      <c r="A1080" s="7">
        <v>44585</v>
      </c>
      <c r="B1080" s="5"/>
      <c r="C1080" s="6">
        <v>189489</v>
      </c>
      <c r="D1080" s="6">
        <v>184461</v>
      </c>
      <c r="E1080" s="6">
        <v>144337</v>
      </c>
      <c r="F1080" s="14">
        <v>687419</v>
      </c>
      <c r="G1080" s="6">
        <v>198371</v>
      </c>
      <c r="H1080" s="6">
        <v>51064</v>
      </c>
      <c r="I1080" s="6">
        <v>39427</v>
      </c>
      <c r="J1080" s="6">
        <v>206925</v>
      </c>
      <c r="K1080" s="6">
        <v>557626</v>
      </c>
      <c r="L1080" s="6">
        <v>148932</v>
      </c>
      <c r="M1080" s="6">
        <v>2070565</v>
      </c>
      <c r="N1080" s="42">
        <v>1152972</v>
      </c>
      <c r="O1080" s="42"/>
      <c r="P1080" s="42">
        <v>92765</v>
      </c>
      <c r="Q1080" s="42">
        <v>243091</v>
      </c>
      <c r="R1080" s="42">
        <v>2408117</v>
      </c>
      <c r="S1080" s="5">
        <v>77669</v>
      </c>
      <c r="T1080" s="42">
        <v>476136</v>
      </c>
    </row>
    <row r="1081" spans="1:20" x14ac:dyDescent="0.3">
      <c r="A1081" s="7">
        <v>44582</v>
      </c>
      <c r="B1081" s="5"/>
      <c r="C1081" s="6">
        <v>186692</v>
      </c>
      <c r="D1081" s="6">
        <v>182348</v>
      </c>
      <c r="E1081" s="6">
        <v>145208</v>
      </c>
      <c r="F1081" s="14">
        <v>692804</v>
      </c>
      <c r="G1081" s="6">
        <v>193254</v>
      </c>
      <c r="H1081" s="6">
        <v>49446</v>
      </c>
      <c r="I1081" s="6">
        <v>41972</v>
      </c>
      <c r="J1081" s="6">
        <v>212249</v>
      </c>
      <c r="K1081" s="6">
        <v>553896</v>
      </c>
      <c r="L1081" s="6">
        <v>151998</v>
      </c>
      <c r="M1081" s="6">
        <v>2064021</v>
      </c>
      <c r="N1081" s="42">
        <v>1155622</v>
      </c>
      <c r="O1081" s="42"/>
      <c r="P1081" s="42">
        <v>92926</v>
      </c>
      <c r="Q1081" s="42">
        <v>245095</v>
      </c>
      <c r="R1081" s="42">
        <v>2387062</v>
      </c>
      <c r="S1081" s="5">
        <v>77004</v>
      </c>
      <c r="T1081" s="42">
        <v>480825</v>
      </c>
    </row>
    <row r="1082" spans="1:20" x14ac:dyDescent="0.3">
      <c r="A1082" s="7">
        <v>44581</v>
      </c>
      <c r="B1082" s="5"/>
      <c r="C1082" s="6">
        <v>187300</v>
      </c>
      <c r="D1082" s="6">
        <v>183413</v>
      </c>
      <c r="E1082" s="6">
        <v>147936</v>
      </c>
      <c r="F1082" s="14">
        <v>695964</v>
      </c>
      <c r="G1082" s="6">
        <v>195760</v>
      </c>
      <c r="H1082" s="6">
        <v>43301</v>
      </c>
      <c r="I1082" s="6">
        <v>40542</v>
      </c>
      <c r="J1082" s="6">
        <v>211242</v>
      </c>
      <c r="K1082" s="6">
        <v>559048</v>
      </c>
      <c r="L1082" s="6">
        <v>152479</v>
      </c>
      <c r="M1082" s="6">
        <v>2066857</v>
      </c>
      <c r="N1082" s="42">
        <v>1157900</v>
      </c>
      <c r="O1082" s="42"/>
      <c r="P1082" s="42">
        <v>93464</v>
      </c>
      <c r="Q1082" s="42">
        <v>241183</v>
      </c>
      <c r="R1082" s="42">
        <v>2360714</v>
      </c>
      <c r="S1082" s="5">
        <v>82673</v>
      </c>
      <c r="T1082" s="42">
        <v>476345</v>
      </c>
    </row>
    <row r="1083" spans="1:20" x14ac:dyDescent="0.3">
      <c r="A1083" s="7">
        <v>44580</v>
      </c>
      <c r="B1083" s="5"/>
      <c r="C1083" s="6">
        <v>184187</v>
      </c>
      <c r="D1083" s="6">
        <v>185726</v>
      </c>
      <c r="E1083" s="6">
        <v>143986</v>
      </c>
      <c r="F1083" s="14">
        <v>692300</v>
      </c>
      <c r="G1083" s="6">
        <v>200759</v>
      </c>
      <c r="H1083" s="6">
        <v>43823</v>
      </c>
      <c r="I1083" s="6">
        <v>41050</v>
      </c>
      <c r="J1083" s="6">
        <v>205364</v>
      </c>
      <c r="K1083" s="6">
        <v>552606</v>
      </c>
      <c r="L1083" s="6">
        <v>150792</v>
      </c>
      <c r="M1083" s="6">
        <v>2050310</v>
      </c>
      <c r="N1083" s="42">
        <v>1163646</v>
      </c>
      <c r="O1083" s="42"/>
      <c r="P1083" s="42">
        <v>94228</v>
      </c>
      <c r="Q1083" s="42">
        <v>234967</v>
      </c>
      <c r="R1083" s="42">
        <v>2337163</v>
      </c>
      <c r="S1083" s="5">
        <v>91829</v>
      </c>
      <c r="T1083" s="42">
        <v>467640</v>
      </c>
    </row>
    <row r="1084" spans="1:20" x14ac:dyDescent="0.3">
      <c r="A1084" s="7">
        <v>44579</v>
      </c>
      <c r="B1084" s="5"/>
      <c r="C1084" s="6">
        <v>181311</v>
      </c>
      <c r="D1084" s="6">
        <v>184614</v>
      </c>
      <c r="E1084" s="6">
        <v>143371</v>
      </c>
      <c r="F1084" s="14">
        <v>694168</v>
      </c>
      <c r="G1084" s="6">
        <v>203328</v>
      </c>
      <c r="H1084" s="6">
        <v>44727</v>
      </c>
      <c r="I1084" s="6">
        <v>39871</v>
      </c>
      <c r="J1084" s="6">
        <v>203198</v>
      </c>
      <c r="K1084" s="6">
        <v>539204</v>
      </c>
      <c r="L1084" s="6">
        <v>148737</v>
      </c>
      <c r="M1084" s="6">
        <v>2059564</v>
      </c>
      <c r="N1084" s="42">
        <v>1169188</v>
      </c>
      <c r="O1084" s="42"/>
      <c r="P1084" s="42">
        <v>94701</v>
      </c>
      <c r="Q1084" s="42">
        <v>235810</v>
      </c>
      <c r="R1084" s="42">
        <v>2309982</v>
      </c>
      <c r="S1084" s="5">
        <v>81480</v>
      </c>
      <c r="T1084" s="42">
        <v>462519</v>
      </c>
    </row>
    <row r="1085" spans="1:20" x14ac:dyDescent="0.3">
      <c r="A1085" s="7">
        <v>44575</v>
      </c>
      <c r="B1085" s="5"/>
      <c r="C1085" s="6">
        <v>177936</v>
      </c>
      <c r="D1085" s="6">
        <v>185859</v>
      </c>
      <c r="E1085" s="6">
        <v>146500</v>
      </c>
      <c r="F1085" s="14">
        <v>691449</v>
      </c>
      <c r="G1085" s="6">
        <v>207507</v>
      </c>
      <c r="H1085" s="6">
        <v>43860</v>
      </c>
      <c r="I1085" s="6">
        <v>41721</v>
      </c>
      <c r="J1085" s="6">
        <v>203227</v>
      </c>
      <c r="K1085" s="6">
        <v>536051</v>
      </c>
      <c r="L1085" s="6">
        <v>145727</v>
      </c>
      <c r="M1085" s="6">
        <v>2046200</v>
      </c>
      <c r="N1085" s="42">
        <v>1166898</v>
      </c>
      <c r="O1085" s="42"/>
      <c r="P1085" s="42">
        <v>92315</v>
      </c>
      <c r="Q1085" s="42">
        <v>231941</v>
      </c>
      <c r="R1085" s="42">
        <v>2287231</v>
      </c>
      <c r="S1085" s="5">
        <v>73026</v>
      </c>
      <c r="T1085" s="42">
        <v>459580</v>
      </c>
    </row>
    <row r="1086" spans="1:20" x14ac:dyDescent="0.3">
      <c r="A1086" s="7">
        <v>44574</v>
      </c>
      <c r="B1086" s="5"/>
      <c r="C1086" s="6">
        <v>180846</v>
      </c>
      <c r="D1086" s="6">
        <v>190759</v>
      </c>
      <c r="E1086" s="6">
        <v>148384</v>
      </c>
      <c r="F1086" s="14">
        <v>696052</v>
      </c>
      <c r="G1086" s="6">
        <v>211626</v>
      </c>
      <c r="H1086" s="6">
        <v>44204</v>
      </c>
      <c r="I1086" s="6">
        <v>41579</v>
      </c>
      <c r="J1086" s="6">
        <v>205391</v>
      </c>
      <c r="K1086" s="6">
        <v>531871</v>
      </c>
      <c r="L1086" s="6">
        <v>146876</v>
      </c>
      <c r="M1086" s="6">
        <v>2014573</v>
      </c>
      <c r="N1086" s="42">
        <v>1161088</v>
      </c>
      <c r="O1086" s="42"/>
      <c r="P1086" s="42">
        <v>94521</v>
      </c>
      <c r="Q1086" s="42">
        <v>226549</v>
      </c>
      <c r="R1086" s="42">
        <v>2287155</v>
      </c>
      <c r="S1086" s="5">
        <v>74524</v>
      </c>
      <c r="T1086" s="42">
        <v>457531</v>
      </c>
    </row>
    <row r="1087" spans="1:20" x14ac:dyDescent="0.3">
      <c r="A1087" s="7">
        <v>44573</v>
      </c>
      <c r="B1087" s="5"/>
      <c r="C1087" s="6">
        <v>182612</v>
      </c>
      <c r="D1087" s="6">
        <v>194514</v>
      </c>
      <c r="E1087" s="6">
        <v>142642</v>
      </c>
      <c r="F1087" s="14">
        <v>696692</v>
      </c>
      <c r="G1087" s="6">
        <v>220439</v>
      </c>
      <c r="H1087" s="6">
        <v>45046</v>
      </c>
      <c r="I1087" s="6">
        <v>39846</v>
      </c>
      <c r="J1087" s="6">
        <v>200840</v>
      </c>
      <c r="K1087" s="6">
        <v>547111</v>
      </c>
      <c r="L1087" s="6">
        <v>146144</v>
      </c>
      <c r="M1087" s="6">
        <v>1987415</v>
      </c>
      <c r="N1087" s="42">
        <v>1171493</v>
      </c>
      <c r="O1087" s="42"/>
      <c r="P1087" s="42">
        <v>93398</v>
      </c>
      <c r="Q1087" s="42">
        <v>218129</v>
      </c>
      <c r="R1087" s="42">
        <v>2269252</v>
      </c>
      <c r="S1087" s="5">
        <v>75173</v>
      </c>
      <c r="T1087" s="42">
        <v>457276</v>
      </c>
    </row>
    <row r="1088" spans="1:20" x14ac:dyDescent="0.3">
      <c r="A1088" s="7">
        <v>44572</v>
      </c>
      <c r="B1088" s="5"/>
      <c r="C1088" s="6">
        <v>185453</v>
      </c>
      <c r="D1088" s="6">
        <v>200493</v>
      </c>
      <c r="E1088" s="6">
        <v>138571</v>
      </c>
      <c r="F1088" s="14">
        <v>682293</v>
      </c>
      <c r="G1088" s="6">
        <v>234005</v>
      </c>
      <c r="H1088" s="6">
        <v>42066</v>
      </c>
      <c r="I1088" s="6">
        <v>42713</v>
      </c>
      <c r="J1088" s="6">
        <v>189678</v>
      </c>
      <c r="K1088" s="6">
        <v>546516</v>
      </c>
      <c r="L1088" s="6">
        <v>144442</v>
      </c>
      <c r="M1088" s="6">
        <v>1966615</v>
      </c>
      <c r="N1088" s="42">
        <v>1136714</v>
      </c>
      <c r="O1088" s="42"/>
      <c r="P1088" s="42">
        <v>93134</v>
      </c>
      <c r="Q1088" s="42">
        <v>220222</v>
      </c>
      <c r="R1088" s="42">
        <v>2283672</v>
      </c>
      <c r="S1088" s="5">
        <v>64879</v>
      </c>
      <c r="T1088" s="42">
        <v>459716</v>
      </c>
    </row>
    <row r="1089" spans="1:20" x14ac:dyDescent="0.3">
      <c r="A1089" s="7">
        <v>44571</v>
      </c>
      <c r="B1089" s="5"/>
      <c r="C1089" s="6">
        <v>186851</v>
      </c>
      <c r="D1089" s="6">
        <v>196539</v>
      </c>
      <c r="E1089" s="6">
        <v>135080</v>
      </c>
      <c r="F1089" s="14">
        <v>678269</v>
      </c>
      <c r="G1089" s="6">
        <v>232940</v>
      </c>
      <c r="H1089" s="6">
        <v>42213</v>
      </c>
      <c r="I1089" s="6">
        <v>43866</v>
      </c>
      <c r="J1089" s="6">
        <v>189016</v>
      </c>
      <c r="K1089" s="6">
        <v>526222</v>
      </c>
      <c r="L1089" s="6">
        <v>142517</v>
      </c>
      <c r="M1089" s="6">
        <v>1931291</v>
      </c>
      <c r="N1089" s="42">
        <v>1130693</v>
      </c>
      <c r="O1089" s="42"/>
      <c r="P1089" s="42">
        <v>97742</v>
      </c>
      <c r="Q1089" s="42">
        <v>223791</v>
      </c>
      <c r="R1089" s="42">
        <v>2306955</v>
      </c>
      <c r="S1089" s="5">
        <v>70425</v>
      </c>
      <c r="T1089" s="42">
        <v>464413</v>
      </c>
    </row>
    <row r="1090" spans="1:20" x14ac:dyDescent="0.3">
      <c r="A1090" s="7">
        <v>44568</v>
      </c>
      <c r="B1090" s="5"/>
      <c r="C1090" s="6">
        <v>184045</v>
      </c>
      <c r="D1090" s="6">
        <v>197783</v>
      </c>
      <c r="E1090" s="6">
        <v>135309</v>
      </c>
      <c r="F1090" s="14">
        <v>681595</v>
      </c>
      <c r="G1090" s="6">
        <v>235997</v>
      </c>
      <c r="H1090" s="6">
        <v>42109</v>
      </c>
      <c r="I1090" s="6">
        <v>42048</v>
      </c>
      <c r="J1090" s="6">
        <v>188451</v>
      </c>
      <c r="K1090" s="6">
        <v>517581</v>
      </c>
      <c r="L1090" s="6">
        <v>141936</v>
      </c>
      <c r="M1090" s="6">
        <v>1918425</v>
      </c>
      <c r="N1090" s="42">
        <v>1129628</v>
      </c>
      <c r="O1090" s="42"/>
      <c r="P1090" s="42">
        <v>95716</v>
      </c>
      <c r="Q1090" s="42">
        <v>218874</v>
      </c>
      <c r="R1090" s="42">
        <v>2308284</v>
      </c>
      <c r="S1090" s="5">
        <v>69718</v>
      </c>
      <c r="T1090" s="42">
        <v>459904</v>
      </c>
    </row>
    <row r="1091" spans="1:20" x14ac:dyDescent="0.3">
      <c r="A1091" s="7">
        <v>44567</v>
      </c>
      <c r="B1091" s="5"/>
      <c r="C1091" s="6">
        <v>184749</v>
      </c>
      <c r="D1091" s="6">
        <v>197718</v>
      </c>
      <c r="E1091" s="6">
        <v>135781</v>
      </c>
      <c r="F1091" s="14">
        <v>679890</v>
      </c>
      <c r="G1091" s="6">
        <v>236555</v>
      </c>
      <c r="H1091" s="6">
        <v>41889</v>
      </c>
      <c r="I1091" s="6">
        <v>42258</v>
      </c>
      <c r="J1091" s="6">
        <v>187347</v>
      </c>
      <c r="K1091" s="6">
        <v>517853</v>
      </c>
      <c r="L1091" s="6">
        <v>140333</v>
      </c>
      <c r="M1091" s="6">
        <v>1913391</v>
      </c>
      <c r="N1091" s="42">
        <v>1125722</v>
      </c>
      <c r="O1091" s="42"/>
      <c r="P1091" s="42">
        <v>96793</v>
      </c>
      <c r="Q1091" s="42">
        <v>221317</v>
      </c>
      <c r="R1091" s="42">
        <v>2303685</v>
      </c>
      <c r="S1091" s="5">
        <v>70047</v>
      </c>
      <c r="T1091" s="42">
        <v>465247</v>
      </c>
    </row>
    <row r="1092" spans="1:20" x14ac:dyDescent="0.3">
      <c r="A1092" s="7">
        <v>44566</v>
      </c>
      <c r="B1092" s="5"/>
      <c r="C1092" s="6">
        <v>183914</v>
      </c>
      <c r="D1092" s="6">
        <v>198901</v>
      </c>
      <c r="E1092" s="6">
        <v>138869</v>
      </c>
      <c r="F1092" s="14">
        <v>677668</v>
      </c>
      <c r="G1092" s="6">
        <v>232394</v>
      </c>
      <c r="H1092" s="6">
        <v>41310</v>
      </c>
      <c r="I1092" s="6">
        <v>41576</v>
      </c>
      <c r="J1092" s="6">
        <v>189048</v>
      </c>
      <c r="K1092" s="6">
        <v>510855</v>
      </c>
      <c r="L1092" s="6">
        <v>140143</v>
      </c>
      <c r="M1092" s="6">
        <v>1901975</v>
      </c>
      <c r="N1092" s="42">
        <v>1127016</v>
      </c>
      <c r="O1092" s="42"/>
      <c r="P1092" s="42">
        <v>99295</v>
      </c>
      <c r="Q1092" s="42">
        <v>219888</v>
      </c>
      <c r="R1092" s="42">
        <v>2307345</v>
      </c>
      <c r="S1092" s="5">
        <v>72576</v>
      </c>
      <c r="T1092" s="42">
        <v>455202</v>
      </c>
    </row>
    <row r="1093" spans="1:20" x14ac:dyDescent="0.3">
      <c r="A1093" s="7">
        <v>44565</v>
      </c>
      <c r="B1093" s="5"/>
      <c r="C1093" s="6">
        <v>180107</v>
      </c>
      <c r="D1093" s="6">
        <v>200007</v>
      </c>
      <c r="E1093" s="6">
        <v>135633</v>
      </c>
      <c r="F1093" s="14">
        <v>678218</v>
      </c>
      <c r="G1093" s="6">
        <v>234068</v>
      </c>
      <c r="H1093" s="6">
        <v>40302</v>
      </c>
      <c r="I1093" s="6">
        <v>42251</v>
      </c>
      <c r="J1093" s="6">
        <v>185905</v>
      </c>
      <c r="K1093" s="6">
        <v>502717</v>
      </c>
      <c r="L1093" s="6">
        <v>139521</v>
      </c>
      <c r="M1093" s="6">
        <v>1887131</v>
      </c>
      <c r="N1093" s="42">
        <v>1117606</v>
      </c>
      <c r="O1093" s="42"/>
      <c r="P1093" s="42">
        <v>101757</v>
      </c>
      <c r="Q1093" s="42">
        <v>210931</v>
      </c>
      <c r="R1093" s="42">
        <v>2297290</v>
      </c>
      <c r="S1093" s="5">
        <v>73208</v>
      </c>
      <c r="T1093" s="42">
        <v>456206</v>
      </c>
    </row>
    <row r="1094" spans="1:20" x14ac:dyDescent="0.3">
      <c r="A1094" s="7">
        <v>44564</v>
      </c>
      <c r="B1094" s="5"/>
      <c r="C1094" s="6">
        <v>182120</v>
      </c>
      <c r="D1094" s="6">
        <v>198353</v>
      </c>
      <c r="E1094" s="6">
        <v>139437</v>
      </c>
      <c r="F1094" s="14">
        <v>685176</v>
      </c>
      <c r="G1094" s="6">
        <v>218804</v>
      </c>
      <c r="H1094" s="6">
        <v>40827</v>
      </c>
      <c r="I1094" s="6">
        <v>43285</v>
      </c>
      <c r="J1094" s="6">
        <v>182247</v>
      </c>
      <c r="K1094" s="6">
        <v>507899</v>
      </c>
      <c r="L1094" s="6">
        <v>138995</v>
      </c>
      <c r="M1094" s="6">
        <v>1886114</v>
      </c>
      <c r="N1094" s="42">
        <v>1109158</v>
      </c>
      <c r="O1094" s="42"/>
      <c r="P1094" s="42">
        <v>97667</v>
      </c>
      <c r="Q1094" s="42">
        <v>210488</v>
      </c>
      <c r="R1094" s="42">
        <v>2293794</v>
      </c>
      <c r="S1094" s="5">
        <v>72319</v>
      </c>
      <c r="T1094" s="42">
        <v>461767</v>
      </c>
    </row>
    <row r="1095" spans="1:20" x14ac:dyDescent="0.3">
      <c r="A1095" s="7">
        <v>44561</v>
      </c>
      <c r="B1095" s="5"/>
      <c r="C1095" s="6">
        <v>179249</v>
      </c>
      <c r="D1095" s="6">
        <v>202002</v>
      </c>
      <c r="E1095" s="6">
        <v>138737</v>
      </c>
      <c r="F1095" s="14">
        <v>686562</v>
      </c>
      <c r="G1095" s="6">
        <v>211534</v>
      </c>
      <c r="H1095" s="6">
        <v>40495</v>
      </c>
      <c r="I1095" s="6">
        <v>41411</v>
      </c>
      <c r="J1095" s="6">
        <v>181604</v>
      </c>
      <c r="K1095" s="6">
        <v>512591</v>
      </c>
      <c r="L1095" s="6">
        <v>140153</v>
      </c>
      <c r="M1095" s="6">
        <v>1866914</v>
      </c>
      <c r="N1095" s="42">
        <v>1108463</v>
      </c>
      <c r="O1095" s="42"/>
      <c r="P1095" s="42">
        <v>98932</v>
      </c>
      <c r="Q1095" s="42">
        <v>208988</v>
      </c>
      <c r="R1095" s="42">
        <v>2301346</v>
      </c>
      <c r="S1095" s="5">
        <v>75590</v>
      </c>
      <c r="T1095" s="42">
        <v>462518</v>
      </c>
    </row>
    <row r="1096" spans="1:20" x14ac:dyDescent="0.3">
      <c r="A1096" s="7">
        <v>44560</v>
      </c>
      <c r="B1096" s="5"/>
      <c r="C1096" s="6">
        <v>180780</v>
      </c>
      <c r="D1096" s="6">
        <v>207495</v>
      </c>
      <c r="E1096" s="6">
        <v>140168</v>
      </c>
      <c r="F1096" s="14">
        <v>685273</v>
      </c>
      <c r="G1096" s="6">
        <v>211129</v>
      </c>
      <c r="H1096" s="6">
        <v>40313</v>
      </c>
      <c r="I1096" s="6">
        <v>42173</v>
      </c>
      <c r="J1096" s="6">
        <v>181089</v>
      </c>
      <c r="K1096" s="6">
        <v>508368</v>
      </c>
      <c r="L1096" s="6">
        <v>140457</v>
      </c>
      <c r="M1096" s="6">
        <v>1867467</v>
      </c>
      <c r="N1096" s="42">
        <v>1109693</v>
      </c>
      <c r="O1096" s="42"/>
      <c r="P1096" s="42">
        <v>98964</v>
      </c>
      <c r="Q1096" s="42">
        <v>207911</v>
      </c>
      <c r="R1096" s="42">
        <v>2301100</v>
      </c>
      <c r="S1096" s="5">
        <v>70941</v>
      </c>
      <c r="T1096" s="42">
        <v>462227</v>
      </c>
    </row>
    <row r="1097" spans="1:20" x14ac:dyDescent="0.3">
      <c r="A1097" s="7">
        <v>44559</v>
      </c>
      <c r="B1097" s="5"/>
      <c r="C1097" s="6">
        <v>182939</v>
      </c>
      <c r="D1097" s="6">
        <v>206122</v>
      </c>
      <c r="E1097" s="6">
        <v>139171</v>
      </c>
      <c r="F1097" s="14">
        <v>686877</v>
      </c>
      <c r="G1097" s="6">
        <v>205499</v>
      </c>
      <c r="H1097" s="6">
        <v>40457</v>
      </c>
      <c r="I1097" s="6">
        <v>43046</v>
      </c>
      <c r="J1097" s="6">
        <v>179856</v>
      </c>
      <c r="K1097" s="6">
        <v>505148</v>
      </c>
      <c r="L1097" s="6">
        <v>140027</v>
      </c>
      <c r="M1097" s="6">
        <v>1870772</v>
      </c>
      <c r="N1097" s="42">
        <v>1104958</v>
      </c>
      <c r="O1097" s="42"/>
      <c r="P1097" s="42">
        <v>101033</v>
      </c>
      <c r="Q1097" s="42">
        <v>210538</v>
      </c>
      <c r="R1097" s="42">
        <v>2296563</v>
      </c>
      <c r="S1097" s="5">
        <v>68470</v>
      </c>
      <c r="T1097" s="42">
        <v>461815</v>
      </c>
    </row>
    <row r="1098" spans="1:20" x14ac:dyDescent="0.3">
      <c r="A1098" s="7">
        <v>44558</v>
      </c>
      <c r="B1098" s="5"/>
      <c r="C1098" s="6">
        <v>183152</v>
      </c>
      <c r="D1098" s="6">
        <v>205378</v>
      </c>
      <c r="E1098" s="6">
        <v>138692</v>
      </c>
      <c r="F1098" s="14">
        <v>673273</v>
      </c>
      <c r="G1098" s="6">
        <v>203814</v>
      </c>
      <c r="H1098" s="6">
        <v>41862</v>
      </c>
      <c r="I1098" s="6">
        <v>40122</v>
      </c>
      <c r="J1098" s="6">
        <v>180736</v>
      </c>
      <c r="K1098" s="6">
        <v>508912</v>
      </c>
      <c r="L1098" s="6">
        <v>141246</v>
      </c>
      <c r="M1098" s="6">
        <v>1867339</v>
      </c>
      <c r="N1098" s="42">
        <v>1110532</v>
      </c>
      <c r="O1098" s="42"/>
      <c r="P1098" s="42">
        <v>96749</v>
      </c>
      <c r="Q1098" s="42">
        <v>211097</v>
      </c>
      <c r="R1098" s="42">
        <v>2287852</v>
      </c>
      <c r="S1098" s="5">
        <v>66111</v>
      </c>
      <c r="T1098" s="42">
        <v>461031</v>
      </c>
    </row>
    <row r="1099" spans="1:20" x14ac:dyDescent="0.3">
      <c r="A1099" s="7">
        <v>44557</v>
      </c>
      <c r="B1099" s="5"/>
      <c r="C1099" s="6">
        <v>183106</v>
      </c>
      <c r="D1099" s="6">
        <v>208372</v>
      </c>
      <c r="E1099" s="6">
        <v>139975</v>
      </c>
      <c r="F1099" s="14">
        <v>671774</v>
      </c>
      <c r="G1099" s="6">
        <v>201517</v>
      </c>
      <c r="H1099" s="6">
        <v>41042</v>
      </c>
      <c r="I1099" s="6">
        <v>40351</v>
      </c>
      <c r="J1099" s="6">
        <v>176471</v>
      </c>
      <c r="K1099" s="6">
        <v>506541</v>
      </c>
      <c r="L1099" s="6">
        <v>141382</v>
      </c>
      <c r="M1099" s="6">
        <v>1860776</v>
      </c>
      <c r="N1099" s="42">
        <v>1118318</v>
      </c>
      <c r="O1099" s="42"/>
      <c r="P1099" s="42">
        <v>94931</v>
      </c>
      <c r="Q1099" s="42">
        <v>208626</v>
      </c>
      <c r="R1099" s="42">
        <v>2273124</v>
      </c>
      <c r="S1099" s="5">
        <v>53116</v>
      </c>
      <c r="T1099" s="42">
        <v>461067</v>
      </c>
    </row>
    <row r="1100" spans="1:20" x14ac:dyDescent="0.3">
      <c r="A1100" s="7">
        <v>44553</v>
      </c>
      <c r="B1100" s="5"/>
      <c r="C1100" s="6">
        <v>187028</v>
      </c>
      <c r="D1100" s="6">
        <v>207596</v>
      </c>
      <c r="E1100" s="6">
        <v>141543</v>
      </c>
      <c r="F1100" s="14">
        <v>674505</v>
      </c>
      <c r="G1100" s="6">
        <v>188493</v>
      </c>
      <c r="H1100" s="6">
        <v>40388</v>
      </c>
      <c r="I1100" s="6">
        <v>40851</v>
      </c>
      <c r="J1100" s="6">
        <v>173666</v>
      </c>
      <c r="K1100" s="6">
        <v>506258</v>
      </c>
      <c r="L1100" s="6">
        <v>140834</v>
      </c>
      <c r="M1100" s="6">
        <v>1876913</v>
      </c>
      <c r="N1100" s="42">
        <v>1125799</v>
      </c>
      <c r="O1100" s="42"/>
      <c r="P1100" s="42">
        <v>92880</v>
      </c>
      <c r="Q1100" s="42">
        <v>205253</v>
      </c>
      <c r="R1100" s="42">
        <v>2256990</v>
      </c>
      <c r="S1100" s="5">
        <v>61004</v>
      </c>
      <c r="T1100" s="42">
        <v>461490</v>
      </c>
    </row>
    <row r="1101" spans="1:20" x14ac:dyDescent="0.3">
      <c r="A1101" s="7">
        <v>44552</v>
      </c>
      <c r="B1101" s="5"/>
      <c r="C1101" s="6">
        <v>192898</v>
      </c>
      <c r="D1101" s="6">
        <v>205086</v>
      </c>
      <c r="E1101" s="6">
        <v>142813</v>
      </c>
      <c r="F1101" s="14">
        <v>680202</v>
      </c>
      <c r="G1101" s="6">
        <v>186441</v>
      </c>
      <c r="H1101" s="6">
        <v>39683</v>
      </c>
      <c r="I1101" s="6">
        <v>40678</v>
      </c>
      <c r="J1101" s="6">
        <v>172814</v>
      </c>
      <c r="K1101" s="6">
        <v>502604</v>
      </c>
      <c r="L1101" s="6">
        <v>140988</v>
      </c>
      <c r="M1101" s="6">
        <v>1876749</v>
      </c>
      <c r="N1101" s="42">
        <v>1133041</v>
      </c>
      <c r="O1101" s="42"/>
      <c r="P1101" s="42">
        <v>92207</v>
      </c>
      <c r="Q1101" s="42">
        <v>207081</v>
      </c>
      <c r="R1101" s="42">
        <v>2258119</v>
      </c>
      <c r="S1101" s="5">
        <v>62474</v>
      </c>
      <c r="T1101" s="42">
        <v>460227</v>
      </c>
    </row>
    <row r="1102" spans="1:20" x14ac:dyDescent="0.3">
      <c r="A1102" s="7">
        <v>44551</v>
      </c>
      <c r="B1102" s="5"/>
      <c r="C1102" s="6">
        <v>191309</v>
      </c>
      <c r="D1102" s="6">
        <v>207747</v>
      </c>
      <c r="E1102" s="6">
        <v>145562</v>
      </c>
      <c r="F1102" s="14">
        <v>672239</v>
      </c>
      <c r="G1102" s="6">
        <v>183743</v>
      </c>
      <c r="H1102" s="6">
        <v>41354</v>
      </c>
      <c r="I1102" s="6">
        <v>40920</v>
      </c>
      <c r="J1102" s="6">
        <v>170353</v>
      </c>
      <c r="K1102" s="6">
        <v>500846</v>
      </c>
      <c r="L1102" s="6">
        <v>141119</v>
      </c>
      <c r="M1102" s="6">
        <v>1892701</v>
      </c>
      <c r="N1102" s="42">
        <v>1142729</v>
      </c>
      <c r="O1102" s="42"/>
      <c r="P1102" s="42">
        <v>91384</v>
      </c>
      <c r="Q1102" s="42">
        <v>208070</v>
      </c>
      <c r="R1102" s="42">
        <v>2262123</v>
      </c>
      <c r="S1102" s="5">
        <v>61747</v>
      </c>
      <c r="T1102" s="42">
        <v>469667</v>
      </c>
    </row>
    <row r="1103" spans="1:20" x14ac:dyDescent="0.3">
      <c r="A1103" s="7">
        <v>44550</v>
      </c>
      <c r="B1103" s="5"/>
      <c r="C1103" s="6">
        <v>190375</v>
      </c>
      <c r="D1103" s="6">
        <v>212389</v>
      </c>
      <c r="E1103" s="6">
        <v>144177</v>
      </c>
      <c r="F1103" s="14">
        <v>668711</v>
      </c>
      <c r="G1103" s="6">
        <v>176748</v>
      </c>
      <c r="H1103" s="6">
        <v>40530</v>
      </c>
      <c r="I1103" s="6">
        <v>39582</v>
      </c>
      <c r="J1103" s="6">
        <v>169549</v>
      </c>
      <c r="K1103" s="6">
        <v>502006</v>
      </c>
      <c r="L1103" s="6">
        <v>140596</v>
      </c>
      <c r="M1103" s="6">
        <v>1897074</v>
      </c>
      <c r="N1103" s="42">
        <v>1153167</v>
      </c>
      <c r="O1103" s="42"/>
      <c r="P1103" s="42">
        <v>91798</v>
      </c>
      <c r="Q1103" s="42">
        <v>209603</v>
      </c>
      <c r="R1103" s="42">
        <v>2297721</v>
      </c>
      <c r="S1103" s="5">
        <v>60261</v>
      </c>
      <c r="T1103" s="42">
        <v>538072</v>
      </c>
    </row>
    <row r="1104" spans="1:20" x14ac:dyDescent="0.3">
      <c r="A1104" s="7">
        <v>44547</v>
      </c>
      <c r="B1104" s="5"/>
      <c r="C1104" s="6">
        <v>189608</v>
      </c>
      <c r="D1104" s="6">
        <v>209838</v>
      </c>
      <c r="E1104" s="6">
        <v>141562</v>
      </c>
      <c r="F1104" s="14">
        <v>668436</v>
      </c>
      <c r="G1104" s="6">
        <v>173297</v>
      </c>
      <c r="H1104" s="6">
        <v>40767</v>
      </c>
      <c r="I1104" s="6">
        <v>38969</v>
      </c>
      <c r="J1104" s="6">
        <v>170363</v>
      </c>
      <c r="K1104" s="6">
        <v>506187</v>
      </c>
      <c r="L1104" s="6">
        <v>140963</v>
      </c>
      <c r="M1104" s="6">
        <v>1898762</v>
      </c>
      <c r="N1104" s="42">
        <v>1156681</v>
      </c>
      <c r="O1104" s="42"/>
      <c r="P1104" s="42">
        <v>109138</v>
      </c>
      <c r="Q1104" s="42">
        <v>267297</v>
      </c>
      <c r="R1104" s="42">
        <v>2671999</v>
      </c>
      <c r="S1104" s="5">
        <v>52778</v>
      </c>
      <c r="T1104" s="42">
        <v>537903</v>
      </c>
    </row>
    <row r="1105" spans="1:20" x14ac:dyDescent="0.3">
      <c r="A1105" s="7">
        <v>44546</v>
      </c>
      <c r="B1105" s="5"/>
      <c r="C1105" s="6">
        <v>191552</v>
      </c>
      <c r="D1105" s="6">
        <v>206380</v>
      </c>
      <c r="E1105" s="6">
        <v>143268</v>
      </c>
      <c r="F1105" s="14">
        <v>666146</v>
      </c>
      <c r="G1105" s="6">
        <v>177132</v>
      </c>
      <c r="H1105" s="6">
        <v>39862</v>
      </c>
      <c r="I1105" s="6">
        <v>39313</v>
      </c>
      <c r="J1105" s="6">
        <v>171012</v>
      </c>
      <c r="K1105" s="6">
        <v>507338</v>
      </c>
      <c r="L1105" s="6">
        <v>142355</v>
      </c>
      <c r="M1105" s="6">
        <v>1914421</v>
      </c>
      <c r="N1105" s="42">
        <v>1157407</v>
      </c>
      <c r="O1105" s="42"/>
      <c r="P1105" s="42">
        <v>111478</v>
      </c>
      <c r="Q1105" s="42">
        <v>271821</v>
      </c>
      <c r="R1105" s="42">
        <v>2676676</v>
      </c>
      <c r="S1105" s="5">
        <v>61499</v>
      </c>
      <c r="T1105" s="42">
        <v>531803</v>
      </c>
    </row>
    <row r="1106" spans="1:20" x14ac:dyDescent="0.3">
      <c r="A1106" s="7">
        <v>44545</v>
      </c>
      <c r="B1106" s="5"/>
      <c r="C1106" s="6">
        <v>198461</v>
      </c>
      <c r="D1106" s="6">
        <v>214701</v>
      </c>
      <c r="E1106" s="6">
        <v>144583</v>
      </c>
      <c r="F1106" s="14">
        <v>663532</v>
      </c>
      <c r="G1106" s="6">
        <v>180111</v>
      </c>
      <c r="H1106" s="6">
        <v>41596</v>
      </c>
      <c r="I1106" s="6">
        <v>39952</v>
      </c>
      <c r="J1106" s="6">
        <v>177024</v>
      </c>
      <c r="K1106" s="6">
        <v>503969</v>
      </c>
      <c r="L1106" s="6">
        <v>145138</v>
      </c>
      <c r="M1106" s="6">
        <v>1926113</v>
      </c>
      <c r="N1106" s="42">
        <v>1157804</v>
      </c>
      <c r="O1106" s="42"/>
      <c r="P1106" s="42">
        <v>117106</v>
      </c>
      <c r="Q1106" s="42">
        <v>261277</v>
      </c>
      <c r="R1106" s="42">
        <v>2698901</v>
      </c>
      <c r="S1106" s="5">
        <v>61941</v>
      </c>
      <c r="T1106" s="42">
        <v>530425</v>
      </c>
    </row>
    <row r="1107" spans="1:20" x14ac:dyDescent="0.3">
      <c r="A1107" s="7">
        <v>44544</v>
      </c>
      <c r="B1107" s="5"/>
      <c r="C1107" s="6">
        <v>252652</v>
      </c>
      <c r="D1107" s="6">
        <v>285903</v>
      </c>
      <c r="E1107" s="6">
        <v>186638</v>
      </c>
      <c r="F1107" s="14">
        <v>745712</v>
      </c>
      <c r="G1107" s="6">
        <v>219106</v>
      </c>
      <c r="H1107" s="6">
        <v>67256</v>
      </c>
      <c r="I1107" s="6">
        <v>51523</v>
      </c>
      <c r="J1107" s="6">
        <v>171976</v>
      </c>
      <c r="K1107" s="6">
        <v>503709</v>
      </c>
      <c r="L1107" s="6">
        <v>142384</v>
      </c>
      <c r="M1107" s="6">
        <v>1953397</v>
      </c>
      <c r="N1107" s="42">
        <v>1153450</v>
      </c>
      <c r="O1107" s="42"/>
      <c r="P1107" s="42">
        <v>120668</v>
      </c>
      <c r="Q1107" s="42">
        <v>269716</v>
      </c>
      <c r="R1107" s="42">
        <v>2754633</v>
      </c>
      <c r="S1107" s="5">
        <v>64642</v>
      </c>
      <c r="T1107" s="42">
        <v>510424</v>
      </c>
    </row>
    <row r="1108" spans="1:20" x14ac:dyDescent="0.3">
      <c r="A1108" s="7">
        <v>44543</v>
      </c>
      <c r="B1108" s="5"/>
      <c r="C1108" s="6">
        <v>251554</v>
      </c>
      <c r="D1108" s="6">
        <v>285144</v>
      </c>
      <c r="E1108" s="6">
        <v>186539</v>
      </c>
      <c r="F1108" s="14">
        <v>742329</v>
      </c>
      <c r="G1108" s="6">
        <v>217001</v>
      </c>
      <c r="H1108" s="6">
        <v>65598</v>
      </c>
      <c r="I1108" s="6">
        <v>52081</v>
      </c>
      <c r="J1108" s="6">
        <v>172911</v>
      </c>
      <c r="K1108" s="6">
        <v>505001</v>
      </c>
      <c r="L1108" s="6">
        <v>140108</v>
      </c>
      <c r="M1108" s="6">
        <v>1959256</v>
      </c>
      <c r="N1108" s="42">
        <v>1159239</v>
      </c>
      <c r="O1108" s="42"/>
      <c r="P1108" s="42">
        <v>123076</v>
      </c>
      <c r="Q1108" s="42">
        <v>265077</v>
      </c>
      <c r="R1108" s="42">
        <v>2701413</v>
      </c>
      <c r="S1108" s="5">
        <v>67719</v>
      </c>
      <c r="T1108" s="42">
        <v>477678</v>
      </c>
    </row>
    <row r="1109" spans="1:20" x14ac:dyDescent="0.3">
      <c r="A1109" s="7">
        <v>44540</v>
      </c>
      <c r="B1109" s="5"/>
      <c r="C1109" s="6">
        <v>251249</v>
      </c>
      <c r="D1109" s="6">
        <v>283457</v>
      </c>
      <c r="E1109" s="6">
        <v>185339</v>
      </c>
      <c r="F1109" s="14">
        <v>728996</v>
      </c>
      <c r="G1109" s="6">
        <v>217061</v>
      </c>
      <c r="H1109" s="6">
        <v>64826</v>
      </c>
      <c r="I1109" s="6">
        <v>52131</v>
      </c>
      <c r="J1109" s="6">
        <v>172763</v>
      </c>
      <c r="K1109" s="6">
        <v>501269</v>
      </c>
      <c r="L1109" s="6">
        <v>139388</v>
      </c>
      <c r="M1109" s="6">
        <v>1951954</v>
      </c>
      <c r="N1109" s="42">
        <v>1165590</v>
      </c>
      <c r="O1109" s="42"/>
      <c r="P1109" s="42">
        <v>107432</v>
      </c>
      <c r="Q1109" s="42">
        <v>262645</v>
      </c>
      <c r="R1109" s="42">
        <v>2716066</v>
      </c>
      <c r="S1109" s="5">
        <v>66711</v>
      </c>
      <c r="T1109" s="42">
        <v>460524</v>
      </c>
    </row>
    <row r="1110" spans="1:20" x14ac:dyDescent="0.3">
      <c r="A1110" s="7">
        <v>44539</v>
      </c>
      <c r="B1110" s="5"/>
      <c r="C1110" s="6">
        <v>243280</v>
      </c>
      <c r="D1110" s="6">
        <v>292071</v>
      </c>
      <c r="E1110" s="6">
        <v>170901</v>
      </c>
      <c r="F1110" s="14">
        <v>724339</v>
      </c>
      <c r="G1110" s="6">
        <v>210423</v>
      </c>
      <c r="H1110" s="6">
        <v>63398</v>
      </c>
      <c r="I1110" s="6">
        <v>49536</v>
      </c>
      <c r="J1110" s="6">
        <v>172507</v>
      </c>
      <c r="K1110" s="6">
        <v>499568</v>
      </c>
      <c r="L1110" s="6">
        <v>138778</v>
      </c>
      <c r="M1110" s="6">
        <v>1950626</v>
      </c>
      <c r="N1110" s="42">
        <v>1168221</v>
      </c>
      <c r="O1110" s="42"/>
      <c r="P1110" s="42">
        <v>103014</v>
      </c>
      <c r="Q1110" s="42">
        <v>255311</v>
      </c>
      <c r="R1110" s="42">
        <v>2620608</v>
      </c>
      <c r="S1110" s="5">
        <v>31258</v>
      </c>
      <c r="T1110" s="42">
        <v>451283</v>
      </c>
    </row>
    <row r="1111" spans="1:20" x14ac:dyDescent="0.3">
      <c r="A1111" s="7">
        <v>44538</v>
      </c>
      <c r="B1111" s="5"/>
      <c r="C1111" s="6">
        <v>225068</v>
      </c>
      <c r="D1111" s="6">
        <v>253228</v>
      </c>
      <c r="E1111" s="6">
        <v>152619</v>
      </c>
      <c r="F1111" s="14">
        <v>702173</v>
      </c>
      <c r="G1111" s="6">
        <v>212322</v>
      </c>
      <c r="H1111" s="6">
        <v>55893</v>
      </c>
      <c r="I1111" s="6">
        <v>51626</v>
      </c>
      <c r="J1111" s="6">
        <v>173742</v>
      </c>
      <c r="K1111" s="6">
        <v>499951</v>
      </c>
      <c r="L1111" s="6">
        <v>137246</v>
      </c>
      <c r="M1111" s="6">
        <v>1955000</v>
      </c>
      <c r="N1111" s="42">
        <v>1186368</v>
      </c>
      <c r="O1111" s="42"/>
      <c r="P1111" s="42">
        <v>102109</v>
      </c>
      <c r="Q1111" s="42">
        <v>246945</v>
      </c>
      <c r="R1111" s="42">
        <v>2521944</v>
      </c>
      <c r="S1111" s="5">
        <v>45522</v>
      </c>
      <c r="T1111" s="42">
        <v>461315</v>
      </c>
    </row>
    <row r="1112" spans="1:20" x14ac:dyDescent="0.3">
      <c r="A1112" s="7">
        <v>44537</v>
      </c>
      <c r="B1112" s="5"/>
      <c r="C1112" s="6">
        <v>212150</v>
      </c>
      <c r="D1112" s="6">
        <v>238310</v>
      </c>
      <c r="E1112" s="6">
        <v>155078</v>
      </c>
      <c r="F1112" s="14">
        <v>716213</v>
      </c>
      <c r="G1112" s="6">
        <v>205970</v>
      </c>
      <c r="H1112" s="6">
        <v>55975</v>
      </c>
      <c r="I1112" s="6">
        <v>51229</v>
      </c>
      <c r="J1112" s="6">
        <v>173954</v>
      </c>
      <c r="K1112" s="6">
        <v>499307</v>
      </c>
      <c r="L1112" s="6">
        <v>136572</v>
      </c>
      <c r="M1112" s="6">
        <v>1972536</v>
      </c>
      <c r="N1112" s="42">
        <v>1205626</v>
      </c>
      <c r="O1112" s="42"/>
      <c r="P1112" s="42">
        <v>103059</v>
      </c>
      <c r="Q1112" s="42">
        <v>251880</v>
      </c>
      <c r="R1112" s="42">
        <v>2514383</v>
      </c>
      <c r="S1112" s="5">
        <v>76508</v>
      </c>
      <c r="T1112" s="42">
        <v>461471</v>
      </c>
    </row>
    <row r="1113" spans="1:20" x14ac:dyDescent="0.3">
      <c r="A1113" s="7">
        <v>44536</v>
      </c>
      <c r="B1113" s="5"/>
      <c r="C1113" s="6">
        <v>210764</v>
      </c>
      <c r="D1113" s="6">
        <v>226670</v>
      </c>
      <c r="E1113" s="6">
        <v>152882</v>
      </c>
      <c r="F1113" s="14">
        <v>699867</v>
      </c>
      <c r="G1113" s="6">
        <v>206967</v>
      </c>
      <c r="H1113" s="6">
        <v>51687</v>
      </c>
      <c r="I1113" s="6">
        <v>51060</v>
      </c>
      <c r="J1113" s="6">
        <v>176099</v>
      </c>
      <c r="K1113" s="6">
        <v>499806</v>
      </c>
      <c r="L1113" s="6">
        <v>135977</v>
      </c>
      <c r="M1113" s="6">
        <v>2007367</v>
      </c>
      <c r="N1113" s="42">
        <v>1230918</v>
      </c>
      <c r="O1113" s="42"/>
      <c r="P1113" s="42">
        <v>103127</v>
      </c>
      <c r="Q1113" s="42">
        <v>255856</v>
      </c>
      <c r="R1113" s="42">
        <v>2521739</v>
      </c>
      <c r="S1113" s="5">
        <v>75123</v>
      </c>
      <c r="T1113" s="42">
        <v>465225</v>
      </c>
    </row>
    <row r="1114" spans="1:20" x14ac:dyDescent="0.3">
      <c r="A1114" s="7">
        <v>44533</v>
      </c>
      <c r="B1114" s="5"/>
      <c r="C1114" s="6">
        <v>210482</v>
      </c>
      <c r="D1114" s="6">
        <v>234101</v>
      </c>
      <c r="E1114" s="6">
        <v>149490</v>
      </c>
      <c r="F1114" s="14">
        <v>703329</v>
      </c>
      <c r="G1114" s="6">
        <v>209619</v>
      </c>
      <c r="H1114" s="6">
        <v>49868</v>
      </c>
      <c r="I1114" s="6">
        <v>48746</v>
      </c>
      <c r="J1114" s="6">
        <v>176615</v>
      </c>
      <c r="K1114" s="6">
        <v>500763</v>
      </c>
      <c r="L1114" s="6">
        <v>135185</v>
      </c>
      <c r="M1114" s="6">
        <v>2007671</v>
      </c>
      <c r="N1114" s="42">
        <v>1248401</v>
      </c>
      <c r="O1114" s="42"/>
      <c r="P1114" s="42">
        <v>101341</v>
      </c>
      <c r="Q1114" s="42">
        <v>257026</v>
      </c>
      <c r="R1114" s="42">
        <v>2521470</v>
      </c>
      <c r="S1114" s="5">
        <v>74511</v>
      </c>
      <c r="T1114" s="42">
        <v>456383</v>
      </c>
    </row>
    <row r="1115" spans="1:20" x14ac:dyDescent="0.3">
      <c r="A1115" s="7">
        <v>44532</v>
      </c>
      <c r="B1115" s="5"/>
      <c r="C1115" s="6">
        <v>197886</v>
      </c>
      <c r="D1115" s="6">
        <v>228036</v>
      </c>
      <c r="E1115" s="6">
        <v>148546</v>
      </c>
      <c r="F1115" s="14">
        <v>704331</v>
      </c>
      <c r="G1115" s="6">
        <v>208719</v>
      </c>
      <c r="H1115" s="6">
        <v>47515</v>
      </c>
      <c r="I1115" s="6">
        <v>48416</v>
      </c>
      <c r="J1115" s="6">
        <v>179336</v>
      </c>
      <c r="K1115" s="6">
        <v>502300</v>
      </c>
      <c r="L1115" s="6">
        <v>134207</v>
      </c>
      <c r="M1115" s="6">
        <v>2005184</v>
      </c>
      <c r="N1115" s="42">
        <v>1255162</v>
      </c>
      <c r="O1115" s="42"/>
      <c r="P1115" s="42">
        <v>99944</v>
      </c>
      <c r="Q1115" s="42">
        <v>254750</v>
      </c>
      <c r="R1115" s="42">
        <v>2489557</v>
      </c>
      <c r="S1115" s="5">
        <v>73238</v>
      </c>
      <c r="T1115" s="42">
        <v>458838</v>
      </c>
    </row>
    <row r="1116" spans="1:20" x14ac:dyDescent="0.3">
      <c r="A1116" s="7">
        <v>44531</v>
      </c>
      <c r="B1116" s="5"/>
      <c r="C1116" s="6">
        <v>197281</v>
      </c>
      <c r="D1116" s="6">
        <v>226593</v>
      </c>
      <c r="E1116" s="6">
        <v>149485</v>
      </c>
      <c r="F1116" s="14">
        <v>700369</v>
      </c>
      <c r="G1116" s="6">
        <v>210278</v>
      </c>
      <c r="H1116" s="6">
        <v>47394</v>
      </c>
      <c r="I1116" s="6">
        <v>49057</v>
      </c>
      <c r="J1116" s="6">
        <v>182862</v>
      </c>
      <c r="K1116" s="6">
        <v>522963</v>
      </c>
      <c r="L1116" s="6">
        <v>139481</v>
      </c>
      <c r="M1116" s="6">
        <v>2013483</v>
      </c>
      <c r="N1116" s="42">
        <v>1268880</v>
      </c>
      <c r="O1116" s="42"/>
      <c r="P1116" s="42">
        <v>103030</v>
      </c>
      <c r="Q1116" s="42">
        <v>257438</v>
      </c>
      <c r="R1116" s="42">
        <v>2472928</v>
      </c>
      <c r="S1116" s="5">
        <v>77682</v>
      </c>
      <c r="T1116" s="42">
        <v>464242</v>
      </c>
    </row>
    <row r="1117" spans="1:20" x14ac:dyDescent="0.3">
      <c r="A1117" s="7">
        <v>44530</v>
      </c>
      <c r="B1117" s="5"/>
      <c r="C1117" s="6">
        <v>201981</v>
      </c>
      <c r="D1117" s="6">
        <v>230423</v>
      </c>
      <c r="E1117" s="6">
        <v>148375</v>
      </c>
      <c r="F1117" s="14">
        <v>705409</v>
      </c>
      <c r="G1117" s="6">
        <v>216692</v>
      </c>
      <c r="H1117" s="6">
        <v>49483</v>
      </c>
      <c r="I1117" s="6">
        <v>50543</v>
      </c>
      <c r="J1117" s="6">
        <v>184214</v>
      </c>
      <c r="K1117" s="6">
        <v>531868</v>
      </c>
      <c r="L1117" s="6">
        <v>138003</v>
      </c>
      <c r="M1117" s="6">
        <v>2033286</v>
      </c>
      <c r="N1117" s="42">
        <v>1269879</v>
      </c>
      <c r="O1117" s="42"/>
      <c r="P1117" s="42">
        <v>101603</v>
      </c>
      <c r="Q1117" s="42">
        <v>258476</v>
      </c>
      <c r="R1117" s="42">
        <v>2510714</v>
      </c>
      <c r="S1117" s="5">
        <v>81543</v>
      </c>
      <c r="T1117" s="42">
        <v>464766</v>
      </c>
    </row>
    <row r="1118" spans="1:20" x14ac:dyDescent="0.3">
      <c r="A1118" s="7">
        <v>44529</v>
      </c>
      <c r="B1118" s="5"/>
      <c r="C1118" s="6">
        <v>205804</v>
      </c>
      <c r="D1118" s="6">
        <v>232152</v>
      </c>
      <c r="E1118" s="6">
        <v>155279</v>
      </c>
      <c r="F1118" s="14">
        <v>716863</v>
      </c>
      <c r="G1118" s="6">
        <v>222988</v>
      </c>
      <c r="H1118" s="6">
        <v>50187</v>
      </c>
      <c r="I1118" s="6">
        <v>50686</v>
      </c>
      <c r="J1118" s="6">
        <v>185452</v>
      </c>
      <c r="K1118" s="6">
        <v>544978</v>
      </c>
      <c r="L1118" s="6">
        <v>141305</v>
      </c>
      <c r="M1118" s="6">
        <v>2019931</v>
      </c>
      <c r="N1118" s="42">
        <v>1282046</v>
      </c>
      <c r="O1118" s="42"/>
      <c r="P1118" s="42">
        <v>102235</v>
      </c>
      <c r="Q1118" s="42">
        <v>254463</v>
      </c>
      <c r="R1118" s="42">
        <v>2487131</v>
      </c>
      <c r="S1118" s="5">
        <v>83059</v>
      </c>
      <c r="T1118" s="42">
        <v>476988</v>
      </c>
    </row>
    <row r="1119" spans="1:20" x14ac:dyDescent="0.3">
      <c r="A1119" s="7">
        <v>44526</v>
      </c>
      <c r="B1119" s="5"/>
      <c r="C1119" s="6">
        <v>201514</v>
      </c>
      <c r="D1119" s="6">
        <v>226053</v>
      </c>
      <c r="E1119" s="6">
        <v>152688</v>
      </c>
      <c r="F1119" s="14">
        <v>712530</v>
      </c>
      <c r="G1119" s="6">
        <v>232818</v>
      </c>
      <c r="H1119" s="6">
        <v>45846</v>
      </c>
      <c r="I1119" s="6">
        <v>51740</v>
      </c>
      <c r="J1119" s="6">
        <v>188885</v>
      </c>
      <c r="K1119" s="6">
        <v>557303</v>
      </c>
      <c r="L1119" s="6">
        <v>143914</v>
      </c>
      <c r="M1119" s="6">
        <v>2045831</v>
      </c>
      <c r="N1119" s="42">
        <v>1283886</v>
      </c>
      <c r="O1119" s="42"/>
      <c r="P1119" s="42">
        <v>104638</v>
      </c>
      <c r="Q1119" s="42">
        <v>259605</v>
      </c>
      <c r="R1119" s="42">
        <v>2497121</v>
      </c>
      <c r="S1119" s="5">
        <v>82894</v>
      </c>
      <c r="T1119" s="42">
        <v>474039</v>
      </c>
    </row>
    <row r="1120" spans="1:20" x14ac:dyDescent="0.3">
      <c r="A1120" s="7">
        <v>44524</v>
      </c>
      <c r="B1120" s="5"/>
      <c r="C1120" s="6">
        <v>191777</v>
      </c>
      <c r="D1120" s="6">
        <v>217132</v>
      </c>
      <c r="E1120" s="6">
        <v>151358</v>
      </c>
      <c r="F1120" s="14">
        <v>716175</v>
      </c>
      <c r="G1120" s="6">
        <v>255302</v>
      </c>
      <c r="H1120" s="6">
        <v>46886</v>
      </c>
      <c r="I1120" s="6">
        <v>54154</v>
      </c>
      <c r="J1120" s="6">
        <v>191952</v>
      </c>
      <c r="K1120" s="6">
        <v>554014</v>
      </c>
      <c r="L1120" s="6">
        <v>143475</v>
      </c>
      <c r="M1120" s="6">
        <v>2031890</v>
      </c>
      <c r="N1120" s="42">
        <v>1269640</v>
      </c>
      <c r="O1120" s="42"/>
      <c r="P1120" s="42">
        <v>104594</v>
      </c>
      <c r="Q1120" s="42">
        <v>255879</v>
      </c>
      <c r="R1120" s="42">
        <v>2466306</v>
      </c>
      <c r="S1120" s="5">
        <v>85368</v>
      </c>
      <c r="T1120" s="42">
        <v>473546</v>
      </c>
    </row>
    <row r="1121" spans="1:20" x14ac:dyDescent="0.3">
      <c r="A1121" s="7">
        <v>44523</v>
      </c>
      <c r="B1121" s="5"/>
      <c r="C1121" s="6">
        <v>188033</v>
      </c>
      <c r="D1121" s="6">
        <v>213313</v>
      </c>
      <c r="E1121" s="6">
        <v>150275</v>
      </c>
      <c r="F1121" s="14">
        <v>711685</v>
      </c>
      <c r="G1121" s="6">
        <v>251801</v>
      </c>
      <c r="H1121" s="6">
        <v>44524</v>
      </c>
      <c r="I1121" s="6">
        <v>52412</v>
      </c>
      <c r="J1121" s="6">
        <v>190681</v>
      </c>
      <c r="K1121" s="6">
        <v>559823</v>
      </c>
      <c r="L1121" s="6">
        <v>149642</v>
      </c>
      <c r="M1121" s="6">
        <v>2028573</v>
      </c>
      <c r="N1121" s="42">
        <v>1280907</v>
      </c>
      <c r="O1121" s="42"/>
      <c r="P1121" s="42">
        <v>106092</v>
      </c>
      <c r="Q1121" s="42">
        <v>258727</v>
      </c>
      <c r="R1121" s="42">
        <v>2455317</v>
      </c>
      <c r="S1121" s="5">
        <v>88312</v>
      </c>
      <c r="T1121" s="42">
        <v>470438</v>
      </c>
    </row>
    <row r="1122" spans="1:20" x14ac:dyDescent="0.3">
      <c r="A1122" s="7">
        <v>44522</v>
      </c>
      <c r="B1122" s="5"/>
      <c r="C1122" s="6">
        <v>183235</v>
      </c>
      <c r="D1122" s="6">
        <v>211569</v>
      </c>
      <c r="E1122" s="6">
        <v>151655</v>
      </c>
      <c r="F1122" s="14">
        <v>707979</v>
      </c>
      <c r="G1122" s="6">
        <v>251451</v>
      </c>
      <c r="H1122" s="6">
        <v>44418</v>
      </c>
      <c r="I1122" s="6">
        <v>52304</v>
      </c>
      <c r="J1122" s="6">
        <v>193820</v>
      </c>
      <c r="K1122" s="6">
        <v>577014</v>
      </c>
      <c r="L1122" s="6">
        <v>152927</v>
      </c>
      <c r="M1122" s="6">
        <v>2015068</v>
      </c>
      <c r="N1122" s="42">
        <v>1287575</v>
      </c>
      <c r="O1122" s="42"/>
      <c r="P1122" s="42">
        <v>104178</v>
      </c>
      <c r="Q1122" s="42">
        <v>259067</v>
      </c>
      <c r="R1122" s="42">
        <v>2457547</v>
      </c>
      <c r="S1122" s="5">
        <v>94459</v>
      </c>
      <c r="T1122" s="42">
        <v>468513</v>
      </c>
    </row>
    <row r="1123" spans="1:20" x14ac:dyDescent="0.3">
      <c r="A1123" s="7">
        <v>44519</v>
      </c>
      <c r="B1123" s="5"/>
      <c r="C1123" s="6">
        <v>176663</v>
      </c>
      <c r="D1123" s="6">
        <v>208870</v>
      </c>
      <c r="E1123" s="6">
        <v>150397</v>
      </c>
      <c r="F1123" s="14">
        <v>706503</v>
      </c>
      <c r="G1123" s="6">
        <v>237066</v>
      </c>
      <c r="H1123" s="6">
        <v>43692</v>
      </c>
      <c r="I1123" s="6">
        <v>50029</v>
      </c>
      <c r="J1123" s="6">
        <v>193169</v>
      </c>
      <c r="K1123" s="6">
        <v>611282</v>
      </c>
      <c r="L1123" s="6">
        <v>154737</v>
      </c>
      <c r="M1123" s="6">
        <v>2014541</v>
      </c>
      <c r="N1123" s="42">
        <v>1299983</v>
      </c>
      <c r="O1123" s="42"/>
      <c r="P1123" s="42">
        <v>100250</v>
      </c>
      <c r="Q1123" s="42">
        <v>257674</v>
      </c>
      <c r="R1123" s="42">
        <v>2453785</v>
      </c>
      <c r="S1123" s="5">
        <v>91045</v>
      </c>
      <c r="T1123" s="42">
        <v>477531</v>
      </c>
    </row>
    <row r="1124" spans="1:20" x14ac:dyDescent="0.3">
      <c r="A1124" s="7">
        <v>44518</v>
      </c>
      <c r="B1124" s="5"/>
      <c r="C1124" s="6">
        <v>176705</v>
      </c>
      <c r="D1124" s="6">
        <v>205356</v>
      </c>
      <c r="E1124" s="6">
        <v>146931</v>
      </c>
      <c r="F1124" s="14">
        <v>708110</v>
      </c>
      <c r="G1124" s="6">
        <v>242977</v>
      </c>
      <c r="H1124" s="6">
        <v>43949</v>
      </c>
      <c r="I1124" s="6">
        <v>49996</v>
      </c>
      <c r="J1124" s="6">
        <v>198260</v>
      </c>
      <c r="K1124" s="6">
        <v>618299</v>
      </c>
      <c r="L1124" s="6">
        <v>155360</v>
      </c>
      <c r="M1124" s="6">
        <v>2009899</v>
      </c>
      <c r="N1124" s="42">
        <v>1305011</v>
      </c>
      <c r="O1124" s="42"/>
      <c r="P1124" s="42">
        <v>99969</v>
      </c>
      <c r="Q1124" s="42">
        <v>260179</v>
      </c>
      <c r="R1124" s="42">
        <v>2459269</v>
      </c>
      <c r="S1124" s="5">
        <v>101974</v>
      </c>
      <c r="T1124" s="42">
        <v>471789</v>
      </c>
    </row>
    <row r="1125" spans="1:20" x14ac:dyDescent="0.3">
      <c r="A1125" s="7">
        <v>44517</v>
      </c>
      <c r="B1125" s="5"/>
      <c r="C1125" s="6">
        <v>171287</v>
      </c>
      <c r="D1125" s="6">
        <v>203272</v>
      </c>
      <c r="E1125" s="6">
        <v>146088</v>
      </c>
      <c r="F1125" s="14">
        <v>709829</v>
      </c>
      <c r="G1125" s="6">
        <v>247294</v>
      </c>
      <c r="H1125" s="6">
        <v>43522</v>
      </c>
      <c r="I1125" s="6">
        <v>49612</v>
      </c>
      <c r="J1125" s="6">
        <v>202830</v>
      </c>
      <c r="K1125" s="6">
        <v>620113</v>
      </c>
      <c r="L1125" s="6">
        <v>153251</v>
      </c>
      <c r="M1125" s="6">
        <v>2040686</v>
      </c>
      <c r="N1125" s="42">
        <v>1304301</v>
      </c>
      <c r="O1125" s="42"/>
      <c r="P1125" s="42">
        <v>102286</v>
      </c>
      <c r="Q1125" s="42">
        <v>263853</v>
      </c>
      <c r="R1125" s="42">
        <v>2459972</v>
      </c>
      <c r="S1125" s="5">
        <v>79167</v>
      </c>
      <c r="T1125" s="42">
        <v>471919</v>
      </c>
    </row>
    <row r="1126" spans="1:20" x14ac:dyDescent="0.3">
      <c r="A1126" s="7">
        <v>44516</v>
      </c>
      <c r="B1126" s="5"/>
      <c r="C1126" s="6">
        <v>166765</v>
      </c>
      <c r="D1126" s="6">
        <v>207911</v>
      </c>
      <c r="E1126" s="6">
        <v>148955</v>
      </c>
      <c r="F1126" s="14">
        <v>706418</v>
      </c>
      <c r="G1126" s="6">
        <v>253049</v>
      </c>
      <c r="H1126" s="6">
        <v>42945</v>
      </c>
      <c r="I1126" s="6">
        <v>49320</v>
      </c>
      <c r="J1126" s="6">
        <v>208066</v>
      </c>
      <c r="K1126" s="6">
        <v>612612</v>
      </c>
      <c r="L1126" s="6">
        <v>152404</v>
      </c>
      <c r="M1126" s="6">
        <v>2057633</v>
      </c>
      <c r="N1126" s="42">
        <v>1308708</v>
      </c>
      <c r="O1126" s="42"/>
      <c r="P1126" s="42">
        <v>103799</v>
      </c>
      <c r="Q1126" s="42">
        <v>264338</v>
      </c>
      <c r="R1126" s="42">
        <v>2454894</v>
      </c>
      <c r="S1126" s="5">
        <v>89117</v>
      </c>
      <c r="T1126" s="42">
        <v>473779</v>
      </c>
    </row>
    <row r="1127" spans="1:20" x14ac:dyDescent="0.3">
      <c r="A1127" s="7">
        <v>44515</v>
      </c>
      <c r="B1127" s="5"/>
      <c r="C1127" s="6">
        <v>164538</v>
      </c>
      <c r="D1127" s="6">
        <v>211707</v>
      </c>
      <c r="E1127" s="6">
        <v>147628</v>
      </c>
      <c r="F1127" s="14">
        <v>702244</v>
      </c>
      <c r="G1127" s="6">
        <v>240644</v>
      </c>
      <c r="H1127" s="6">
        <v>42210</v>
      </c>
      <c r="I1127" s="6">
        <v>47168</v>
      </c>
      <c r="J1127" s="6">
        <v>214917</v>
      </c>
      <c r="K1127" s="6">
        <v>610136</v>
      </c>
      <c r="L1127" s="6">
        <v>153298</v>
      </c>
      <c r="M1127" s="6">
        <v>2077469</v>
      </c>
      <c r="N1127" s="42">
        <v>1308696</v>
      </c>
      <c r="O1127" s="42"/>
      <c r="P1127" s="42">
        <v>102465</v>
      </c>
      <c r="Q1127" s="42">
        <v>262331</v>
      </c>
      <c r="R1127" s="42">
        <v>2435205</v>
      </c>
      <c r="S1127" s="5">
        <v>87966</v>
      </c>
      <c r="T1127" s="42">
        <v>467377</v>
      </c>
    </row>
    <row r="1128" spans="1:20" x14ac:dyDescent="0.3">
      <c r="A1128" s="7">
        <v>44512</v>
      </c>
      <c r="B1128" s="5"/>
      <c r="C1128" s="6">
        <v>166935</v>
      </c>
      <c r="D1128" s="6">
        <v>209541</v>
      </c>
      <c r="E1128" s="6">
        <v>150167</v>
      </c>
      <c r="F1128" s="14">
        <v>696452</v>
      </c>
      <c r="G1128" s="6">
        <v>241177</v>
      </c>
      <c r="H1128" s="6">
        <v>43448</v>
      </c>
      <c r="I1128" s="6">
        <v>48099</v>
      </c>
      <c r="J1128" s="6">
        <v>215258</v>
      </c>
      <c r="K1128" s="6">
        <v>610797</v>
      </c>
      <c r="L1128" s="6">
        <v>154330</v>
      </c>
      <c r="M1128" s="6">
        <v>2084526</v>
      </c>
      <c r="N1128" s="42">
        <v>1312394</v>
      </c>
      <c r="O1128" s="42"/>
      <c r="P1128" s="42">
        <v>104658</v>
      </c>
      <c r="Q1128" s="42">
        <v>260347</v>
      </c>
      <c r="R1128" s="42">
        <v>2429510</v>
      </c>
      <c r="S1128" s="5">
        <v>81279</v>
      </c>
      <c r="T1128" s="42">
        <v>466295</v>
      </c>
    </row>
    <row r="1129" spans="1:20" x14ac:dyDescent="0.3">
      <c r="A1129" s="7">
        <v>44511</v>
      </c>
      <c r="B1129" s="5"/>
      <c r="C1129" s="6">
        <v>161899</v>
      </c>
      <c r="D1129" s="6">
        <v>201167</v>
      </c>
      <c r="E1129" s="6">
        <v>153411</v>
      </c>
      <c r="F1129" s="14">
        <v>694652</v>
      </c>
      <c r="G1129" s="6">
        <v>242471</v>
      </c>
      <c r="H1129" s="6">
        <v>43710</v>
      </c>
      <c r="I1129" s="6">
        <v>48805</v>
      </c>
      <c r="J1129" s="6">
        <v>212846</v>
      </c>
      <c r="K1129" s="6">
        <v>606890</v>
      </c>
      <c r="L1129" s="6">
        <v>154496</v>
      </c>
      <c r="M1129" s="6">
        <v>2084809</v>
      </c>
      <c r="N1129" s="42">
        <v>1313604</v>
      </c>
      <c r="O1129" s="42"/>
      <c r="P1129" s="42">
        <v>104264</v>
      </c>
      <c r="Q1129" s="42">
        <v>260802</v>
      </c>
      <c r="R1129" s="42">
        <v>2420856</v>
      </c>
      <c r="S1129" s="5">
        <v>88589</v>
      </c>
      <c r="T1129" s="42">
        <v>467951</v>
      </c>
    </row>
    <row r="1130" spans="1:20" x14ac:dyDescent="0.3">
      <c r="A1130" s="7">
        <v>44510</v>
      </c>
      <c r="B1130" s="5"/>
      <c r="C1130" s="6">
        <v>157929</v>
      </c>
      <c r="D1130" s="6">
        <v>188871</v>
      </c>
      <c r="E1130" s="6">
        <v>155095</v>
      </c>
      <c r="F1130" s="14">
        <v>690187</v>
      </c>
      <c r="G1130" s="6">
        <v>245890</v>
      </c>
      <c r="H1130" s="6">
        <v>43091</v>
      </c>
      <c r="I1130" s="6">
        <v>50178</v>
      </c>
      <c r="J1130" s="6">
        <v>213855</v>
      </c>
      <c r="K1130" s="6">
        <v>593911</v>
      </c>
      <c r="L1130" s="6">
        <v>150667</v>
      </c>
      <c r="M1130" s="6">
        <v>2075368</v>
      </c>
      <c r="N1130" s="42">
        <v>1307322</v>
      </c>
      <c r="O1130" s="42"/>
      <c r="P1130" s="42">
        <v>103126</v>
      </c>
      <c r="Q1130" s="42">
        <v>262860</v>
      </c>
      <c r="R1130" s="42">
        <v>2427275</v>
      </c>
      <c r="S1130" s="5">
        <v>82432</v>
      </c>
      <c r="T1130" s="42">
        <v>467302</v>
      </c>
    </row>
    <row r="1131" spans="1:20" x14ac:dyDescent="0.3">
      <c r="A1131" s="7">
        <v>44509</v>
      </c>
      <c r="B1131" s="5"/>
      <c r="C1131" s="6">
        <v>157269</v>
      </c>
      <c r="D1131" s="6">
        <v>186898</v>
      </c>
      <c r="E1131" s="6">
        <v>154720</v>
      </c>
      <c r="F1131" s="14">
        <v>678368</v>
      </c>
      <c r="G1131" s="6">
        <v>243087</v>
      </c>
      <c r="H1131" s="6">
        <v>43461</v>
      </c>
      <c r="I1131" s="6">
        <v>51546</v>
      </c>
      <c r="J1131" s="6">
        <v>213365</v>
      </c>
      <c r="K1131" s="6">
        <v>571025</v>
      </c>
      <c r="L1131" s="6">
        <v>144370</v>
      </c>
      <c r="M1131" s="6">
        <v>2081385</v>
      </c>
      <c r="N1131" s="42">
        <v>1305687</v>
      </c>
      <c r="O1131" s="42"/>
      <c r="P1131" s="42">
        <v>103466</v>
      </c>
      <c r="Q1131" s="42">
        <v>262897</v>
      </c>
      <c r="R1131" s="42">
        <v>2437804</v>
      </c>
      <c r="S1131" s="5">
        <v>77919</v>
      </c>
      <c r="T1131" s="42">
        <v>467694</v>
      </c>
    </row>
    <row r="1132" spans="1:20" x14ac:dyDescent="0.3">
      <c r="A1132" s="7">
        <v>44508</v>
      </c>
      <c r="B1132" s="5"/>
      <c r="C1132" s="6">
        <v>155027</v>
      </c>
      <c r="D1132" s="6">
        <v>185799</v>
      </c>
      <c r="E1132" s="6">
        <v>156127</v>
      </c>
      <c r="F1132" s="14">
        <v>680273</v>
      </c>
      <c r="G1132" s="6">
        <v>243453</v>
      </c>
      <c r="H1132" s="6">
        <v>42732</v>
      </c>
      <c r="I1132" s="6">
        <v>51185</v>
      </c>
      <c r="J1132" s="6">
        <v>214414</v>
      </c>
      <c r="K1132" s="6">
        <v>561324</v>
      </c>
      <c r="L1132" s="6">
        <v>146978</v>
      </c>
      <c r="M1132" s="6">
        <v>2092554</v>
      </c>
      <c r="N1132" s="42">
        <v>1297965</v>
      </c>
      <c r="O1132" s="42"/>
      <c r="P1132" s="42">
        <v>106928</v>
      </c>
      <c r="Q1132" s="42">
        <v>258787</v>
      </c>
      <c r="R1132" s="42">
        <v>2434034</v>
      </c>
      <c r="S1132" s="5">
        <v>79608</v>
      </c>
      <c r="T1132" s="42">
        <v>464979</v>
      </c>
    </row>
    <row r="1133" spans="1:20" x14ac:dyDescent="0.3">
      <c r="A1133" s="7">
        <v>44505</v>
      </c>
      <c r="B1133" s="5"/>
      <c r="C1133" s="6">
        <v>154876</v>
      </c>
      <c r="D1133" s="6">
        <v>190249</v>
      </c>
      <c r="E1133" s="6">
        <v>153202</v>
      </c>
      <c r="F1133" s="14">
        <v>686697</v>
      </c>
      <c r="G1133" s="6">
        <v>244994</v>
      </c>
      <c r="H1133" s="6">
        <v>42405</v>
      </c>
      <c r="I1133" s="6">
        <v>50980</v>
      </c>
      <c r="J1133" s="6">
        <v>215276</v>
      </c>
      <c r="K1133" s="6">
        <v>542149</v>
      </c>
      <c r="L1133" s="6">
        <v>144240</v>
      </c>
      <c r="M1133" s="6">
        <v>2095645</v>
      </c>
      <c r="N1133" s="42">
        <v>1309306</v>
      </c>
      <c r="O1133" s="42"/>
      <c r="P1133" s="42">
        <v>106135</v>
      </c>
      <c r="Q1133" s="42">
        <v>255777</v>
      </c>
      <c r="R1133" s="42">
        <v>2428794</v>
      </c>
      <c r="S1133" s="5">
        <v>74277</v>
      </c>
      <c r="T1133" s="42">
        <v>460710</v>
      </c>
    </row>
    <row r="1134" spans="1:20" x14ac:dyDescent="0.3">
      <c r="A1134" s="7">
        <v>44504</v>
      </c>
      <c r="B1134" s="5"/>
      <c r="C1134" s="6">
        <v>159978</v>
      </c>
      <c r="D1134" s="6">
        <v>190295</v>
      </c>
      <c r="E1134" s="6">
        <v>154620</v>
      </c>
      <c r="F1134" s="14">
        <v>689664</v>
      </c>
      <c r="G1134" s="6">
        <v>248678</v>
      </c>
      <c r="H1134" s="6">
        <v>42957</v>
      </c>
      <c r="I1134" s="6">
        <v>51411</v>
      </c>
      <c r="J1134" s="6">
        <v>215973</v>
      </c>
      <c r="K1134" s="6">
        <v>511333</v>
      </c>
      <c r="L1134" s="6">
        <v>142419</v>
      </c>
      <c r="M1134" s="6">
        <v>2125237</v>
      </c>
      <c r="N1134" s="42">
        <v>1303773</v>
      </c>
      <c r="O1134" s="42"/>
      <c r="P1134" s="42">
        <v>102761</v>
      </c>
      <c r="Q1134" s="42">
        <v>256179</v>
      </c>
      <c r="R1134" s="42">
        <v>2422658</v>
      </c>
      <c r="S1134" s="5">
        <v>72563</v>
      </c>
      <c r="T1134" s="42">
        <v>455822</v>
      </c>
    </row>
    <row r="1135" spans="1:20" x14ac:dyDescent="0.3">
      <c r="A1135" s="7">
        <v>44503</v>
      </c>
      <c r="B1135" s="5"/>
      <c r="C1135" s="6">
        <v>160046</v>
      </c>
      <c r="D1135" s="6">
        <v>161513</v>
      </c>
      <c r="E1135" s="6">
        <v>153849</v>
      </c>
      <c r="F1135" s="14">
        <v>680321</v>
      </c>
      <c r="G1135" s="6">
        <v>250065</v>
      </c>
      <c r="H1135" s="6">
        <v>43953</v>
      </c>
      <c r="I1135" s="6">
        <v>51345</v>
      </c>
      <c r="J1135" s="6">
        <v>218475</v>
      </c>
      <c r="K1135" s="6">
        <v>507314</v>
      </c>
      <c r="L1135" s="6">
        <v>142133</v>
      </c>
      <c r="M1135" s="6">
        <v>2121244</v>
      </c>
      <c r="N1135" s="42">
        <v>1296639</v>
      </c>
      <c r="O1135" s="42"/>
      <c r="P1135" s="42">
        <v>110503</v>
      </c>
      <c r="Q1135" s="42">
        <v>254977</v>
      </c>
      <c r="R1135" s="42">
        <v>2401602</v>
      </c>
      <c r="S1135" s="5">
        <v>74256</v>
      </c>
      <c r="T1135" s="42">
        <v>455400</v>
      </c>
    </row>
    <row r="1136" spans="1:20" x14ac:dyDescent="0.3">
      <c r="A1136" s="7">
        <v>44502</v>
      </c>
      <c r="B1136" s="5"/>
      <c r="C1136" s="6">
        <v>162888</v>
      </c>
      <c r="D1136" s="6">
        <v>166780</v>
      </c>
      <c r="E1136" s="6">
        <v>156194</v>
      </c>
      <c r="F1136" s="14">
        <v>678024</v>
      </c>
      <c r="G1136" s="6">
        <v>251058</v>
      </c>
      <c r="H1136" s="6">
        <v>45436</v>
      </c>
      <c r="I1136" s="6">
        <v>51613</v>
      </c>
      <c r="J1136" s="6">
        <v>217216</v>
      </c>
      <c r="K1136" s="6">
        <v>507616</v>
      </c>
      <c r="L1136" s="6">
        <v>141394</v>
      </c>
      <c r="M1136" s="6">
        <v>2121461</v>
      </c>
      <c r="N1136" s="42">
        <v>1267227</v>
      </c>
      <c r="O1136" s="42"/>
      <c r="P1136" s="42">
        <v>114131</v>
      </c>
      <c r="Q1136" s="42">
        <v>255587</v>
      </c>
      <c r="R1136" s="42">
        <v>2431931</v>
      </c>
      <c r="S1136" s="5">
        <v>75053</v>
      </c>
      <c r="T1136" s="42">
        <v>457234</v>
      </c>
    </row>
    <row r="1137" spans="1:20" x14ac:dyDescent="0.3">
      <c r="A1137" s="7">
        <v>44501</v>
      </c>
      <c r="B1137" s="5"/>
      <c r="C1137" s="6">
        <v>162362</v>
      </c>
      <c r="D1137" s="6">
        <v>163548</v>
      </c>
      <c r="E1137" s="6">
        <v>156050</v>
      </c>
      <c r="F1137" s="14">
        <v>678259</v>
      </c>
      <c r="G1137" s="6">
        <v>257237</v>
      </c>
      <c r="H1137" s="6">
        <v>46054</v>
      </c>
      <c r="I1137" s="6">
        <v>52506</v>
      </c>
      <c r="J1137" s="6">
        <v>217381</v>
      </c>
      <c r="K1137" s="6">
        <v>510201</v>
      </c>
      <c r="L1137" s="6">
        <v>143042</v>
      </c>
      <c r="M1137" s="6">
        <v>2121728</v>
      </c>
      <c r="N1137" s="42">
        <v>1268920</v>
      </c>
      <c r="O1137" s="42"/>
      <c r="P1137" s="42">
        <v>109225</v>
      </c>
      <c r="Q1137" s="42">
        <v>252671</v>
      </c>
      <c r="R1137" s="42">
        <v>2427000</v>
      </c>
      <c r="S1137" s="5">
        <v>73123</v>
      </c>
      <c r="T1137" s="42">
        <v>454208</v>
      </c>
    </row>
    <row r="1138" spans="1:20" x14ac:dyDescent="0.3">
      <c r="A1138" s="7">
        <v>44498</v>
      </c>
      <c r="B1138" s="5"/>
      <c r="C1138" s="6">
        <v>161582</v>
      </c>
      <c r="D1138" s="6">
        <v>161368</v>
      </c>
      <c r="E1138" s="6">
        <v>154736</v>
      </c>
      <c r="F1138" s="14">
        <v>681666</v>
      </c>
      <c r="G1138" s="6">
        <v>258190</v>
      </c>
      <c r="H1138" s="6">
        <v>45119</v>
      </c>
      <c r="I1138" s="6">
        <v>51525</v>
      </c>
      <c r="J1138" s="6">
        <v>217440</v>
      </c>
      <c r="K1138" s="6">
        <v>504956</v>
      </c>
      <c r="L1138" s="6">
        <v>142022</v>
      </c>
      <c r="M1138" s="6">
        <v>2124479</v>
      </c>
      <c r="N1138" s="42">
        <v>1267567</v>
      </c>
      <c r="O1138" s="42"/>
      <c r="P1138" s="42">
        <v>110881</v>
      </c>
      <c r="Q1138" s="42">
        <v>255936</v>
      </c>
      <c r="R1138" s="42">
        <v>2432923</v>
      </c>
      <c r="S1138" s="5">
        <v>70190</v>
      </c>
      <c r="T1138" s="42">
        <v>457849</v>
      </c>
    </row>
    <row r="1139" spans="1:20" x14ac:dyDescent="0.3">
      <c r="A1139" s="7">
        <v>44497</v>
      </c>
      <c r="B1139" s="5"/>
      <c r="C1139" s="6">
        <v>164531</v>
      </c>
      <c r="D1139" s="6">
        <v>159649</v>
      </c>
      <c r="E1139" s="6">
        <v>159300</v>
      </c>
      <c r="F1139" s="14">
        <v>677599</v>
      </c>
      <c r="G1139" s="6">
        <v>254778</v>
      </c>
      <c r="H1139" s="6">
        <v>47465</v>
      </c>
      <c r="I1139" s="6">
        <v>55862</v>
      </c>
      <c r="J1139" s="6">
        <v>219190</v>
      </c>
      <c r="K1139" s="6">
        <v>516970</v>
      </c>
      <c r="L1139" s="6">
        <v>142134</v>
      </c>
      <c r="M1139" s="6">
        <v>2137360</v>
      </c>
      <c r="N1139" s="42">
        <v>1278502</v>
      </c>
      <c r="O1139" s="42"/>
      <c r="P1139" s="42">
        <v>109475</v>
      </c>
      <c r="Q1139" s="42">
        <v>250239</v>
      </c>
      <c r="R1139" s="42">
        <v>2432998</v>
      </c>
      <c r="S1139" s="5">
        <v>70915</v>
      </c>
      <c r="T1139" s="42">
        <v>459732</v>
      </c>
    </row>
    <row r="1140" spans="1:20" x14ac:dyDescent="0.3">
      <c r="A1140" s="7">
        <v>44496</v>
      </c>
      <c r="B1140" s="5"/>
      <c r="C1140" s="6">
        <v>165368</v>
      </c>
      <c r="D1140" s="6">
        <v>156048</v>
      </c>
      <c r="E1140" s="6">
        <v>157998</v>
      </c>
      <c r="F1140" s="14">
        <v>677073</v>
      </c>
      <c r="G1140" s="6">
        <v>254817</v>
      </c>
      <c r="H1140" s="6">
        <v>45678</v>
      </c>
      <c r="I1140" s="6">
        <v>55058</v>
      </c>
      <c r="J1140" s="6">
        <v>220406</v>
      </c>
      <c r="K1140" s="6">
        <v>509459</v>
      </c>
      <c r="L1140" s="6">
        <v>141860</v>
      </c>
      <c r="M1140" s="6">
        <v>2138085</v>
      </c>
      <c r="N1140" s="42">
        <v>1288678</v>
      </c>
      <c r="O1140" s="42"/>
      <c r="P1140" s="42">
        <v>107973</v>
      </c>
      <c r="Q1140" s="42">
        <v>246876</v>
      </c>
      <c r="R1140" s="42">
        <v>2422649</v>
      </c>
      <c r="S1140" s="5">
        <v>70738</v>
      </c>
      <c r="T1140" s="42">
        <v>460500</v>
      </c>
    </row>
    <row r="1141" spans="1:20" x14ac:dyDescent="0.3">
      <c r="A1141" s="7">
        <v>44495</v>
      </c>
      <c r="B1141" s="5"/>
      <c r="C1141" s="6">
        <v>160011</v>
      </c>
      <c r="D1141" s="6">
        <v>156495</v>
      </c>
      <c r="E1141" s="6">
        <v>159475</v>
      </c>
      <c r="F1141" s="14">
        <v>680374</v>
      </c>
      <c r="G1141" s="6">
        <v>265254</v>
      </c>
      <c r="H1141" s="6">
        <v>43061</v>
      </c>
      <c r="I1141" s="6">
        <v>54305</v>
      </c>
      <c r="J1141" s="6">
        <v>222927</v>
      </c>
      <c r="K1141" s="6">
        <v>509794</v>
      </c>
      <c r="L1141" s="6">
        <v>141581</v>
      </c>
      <c r="M1141" s="6">
        <v>2144359</v>
      </c>
      <c r="N1141" s="42">
        <v>1295271</v>
      </c>
      <c r="O1141" s="42"/>
      <c r="P1141" s="42">
        <v>109296</v>
      </c>
      <c r="Q1141" s="42">
        <v>245510</v>
      </c>
      <c r="R1141" s="42">
        <v>2404805</v>
      </c>
      <c r="S1141" s="5">
        <v>68831</v>
      </c>
      <c r="T1141" s="42">
        <v>457119</v>
      </c>
    </row>
    <row r="1142" spans="1:20" x14ac:dyDescent="0.3">
      <c r="A1142" s="7">
        <v>44494</v>
      </c>
      <c r="B1142" s="5"/>
      <c r="C1142" s="6">
        <v>160057</v>
      </c>
      <c r="D1142" s="6">
        <v>154455</v>
      </c>
      <c r="E1142" s="6">
        <v>161488</v>
      </c>
      <c r="F1142" s="14">
        <v>685440</v>
      </c>
      <c r="G1142" s="6">
        <v>259556</v>
      </c>
      <c r="H1142" s="6">
        <v>42357</v>
      </c>
      <c r="I1142" s="6">
        <v>54497</v>
      </c>
      <c r="J1142" s="6">
        <v>223563</v>
      </c>
      <c r="K1142" s="6">
        <v>516389</v>
      </c>
      <c r="L1142" s="6">
        <v>143580</v>
      </c>
      <c r="M1142" s="6">
        <v>2153110</v>
      </c>
      <c r="N1142" s="42">
        <v>1311636</v>
      </c>
      <c r="O1142" s="42"/>
      <c r="P1142" s="42">
        <v>108430</v>
      </c>
      <c r="Q1142" s="42">
        <v>242593</v>
      </c>
      <c r="R1142" s="42">
        <v>2407211</v>
      </c>
      <c r="S1142" s="5">
        <v>71790</v>
      </c>
      <c r="T1142" s="42">
        <v>455308</v>
      </c>
    </row>
    <row r="1143" spans="1:20" x14ac:dyDescent="0.3">
      <c r="A1143" s="7">
        <v>44491</v>
      </c>
      <c r="B1143" s="5"/>
      <c r="C1143" s="6">
        <v>159531</v>
      </c>
      <c r="D1143" s="6">
        <v>153478</v>
      </c>
      <c r="E1143" s="6">
        <v>164541</v>
      </c>
      <c r="F1143" s="14">
        <v>678493</v>
      </c>
      <c r="G1143" s="6">
        <v>259845</v>
      </c>
      <c r="H1143" s="6">
        <v>41921</v>
      </c>
      <c r="I1143" s="6">
        <v>54719</v>
      </c>
      <c r="J1143" s="6">
        <v>225243</v>
      </c>
      <c r="K1143" s="6">
        <v>506408</v>
      </c>
      <c r="L1143" s="6">
        <v>143184</v>
      </c>
      <c r="M1143" s="6">
        <v>2166955</v>
      </c>
      <c r="N1143" s="42">
        <v>1296620</v>
      </c>
      <c r="O1143" s="42"/>
      <c r="P1143" s="42">
        <v>108158</v>
      </c>
      <c r="Q1143" s="42">
        <v>241041</v>
      </c>
      <c r="R1143" s="42">
        <v>2382239</v>
      </c>
      <c r="S1143" s="5">
        <v>67858</v>
      </c>
      <c r="T1143" s="42">
        <v>459325</v>
      </c>
    </row>
    <row r="1144" spans="1:20" x14ac:dyDescent="0.3">
      <c r="A1144" s="7">
        <v>44490</v>
      </c>
      <c r="B1144" s="5"/>
      <c r="C1144" s="6">
        <v>160160</v>
      </c>
      <c r="D1144" s="6">
        <v>153126</v>
      </c>
      <c r="E1144" s="6">
        <v>160923</v>
      </c>
      <c r="F1144" s="14">
        <v>675665</v>
      </c>
      <c r="G1144" s="6">
        <v>262511</v>
      </c>
      <c r="H1144" s="6">
        <v>39530</v>
      </c>
      <c r="I1144" s="6">
        <v>54735</v>
      </c>
      <c r="J1144" s="6">
        <v>228698</v>
      </c>
      <c r="K1144" s="6">
        <v>486749</v>
      </c>
      <c r="L1144" s="6">
        <v>141650</v>
      </c>
      <c r="M1144" s="6">
        <v>2177829</v>
      </c>
      <c r="N1144" s="42">
        <v>1305863</v>
      </c>
      <c r="O1144" s="42"/>
      <c r="P1144" s="42">
        <v>108874</v>
      </c>
      <c r="Q1144" s="42">
        <v>240618</v>
      </c>
      <c r="R1144" s="42">
        <v>2386682</v>
      </c>
      <c r="S1144" s="5">
        <v>72874</v>
      </c>
      <c r="T1144" s="42">
        <v>458945</v>
      </c>
    </row>
    <row r="1145" spans="1:20" x14ac:dyDescent="0.3">
      <c r="A1145" s="7">
        <v>44489</v>
      </c>
      <c r="B1145" s="5"/>
      <c r="C1145" s="6">
        <v>158442</v>
      </c>
      <c r="D1145" s="6">
        <v>156170</v>
      </c>
      <c r="E1145" s="6">
        <v>158066</v>
      </c>
      <c r="F1145" s="14">
        <v>675412</v>
      </c>
      <c r="G1145" s="6">
        <v>264066</v>
      </c>
      <c r="H1145" s="6">
        <v>38467</v>
      </c>
      <c r="I1145" s="6">
        <v>56036</v>
      </c>
      <c r="J1145" s="6">
        <v>227886</v>
      </c>
      <c r="K1145" s="6">
        <v>487107</v>
      </c>
      <c r="L1145" s="6">
        <v>144915</v>
      </c>
      <c r="M1145" s="6">
        <v>2208114</v>
      </c>
      <c r="N1145" s="42">
        <v>1314473</v>
      </c>
      <c r="O1145" s="42"/>
      <c r="P1145" s="42">
        <v>109984</v>
      </c>
      <c r="Q1145" s="42">
        <v>239406</v>
      </c>
      <c r="R1145" s="42">
        <v>2380008</v>
      </c>
      <c r="S1145" s="5">
        <v>68454</v>
      </c>
      <c r="T1145" s="42">
        <v>457361</v>
      </c>
    </row>
    <row r="1146" spans="1:20" x14ac:dyDescent="0.3">
      <c r="A1146" s="7">
        <v>44488</v>
      </c>
      <c r="B1146" s="5"/>
      <c r="C1146" s="6">
        <v>158883</v>
      </c>
      <c r="D1146" s="6">
        <v>160358</v>
      </c>
      <c r="E1146" s="6">
        <v>153912</v>
      </c>
      <c r="F1146" s="14">
        <v>681038</v>
      </c>
      <c r="G1146" s="6">
        <v>266859</v>
      </c>
      <c r="H1146" s="6">
        <v>37730</v>
      </c>
      <c r="I1146" s="6">
        <v>55600</v>
      </c>
      <c r="J1146" s="6">
        <v>225225</v>
      </c>
      <c r="K1146" s="6">
        <v>485974</v>
      </c>
      <c r="L1146" s="6">
        <v>143664</v>
      </c>
      <c r="M1146" s="6">
        <v>2205089</v>
      </c>
      <c r="N1146" s="42">
        <v>1318498</v>
      </c>
      <c r="O1146" s="42"/>
      <c r="P1146" s="42">
        <v>106040</v>
      </c>
      <c r="Q1146" s="42">
        <v>237365</v>
      </c>
      <c r="R1146" s="42">
        <v>2386587</v>
      </c>
      <c r="S1146" s="5">
        <v>69426</v>
      </c>
      <c r="T1146" s="42">
        <v>459536</v>
      </c>
    </row>
    <row r="1147" spans="1:20" x14ac:dyDescent="0.3">
      <c r="A1147" s="7">
        <v>44487</v>
      </c>
      <c r="B1147" s="5"/>
      <c r="C1147" s="6">
        <v>162984</v>
      </c>
      <c r="D1147" s="6">
        <v>160137</v>
      </c>
      <c r="E1147" s="6">
        <v>147211</v>
      </c>
      <c r="F1147" s="14">
        <v>683236</v>
      </c>
      <c r="G1147" s="6">
        <v>261559</v>
      </c>
      <c r="H1147" s="6">
        <v>34301</v>
      </c>
      <c r="I1147" s="6">
        <v>54738</v>
      </c>
      <c r="J1147" s="6">
        <v>220588</v>
      </c>
      <c r="K1147" s="6">
        <v>484589</v>
      </c>
      <c r="L1147" s="6">
        <v>141473</v>
      </c>
      <c r="M1147" s="6">
        <v>2234236</v>
      </c>
      <c r="N1147" s="42">
        <v>1322039</v>
      </c>
      <c r="O1147" s="42"/>
      <c r="P1147" s="42">
        <v>105235</v>
      </c>
      <c r="Q1147" s="42">
        <v>235900</v>
      </c>
      <c r="R1147" s="42">
        <v>2387937</v>
      </c>
      <c r="S1147" s="5">
        <v>69253</v>
      </c>
      <c r="T1147" s="42">
        <v>468171</v>
      </c>
    </row>
    <row r="1148" spans="1:20" x14ac:dyDescent="0.3">
      <c r="A1148" s="7">
        <v>44484</v>
      </c>
      <c r="B1148" s="5"/>
      <c r="C1148" s="6">
        <v>163768</v>
      </c>
      <c r="D1148" s="6">
        <v>165694</v>
      </c>
      <c r="E1148" s="6">
        <v>144845</v>
      </c>
      <c r="F1148" s="14">
        <v>688384</v>
      </c>
      <c r="G1148" s="6">
        <v>257201</v>
      </c>
      <c r="H1148" s="6">
        <v>34991</v>
      </c>
      <c r="I1148" s="6">
        <v>54098</v>
      </c>
      <c r="J1148" s="6">
        <v>220306</v>
      </c>
      <c r="K1148" s="6">
        <v>487802</v>
      </c>
      <c r="L1148" s="6">
        <v>141758</v>
      </c>
      <c r="M1148" s="6">
        <v>2242623</v>
      </c>
      <c r="N1148" s="42">
        <v>1331036</v>
      </c>
      <c r="O1148" s="42"/>
      <c r="P1148" s="42">
        <v>107959</v>
      </c>
      <c r="Q1148" s="42">
        <v>233787</v>
      </c>
      <c r="R1148" s="42">
        <v>2374039</v>
      </c>
      <c r="S1148" s="5">
        <v>64469</v>
      </c>
      <c r="T1148" s="42">
        <v>458913</v>
      </c>
    </row>
    <row r="1149" spans="1:20" x14ac:dyDescent="0.3">
      <c r="A1149" s="7">
        <v>44483</v>
      </c>
      <c r="B1149" s="5"/>
      <c r="C1149" s="6">
        <v>172109</v>
      </c>
      <c r="D1149" s="6">
        <v>169865</v>
      </c>
      <c r="E1149" s="6">
        <v>142485</v>
      </c>
      <c r="F1149" s="14">
        <v>689807</v>
      </c>
      <c r="G1149" s="6">
        <v>257228</v>
      </c>
      <c r="H1149" s="6">
        <v>35532</v>
      </c>
      <c r="I1149" s="6">
        <v>54324</v>
      </c>
      <c r="J1149" s="6">
        <v>215571</v>
      </c>
      <c r="K1149" s="6">
        <v>501347</v>
      </c>
      <c r="L1149" s="6">
        <v>144510</v>
      </c>
      <c r="M1149" s="6">
        <v>2241579</v>
      </c>
      <c r="N1149" s="42">
        <v>1334093</v>
      </c>
      <c r="O1149" s="42"/>
      <c r="P1149" s="42">
        <v>102976</v>
      </c>
      <c r="Q1149" s="42">
        <v>234693</v>
      </c>
      <c r="R1149" s="42">
        <v>2397657</v>
      </c>
      <c r="S1149" s="5">
        <v>69876</v>
      </c>
      <c r="T1149" s="42">
        <v>452985</v>
      </c>
    </row>
    <row r="1150" spans="1:20" x14ac:dyDescent="0.3">
      <c r="A1150" s="7">
        <v>44482</v>
      </c>
      <c r="B1150" s="5"/>
      <c r="C1150" s="6">
        <v>176013</v>
      </c>
      <c r="D1150" s="6">
        <v>171363</v>
      </c>
      <c r="E1150" s="6">
        <v>134509</v>
      </c>
      <c r="F1150" s="14">
        <v>685424</v>
      </c>
      <c r="G1150" s="6">
        <v>252547</v>
      </c>
      <c r="H1150" s="6">
        <v>35006</v>
      </c>
      <c r="I1150" s="6">
        <v>54794</v>
      </c>
      <c r="J1150" s="6">
        <v>210030</v>
      </c>
      <c r="K1150" s="6">
        <v>500815</v>
      </c>
      <c r="L1150" s="6">
        <v>143002</v>
      </c>
      <c r="M1150" s="6">
        <v>2246995</v>
      </c>
      <c r="N1150" s="42">
        <v>1329146</v>
      </c>
      <c r="O1150" s="42"/>
      <c r="P1150" s="42">
        <v>101086</v>
      </c>
      <c r="Q1150" s="42">
        <v>233140</v>
      </c>
      <c r="R1150" s="42">
        <v>2406697</v>
      </c>
      <c r="S1150" s="5">
        <v>65981</v>
      </c>
      <c r="T1150" s="42">
        <v>451967</v>
      </c>
    </row>
    <row r="1151" spans="1:20" x14ac:dyDescent="0.3">
      <c r="A1151" s="7">
        <v>44481</v>
      </c>
      <c r="B1151" s="5"/>
      <c r="C1151" s="6">
        <v>177932</v>
      </c>
      <c r="D1151" s="6">
        <v>172829</v>
      </c>
      <c r="E1151" s="6">
        <v>127827</v>
      </c>
      <c r="F1151" s="14">
        <v>695329</v>
      </c>
      <c r="G1151" s="6">
        <v>243617</v>
      </c>
      <c r="H1151" s="6">
        <v>37340</v>
      </c>
      <c r="I1151" s="6">
        <v>57341</v>
      </c>
      <c r="J1151" s="6">
        <v>194817</v>
      </c>
      <c r="K1151" s="6">
        <v>484382</v>
      </c>
      <c r="L1151" s="6">
        <v>139403</v>
      </c>
      <c r="M1151" s="6">
        <v>2231227</v>
      </c>
      <c r="N1151" s="42">
        <v>1314022</v>
      </c>
      <c r="O1151" s="42"/>
      <c r="P1151" s="42">
        <v>102040</v>
      </c>
      <c r="Q1151" s="42">
        <v>230615</v>
      </c>
      <c r="R1151" s="42">
        <v>2403163</v>
      </c>
      <c r="S1151" s="5">
        <v>66344</v>
      </c>
      <c r="T1151" s="42">
        <v>452545</v>
      </c>
    </row>
    <row r="1152" spans="1:20" x14ac:dyDescent="0.3">
      <c r="A1152" s="7">
        <v>44480</v>
      </c>
      <c r="B1152" s="5"/>
      <c r="C1152" s="6">
        <v>181407</v>
      </c>
      <c r="D1152" s="6">
        <v>175422</v>
      </c>
      <c r="E1152" s="6">
        <v>126504</v>
      </c>
      <c r="F1152" s="14">
        <v>695155</v>
      </c>
      <c r="G1152" s="6">
        <v>236041</v>
      </c>
      <c r="H1152" s="6">
        <v>38704</v>
      </c>
      <c r="I1152" s="6">
        <v>55807</v>
      </c>
      <c r="J1152" s="6">
        <v>190979</v>
      </c>
      <c r="K1152" s="6">
        <v>485559</v>
      </c>
      <c r="L1152" s="6">
        <v>139877</v>
      </c>
      <c r="M1152" s="6">
        <v>2215955</v>
      </c>
      <c r="N1152" s="42">
        <v>1318987</v>
      </c>
      <c r="O1152" s="42"/>
      <c r="P1152" s="42">
        <v>101531</v>
      </c>
      <c r="Q1152" s="42">
        <v>229195</v>
      </c>
      <c r="R1152" s="42">
        <v>2420536</v>
      </c>
      <c r="S1152" s="5">
        <v>65878</v>
      </c>
      <c r="T1152" s="42">
        <v>451257</v>
      </c>
    </row>
    <row r="1153" spans="1:20" x14ac:dyDescent="0.3">
      <c r="A1153" s="7">
        <v>44477</v>
      </c>
      <c r="B1153" s="5"/>
      <c r="C1153" s="6">
        <v>183522</v>
      </c>
      <c r="D1153" s="6">
        <v>172511</v>
      </c>
      <c r="E1153" s="6">
        <v>127968</v>
      </c>
      <c r="F1153" s="14">
        <v>695711</v>
      </c>
      <c r="G1153" s="6">
        <v>230309</v>
      </c>
      <c r="H1153" s="6">
        <v>38076</v>
      </c>
      <c r="I1153" s="6">
        <v>56108</v>
      </c>
      <c r="J1153" s="6">
        <v>186255</v>
      </c>
      <c r="K1153" s="6">
        <v>485221</v>
      </c>
      <c r="L1153" s="6">
        <v>139836</v>
      </c>
      <c r="M1153" s="6">
        <v>2236821</v>
      </c>
      <c r="N1153" s="42">
        <v>1330376</v>
      </c>
      <c r="O1153" s="42"/>
      <c r="P1153" s="42">
        <v>100760</v>
      </c>
      <c r="Q1153" s="42">
        <v>225433</v>
      </c>
      <c r="R1153" s="42">
        <v>2424195</v>
      </c>
      <c r="S1153" s="5">
        <v>70752</v>
      </c>
      <c r="T1153" s="42">
        <v>453108</v>
      </c>
    </row>
    <row r="1154" spans="1:20" x14ac:dyDescent="0.3">
      <c r="A1154" s="7">
        <v>44476</v>
      </c>
      <c r="B1154" s="5"/>
      <c r="C1154" s="6">
        <v>188357</v>
      </c>
      <c r="D1154" s="6">
        <v>176614</v>
      </c>
      <c r="E1154" s="6">
        <v>126419</v>
      </c>
      <c r="F1154" s="14">
        <v>697968</v>
      </c>
      <c r="G1154" s="6">
        <v>224485</v>
      </c>
      <c r="H1154" s="6">
        <v>37400</v>
      </c>
      <c r="I1154" s="6">
        <v>55540</v>
      </c>
      <c r="J1154" s="6">
        <v>186054</v>
      </c>
      <c r="K1154" s="6">
        <v>484698</v>
      </c>
      <c r="L1154" s="6">
        <v>139483</v>
      </c>
      <c r="M1154" s="6">
        <v>2250844</v>
      </c>
      <c r="N1154" s="42">
        <v>1341491</v>
      </c>
      <c r="O1154" s="42"/>
      <c r="P1154" s="42">
        <v>100827</v>
      </c>
      <c r="Q1154" s="42">
        <v>226351</v>
      </c>
      <c r="R1154" s="42">
        <v>2429463</v>
      </c>
      <c r="S1154" s="5">
        <v>68656</v>
      </c>
      <c r="T1154" s="42">
        <v>450029</v>
      </c>
    </row>
    <row r="1155" spans="1:20" x14ac:dyDescent="0.3">
      <c r="A1155" s="7">
        <v>44475</v>
      </c>
      <c r="B1155" s="5"/>
      <c r="C1155" s="6">
        <v>188918</v>
      </c>
      <c r="D1155" s="6">
        <v>178296</v>
      </c>
      <c r="E1155" s="6">
        <v>119063</v>
      </c>
      <c r="F1155" s="14">
        <v>696557</v>
      </c>
      <c r="G1155" s="6">
        <v>221493</v>
      </c>
      <c r="H1155" s="6">
        <v>37212</v>
      </c>
      <c r="I1155" s="6">
        <v>55646</v>
      </c>
      <c r="J1155" s="6">
        <v>184073</v>
      </c>
      <c r="K1155" s="6">
        <v>487173</v>
      </c>
      <c r="L1155" s="6">
        <v>139194</v>
      </c>
      <c r="M1155" s="6">
        <v>2242091</v>
      </c>
      <c r="N1155" s="42">
        <v>1350981</v>
      </c>
      <c r="O1155" s="42"/>
      <c r="P1155" s="42">
        <v>94598</v>
      </c>
      <c r="Q1155" s="42">
        <v>228351</v>
      </c>
      <c r="R1155" s="42">
        <v>2431005</v>
      </c>
      <c r="S1155" s="5">
        <v>68306</v>
      </c>
      <c r="T1155" s="42">
        <v>445599</v>
      </c>
    </row>
    <row r="1156" spans="1:20" x14ac:dyDescent="0.3">
      <c r="A1156" s="7">
        <v>44474</v>
      </c>
      <c r="B1156" s="5"/>
      <c r="C1156" s="6">
        <v>188691</v>
      </c>
      <c r="D1156" s="6">
        <v>182338</v>
      </c>
      <c r="E1156" s="6">
        <v>120168</v>
      </c>
      <c r="F1156" s="14">
        <v>693591</v>
      </c>
      <c r="G1156" s="6">
        <v>226379</v>
      </c>
      <c r="H1156" s="6">
        <v>35861</v>
      </c>
      <c r="I1156" s="6">
        <v>55970</v>
      </c>
      <c r="J1156" s="6">
        <v>185655</v>
      </c>
      <c r="K1156" s="6">
        <v>483789</v>
      </c>
      <c r="L1156" s="6">
        <v>139763</v>
      </c>
      <c r="M1156" s="6">
        <v>2230794</v>
      </c>
      <c r="N1156" s="42">
        <v>1376788</v>
      </c>
      <c r="O1156" s="42"/>
      <c r="P1156" s="42">
        <v>96240</v>
      </c>
      <c r="Q1156" s="42">
        <v>225151</v>
      </c>
      <c r="R1156" s="42">
        <v>2437353</v>
      </c>
      <c r="S1156" s="5">
        <v>69732</v>
      </c>
      <c r="T1156" s="42">
        <v>442063</v>
      </c>
    </row>
    <row r="1157" spans="1:20" x14ac:dyDescent="0.3">
      <c r="A1157" s="7">
        <v>44473</v>
      </c>
      <c r="B1157" s="5"/>
      <c r="C1157" s="6">
        <v>190292</v>
      </c>
      <c r="D1157" s="6">
        <v>182388</v>
      </c>
      <c r="E1157" s="6">
        <v>120016</v>
      </c>
      <c r="F1157" s="14">
        <v>695605</v>
      </c>
      <c r="G1157" s="6">
        <v>222631</v>
      </c>
      <c r="H1157" s="6">
        <v>35263</v>
      </c>
      <c r="I1157" s="6">
        <v>56679</v>
      </c>
      <c r="J1157" s="6">
        <v>185434</v>
      </c>
      <c r="K1157" s="6">
        <v>485690</v>
      </c>
      <c r="L1157" s="6">
        <v>139725</v>
      </c>
      <c r="M1157" s="6">
        <v>2197290</v>
      </c>
      <c r="N1157" s="42">
        <v>1362871</v>
      </c>
      <c r="O1157" s="42"/>
      <c r="P1157" s="42">
        <v>95113</v>
      </c>
      <c r="Q1157" s="42">
        <v>229622</v>
      </c>
      <c r="R1157" s="42">
        <v>2452853</v>
      </c>
      <c r="S1157" s="5">
        <v>69717</v>
      </c>
      <c r="T1157" s="42">
        <v>432171</v>
      </c>
    </row>
    <row r="1158" spans="1:20" x14ac:dyDescent="0.3">
      <c r="A1158" s="7">
        <v>44470</v>
      </c>
      <c r="B1158" s="5"/>
      <c r="C1158" s="6">
        <v>192032</v>
      </c>
      <c r="D1158" s="6">
        <v>188174</v>
      </c>
      <c r="E1158" s="6">
        <v>119494</v>
      </c>
      <c r="F1158" s="14">
        <v>692597</v>
      </c>
      <c r="G1158" s="6">
        <v>224119</v>
      </c>
      <c r="H1158" s="6">
        <v>35407</v>
      </c>
      <c r="I1158" s="6">
        <v>57855</v>
      </c>
      <c r="J1158" s="6">
        <v>182813</v>
      </c>
      <c r="K1158" s="6">
        <v>483612</v>
      </c>
      <c r="L1158" s="6">
        <v>139857</v>
      </c>
      <c r="M1158" s="6">
        <v>2174479</v>
      </c>
      <c r="N1158" s="42">
        <v>1360303</v>
      </c>
      <c r="O1158" s="42"/>
      <c r="P1158" s="42">
        <v>96312</v>
      </c>
      <c r="Q1158" s="42">
        <v>222578</v>
      </c>
      <c r="R1158" s="42">
        <v>2438400</v>
      </c>
      <c r="S1158" s="5">
        <v>68559</v>
      </c>
      <c r="T1158" s="42">
        <v>434819</v>
      </c>
    </row>
    <row r="1159" spans="1:20" x14ac:dyDescent="0.3">
      <c r="A1159" s="7">
        <v>44469</v>
      </c>
      <c r="B1159" s="5"/>
      <c r="C1159" s="6">
        <v>189976</v>
      </c>
      <c r="D1159" s="6">
        <v>186375</v>
      </c>
      <c r="E1159" s="6">
        <v>120866</v>
      </c>
      <c r="F1159" s="14">
        <v>686562</v>
      </c>
      <c r="G1159" s="6">
        <v>232813</v>
      </c>
      <c r="H1159" s="6">
        <v>35381</v>
      </c>
      <c r="I1159" s="6">
        <v>58923</v>
      </c>
      <c r="J1159" s="6">
        <v>183473</v>
      </c>
      <c r="K1159" s="6">
        <v>487410</v>
      </c>
      <c r="L1159" s="6">
        <v>140479</v>
      </c>
      <c r="M1159" s="6">
        <v>2176724</v>
      </c>
      <c r="N1159" s="42">
        <v>1366597</v>
      </c>
      <c r="O1159" s="42"/>
      <c r="P1159" s="42">
        <v>97908</v>
      </c>
      <c r="Q1159" s="42">
        <v>225988</v>
      </c>
      <c r="R1159" s="42">
        <v>2453207</v>
      </c>
      <c r="S1159" s="5">
        <v>66735</v>
      </c>
      <c r="T1159" s="42">
        <v>435430</v>
      </c>
    </row>
    <row r="1160" spans="1:20" x14ac:dyDescent="0.3">
      <c r="A1160" s="7">
        <v>44468</v>
      </c>
      <c r="B1160" s="5"/>
      <c r="C1160" s="6">
        <v>190702</v>
      </c>
      <c r="D1160" s="6">
        <v>178333</v>
      </c>
      <c r="E1160" s="6">
        <v>120270</v>
      </c>
      <c r="F1160" s="14">
        <v>681938</v>
      </c>
      <c r="G1160" s="6">
        <v>229908</v>
      </c>
      <c r="H1160" s="6">
        <v>37522</v>
      </c>
      <c r="I1160" s="6">
        <v>60875</v>
      </c>
      <c r="J1160" s="6">
        <v>184560</v>
      </c>
      <c r="K1160" s="6">
        <v>491249</v>
      </c>
      <c r="L1160" s="6">
        <v>147083</v>
      </c>
      <c r="M1160" s="6">
        <v>2179872</v>
      </c>
      <c r="N1160" s="42">
        <v>1355271</v>
      </c>
      <c r="O1160" s="42"/>
      <c r="P1160" s="42">
        <v>98833</v>
      </c>
      <c r="Q1160" s="42">
        <v>224751</v>
      </c>
      <c r="R1160" s="42">
        <v>2470328</v>
      </c>
      <c r="S1160" s="5">
        <v>69721</v>
      </c>
      <c r="T1160" s="42">
        <v>432574</v>
      </c>
    </row>
    <row r="1161" spans="1:20" x14ac:dyDescent="0.3">
      <c r="A1161" s="7">
        <v>44467</v>
      </c>
      <c r="B1161" s="5"/>
      <c r="C1161" s="6">
        <v>180869</v>
      </c>
      <c r="D1161" s="6">
        <v>171773</v>
      </c>
      <c r="E1161" s="6">
        <v>118066</v>
      </c>
      <c r="F1161" s="14">
        <v>668067</v>
      </c>
      <c r="G1161" s="6">
        <v>219638</v>
      </c>
      <c r="H1161" s="6">
        <v>33673</v>
      </c>
      <c r="I1161" s="6">
        <v>58506</v>
      </c>
      <c r="J1161" s="6">
        <v>184988</v>
      </c>
      <c r="K1161" s="6">
        <v>490858</v>
      </c>
      <c r="L1161" s="6">
        <v>142163</v>
      </c>
      <c r="M1161" s="6">
        <v>2175199</v>
      </c>
      <c r="N1161" s="42">
        <v>1363463</v>
      </c>
      <c r="O1161" s="42"/>
      <c r="P1161" s="42">
        <v>98544</v>
      </c>
      <c r="Q1161" s="42">
        <v>230609</v>
      </c>
      <c r="R1161" s="42">
        <v>2457374</v>
      </c>
      <c r="S1161" s="5">
        <v>82533</v>
      </c>
      <c r="T1161" s="42">
        <v>427754</v>
      </c>
    </row>
    <row r="1162" spans="1:20" x14ac:dyDescent="0.3">
      <c r="A1162" s="7">
        <v>44466</v>
      </c>
      <c r="B1162" s="5"/>
      <c r="C1162" s="6">
        <v>177069</v>
      </c>
      <c r="D1162" s="6">
        <v>156053</v>
      </c>
      <c r="E1162" s="6">
        <v>118740</v>
      </c>
      <c r="F1162" s="14">
        <v>662443</v>
      </c>
      <c r="G1162" s="6">
        <v>209783</v>
      </c>
      <c r="H1162" s="6">
        <v>34708</v>
      </c>
      <c r="I1162" s="6">
        <v>56590</v>
      </c>
      <c r="J1162" s="6">
        <v>183073</v>
      </c>
      <c r="K1162" s="6">
        <v>496277</v>
      </c>
      <c r="L1162" s="6">
        <v>143255</v>
      </c>
      <c r="M1162" s="6">
        <v>2172111</v>
      </c>
      <c r="N1162" s="42">
        <v>1372173</v>
      </c>
      <c r="O1162" s="42"/>
      <c r="P1162" s="42">
        <v>100244</v>
      </c>
      <c r="Q1162" s="42">
        <v>223222</v>
      </c>
      <c r="R1162" s="42">
        <v>2436928</v>
      </c>
      <c r="S1162" s="5">
        <v>68844</v>
      </c>
      <c r="T1162" s="42">
        <v>430352</v>
      </c>
    </row>
    <row r="1163" spans="1:20" x14ac:dyDescent="0.3">
      <c r="A1163" s="7">
        <v>44463</v>
      </c>
      <c r="B1163" s="5"/>
      <c r="C1163" s="6">
        <v>177633</v>
      </c>
      <c r="D1163" s="6">
        <v>159312</v>
      </c>
      <c r="E1163" s="6">
        <v>121861</v>
      </c>
      <c r="F1163" s="14">
        <v>657733</v>
      </c>
      <c r="G1163" s="6">
        <v>200637</v>
      </c>
      <c r="H1163" s="6">
        <v>35211</v>
      </c>
      <c r="I1163" s="6">
        <v>55592</v>
      </c>
      <c r="J1163" s="6">
        <v>182349</v>
      </c>
      <c r="K1163" s="6">
        <v>498005</v>
      </c>
      <c r="L1163" s="6">
        <v>144047</v>
      </c>
      <c r="M1163" s="6">
        <v>2157090</v>
      </c>
      <c r="N1163" s="42">
        <v>1377135</v>
      </c>
      <c r="O1163" s="42"/>
      <c r="P1163" s="42">
        <v>98969</v>
      </c>
      <c r="Q1163" s="42">
        <v>223675</v>
      </c>
      <c r="R1163" s="42">
        <v>2429205</v>
      </c>
      <c r="S1163" s="5">
        <v>73552</v>
      </c>
      <c r="T1163" s="42">
        <v>431913</v>
      </c>
    </row>
    <row r="1164" spans="1:20" x14ac:dyDescent="0.3">
      <c r="A1164" s="7">
        <v>44462</v>
      </c>
      <c r="B1164" s="5"/>
      <c r="C1164" s="6">
        <v>181117</v>
      </c>
      <c r="D1164" s="6">
        <v>160323</v>
      </c>
      <c r="E1164" s="6">
        <v>123877</v>
      </c>
      <c r="F1164" s="14">
        <v>667898</v>
      </c>
      <c r="G1164" s="6">
        <v>188684</v>
      </c>
      <c r="H1164" s="6">
        <v>37129</v>
      </c>
      <c r="I1164" s="6">
        <v>55621</v>
      </c>
      <c r="J1164" s="6">
        <v>185277</v>
      </c>
      <c r="K1164" s="6">
        <v>498037</v>
      </c>
      <c r="L1164" s="6">
        <v>143641</v>
      </c>
      <c r="M1164" s="6">
        <v>2143727</v>
      </c>
      <c r="N1164" s="42">
        <v>1385026</v>
      </c>
      <c r="O1164" s="42"/>
      <c r="P1164" s="42">
        <v>99957</v>
      </c>
      <c r="Q1164" s="42">
        <v>225249</v>
      </c>
      <c r="R1164" s="42">
        <v>2439826</v>
      </c>
      <c r="S1164" s="5">
        <v>97437</v>
      </c>
      <c r="T1164" s="42">
        <v>431838</v>
      </c>
    </row>
    <row r="1165" spans="1:20" x14ac:dyDescent="0.3">
      <c r="A1165" s="7">
        <v>44461</v>
      </c>
      <c r="B1165" s="5"/>
      <c r="C1165" s="6">
        <v>184117</v>
      </c>
      <c r="D1165" s="6">
        <v>162767</v>
      </c>
      <c r="E1165" s="6">
        <v>121398</v>
      </c>
      <c r="F1165" s="14">
        <v>663392</v>
      </c>
      <c r="G1165" s="6">
        <v>185956</v>
      </c>
      <c r="H1165" s="6">
        <v>36567</v>
      </c>
      <c r="I1165" s="6">
        <v>56236</v>
      </c>
      <c r="J1165" s="6">
        <v>186127</v>
      </c>
      <c r="K1165" s="6">
        <v>494617</v>
      </c>
      <c r="L1165" s="6">
        <v>144047</v>
      </c>
      <c r="M1165" s="6">
        <v>2111205</v>
      </c>
      <c r="N1165" s="42">
        <v>1378874</v>
      </c>
      <c r="O1165" s="42"/>
      <c r="P1165" s="42">
        <v>98536</v>
      </c>
      <c r="Q1165" s="42">
        <v>222182</v>
      </c>
      <c r="R1165" s="42">
        <v>2443357</v>
      </c>
      <c r="S1165" s="5">
        <v>80593</v>
      </c>
      <c r="T1165" s="42">
        <v>431726</v>
      </c>
    </row>
    <row r="1166" spans="1:20" x14ac:dyDescent="0.3">
      <c r="A1166" s="7">
        <v>44460</v>
      </c>
      <c r="B1166" s="5"/>
      <c r="C1166" s="6">
        <v>185492</v>
      </c>
      <c r="D1166" s="6">
        <v>159908</v>
      </c>
      <c r="E1166" s="6">
        <v>118528</v>
      </c>
      <c r="F1166" s="14">
        <v>663519</v>
      </c>
      <c r="G1166" s="6">
        <v>191213</v>
      </c>
      <c r="H1166" s="6">
        <v>36691</v>
      </c>
      <c r="I1166" s="6">
        <v>56838</v>
      </c>
      <c r="J1166" s="6">
        <v>190659</v>
      </c>
      <c r="K1166" s="6">
        <v>492765</v>
      </c>
      <c r="L1166" s="6">
        <v>145537</v>
      </c>
      <c r="M1166" s="6">
        <v>2101558</v>
      </c>
      <c r="N1166" s="42">
        <v>1378350</v>
      </c>
      <c r="O1166" s="42"/>
      <c r="P1166" s="42">
        <v>95884</v>
      </c>
      <c r="Q1166" s="42">
        <v>222302</v>
      </c>
      <c r="R1166" s="42">
        <v>2453183</v>
      </c>
      <c r="S1166" s="5">
        <v>70831</v>
      </c>
      <c r="T1166" s="42">
        <v>435806</v>
      </c>
    </row>
    <row r="1167" spans="1:20" x14ac:dyDescent="0.3">
      <c r="A1167" s="7">
        <v>44459</v>
      </c>
      <c r="B1167" s="5"/>
      <c r="C1167" s="6">
        <v>185555</v>
      </c>
      <c r="D1167" s="6">
        <v>153926</v>
      </c>
      <c r="E1167" s="6">
        <v>118458</v>
      </c>
      <c r="F1167" s="14">
        <v>664264</v>
      </c>
      <c r="G1167" s="6">
        <v>187510</v>
      </c>
      <c r="H1167" s="6">
        <v>36560</v>
      </c>
      <c r="I1167" s="6">
        <v>56459</v>
      </c>
      <c r="J1167" s="6">
        <v>189029</v>
      </c>
      <c r="K1167" s="6">
        <v>497043</v>
      </c>
      <c r="L1167" s="6">
        <v>145233</v>
      </c>
      <c r="M1167" s="6">
        <v>2111156</v>
      </c>
      <c r="N1167" s="42">
        <v>1394882</v>
      </c>
      <c r="O1167" s="42"/>
      <c r="P1167" s="42">
        <v>97716</v>
      </c>
      <c r="Q1167" s="42">
        <v>225448</v>
      </c>
      <c r="R1167" s="42">
        <v>2471982</v>
      </c>
      <c r="S1167" s="5">
        <v>77382</v>
      </c>
      <c r="T1167" s="42">
        <v>489322</v>
      </c>
    </row>
    <row r="1168" spans="1:20" x14ac:dyDescent="0.3">
      <c r="A1168" s="7">
        <v>44456</v>
      </c>
      <c r="B1168" s="5"/>
      <c r="C1168" s="6">
        <v>176730</v>
      </c>
      <c r="D1168" s="6">
        <v>144989</v>
      </c>
      <c r="E1168" s="6">
        <v>115983</v>
      </c>
      <c r="F1168" s="14">
        <v>658708</v>
      </c>
      <c r="G1168" s="6">
        <v>190018</v>
      </c>
      <c r="H1168" s="6">
        <v>35934</v>
      </c>
      <c r="I1168" s="6">
        <v>53313</v>
      </c>
      <c r="J1168" s="6">
        <v>191160</v>
      </c>
      <c r="K1168" s="6">
        <v>504089</v>
      </c>
      <c r="L1168" s="6">
        <v>145249</v>
      </c>
      <c r="M1168" s="6">
        <v>2131248</v>
      </c>
      <c r="N1168" s="42">
        <v>1404318</v>
      </c>
      <c r="O1168" s="42"/>
      <c r="P1168" s="42">
        <v>116940</v>
      </c>
      <c r="Q1168" s="42">
        <v>279167</v>
      </c>
      <c r="R1168" s="42">
        <v>3010719</v>
      </c>
      <c r="S1168" s="5">
        <v>66821</v>
      </c>
      <c r="T1168" s="42">
        <v>491584</v>
      </c>
    </row>
    <row r="1169" spans="1:20" x14ac:dyDescent="0.3">
      <c r="A1169" s="7">
        <v>44455</v>
      </c>
      <c r="B1169" s="5"/>
      <c r="C1169" s="6">
        <v>170535</v>
      </c>
      <c r="D1169" s="6">
        <v>143167</v>
      </c>
      <c r="E1169" s="6">
        <v>114422</v>
      </c>
      <c r="F1169" s="14">
        <v>651764</v>
      </c>
      <c r="G1169" s="6">
        <v>188885</v>
      </c>
      <c r="H1169" s="6">
        <v>35683</v>
      </c>
      <c r="I1169" s="6">
        <v>52245</v>
      </c>
      <c r="J1169" s="6">
        <v>193393</v>
      </c>
      <c r="K1169" s="6">
        <v>505193</v>
      </c>
      <c r="L1169" s="6">
        <v>144247</v>
      </c>
      <c r="M1169" s="6">
        <v>2141297</v>
      </c>
      <c r="N1169" s="42">
        <v>1414121</v>
      </c>
      <c r="O1169" s="42"/>
      <c r="P1169" s="42">
        <v>116259</v>
      </c>
      <c r="Q1169" s="42">
        <v>276207</v>
      </c>
      <c r="R1169" s="42">
        <v>3072402</v>
      </c>
      <c r="S1169" s="5">
        <v>69671</v>
      </c>
      <c r="T1169" s="42">
        <v>495881</v>
      </c>
    </row>
    <row r="1170" spans="1:20" x14ac:dyDescent="0.3">
      <c r="A1170" s="7">
        <v>44454</v>
      </c>
      <c r="B1170" s="5"/>
      <c r="C1170" s="6">
        <v>164956</v>
      </c>
      <c r="D1170" s="6">
        <v>144956</v>
      </c>
      <c r="E1170" s="6">
        <v>117831</v>
      </c>
      <c r="F1170" s="14">
        <v>655769</v>
      </c>
      <c r="G1170" s="6">
        <v>194220</v>
      </c>
      <c r="H1170" s="6">
        <v>35730</v>
      </c>
      <c r="I1170" s="6">
        <v>45771</v>
      </c>
      <c r="J1170" s="6">
        <v>194234</v>
      </c>
      <c r="K1170" s="6">
        <v>503019</v>
      </c>
      <c r="L1170" s="6">
        <v>140850</v>
      </c>
      <c r="M1170" s="6">
        <v>2165198</v>
      </c>
      <c r="N1170" s="42">
        <v>1436203</v>
      </c>
      <c r="O1170" s="42"/>
      <c r="P1170" s="42">
        <v>120393</v>
      </c>
      <c r="Q1170" s="42">
        <v>280931</v>
      </c>
      <c r="R1170" s="42">
        <v>3071219</v>
      </c>
      <c r="S1170" s="5">
        <v>70679</v>
      </c>
      <c r="T1170" s="42">
        <v>484769</v>
      </c>
    </row>
    <row r="1171" spans="1:20" x14ac:dyDescent="0.3">
      <c r="A1171" s="7">
        <v>44453</v>
      </c>
      <c r="B1171" s="5"/>
      <c r="C1171" s="6">
        <v>217979</v>
      </c>
      <c r="D1171" s="6">
        <v>201737</v>
      </c>
      <c r="E1171" s="6">
        <v>175708</v>
      </c>
      <c r="F1171" s="14">
        <v>767746</v>
      </c>
      <c r="G1171" s="6">
        <v>251333</v>
      </c>
      <c r="H1171" s="6">
        <v>51044</v>
      </c>
      <c r="I1171" s="6">
        <v>58832</v>
      </c>
      <c r="J1171" s="6">
        <v>192156</v>
      </c>
      <c r="K1171" s="6">
        <v>506356</v>
      </c>
      <c r="L1171" s="6">
        <v>140540</v>
      </c>
      <c r="M1171" s="6">
        <v>2145165</v>
      </c>
      <c r="N1171" s="42">
        <v>1429777</v>
      </c>
      <c r="O1171" s="42"/>
      <c r="P1171" s="42">
        <v>121065</v>
      </c>
      <c r="Q1171" s="42">
        <v>277699</v>
      </c>
      <c r="R1171" s="42">
        <v>3051765</v>
      </c>
      <c r="S1171" s="5">
        <v>72638</v>
      </c>
      <c r="T1171" s="42">
        <v>498978</v>
      </c>
    </row>
    <row r="1172" spans="1:20" x14ac:dyDescent="0.3">
      <c r="A1172" s="7">
        <v>44452</v>
      </c>
      <c r="B1172" s="5"/>
      <c r="C1172" s="6">
        <v>219429</v>
      </c>
      <c r="D1172" s="6">
        <v>197686</v>
      </c>
      <c r="E1172" s="6">
        <v>177613</v>
      </c>
      <c r="F1172" s="14">
        <v>768240</v>
      </c>
      <c r="G1172" s="6">
        <v>249018</v>
      </c>
      <c r="H1172" s="6">
        <v>50977</v>
      </c>
      <c r="I1172" s="6">
        <v>58592</v>
      </c>
      <c r="J1172" s="6">
        <v>193936</v>
      </c>
      <c r="K1172" s="6">
        <v>503831</v>
      </c>
      <c r="L1172" s="6">
        <v>139390</v>
      </c>
      <c r="M1172" s="6">
        <v>2139565</v>
      </c>
      <c r="N1172" s="42">
        <v>1442854</v>
      </c>
      <c r="O1172" s="42"/>
      <c r="P1172" s="42">
        <v>118879</v>
      </c>
      <c r="Q1172" s="42">
        <v>268752</v>
      </c>
      <c r="R1172" s="42">
        <v>3096957</v>
      </c>
      <c r="S1172" s="5">
        <v>79687</v>
      </c>
      <c r="T1172" s="42">
        <v>493043</v>
      </c>
    </row>
    <row r="1173" spans="1:20" x14ac:dyDescent="0.3">
      <c r="A1173" s="7">
        <v>44449</v>
      </c>
      <c r="B1173" s="5"/>
      <c r="C1173" s="6">
        <v>222125</v>
      </c>
      <c r="D1173" s="6">
        <v>194757</v>
      </c>
      <c r="E1173" s="6">
        <v>171041</v>
      </c>
      <c r="F1173" s="14">
        <v>745215</v>
      </c>
      <c r="G1173" s="6">
        <v>246910</v>
      </c>
      <c r="H1173" s="6">
        <v>50376</v>
      </c>
      <c r="I1173" s="6">
        <v>55350</v>
      </c>
      <c r="J1173" s="6">
        <v>196568</v>
      </c>
      <c r="K1173" s="6">
        <v>503195</v>
      </c>
      <c r="L1173" s="6">
        <v>140057</v>
      </c>
      <c r="M1173" s="6">
        <v>2155056</v>
      </c>
      <c r="N1173" s="42">
        <v>1442989</v>
      </c>
      <c r="O1173" s="42"/>
      <c r="P1173" s="42">
        <v>113023</v>
      </c>
      <c r="Q1173" s="42">
        <v>251993</v>
      </c>
      <c r="R1173" s="42">
        <v>2944685</v>
      </c>
      <c r="S1173" s="5">
        <v>87631</v>
      </c>
      <c r="T1173" s="42">
        <v>478910</v>
      </c>
    </row>
    <row r="1174" spans="1:20" x14ac:dyDescent="0.3">
      <c r="A1174" s="7">
        <v>44448</v>
      </c>
      <c r="B1174" s="5"/>
      <c r="C1174" s="6">
        <v>218143</v>
      </c>
      <c r="D1174" s="6">
        <v>200684</v>
      </c>
      <c r="E1174" s="6">
        <v>169299</v>
      </c>
      <c r="F1174" s="14">
        <v>731255</v>
      </c>
      <c r="G1174" s="6">
        <v>243264</v>
      </c>
      <c r="H1174" s="6">
        <v>48871</v>
      </c>
      <c r="I1174" s="6">
        <v>53283</v>
      </c>
      <c r="J1174" s="6">
        <v>187057</v>
      </c>
      <c r="K1174" s="6">
        <v>504176</v>
      </c>
      <c r="L1174" s="6">
        <v>139599</v>
      </c>
      <c r="M1174" s="6">
        <v>2151744</v>
      </c>
      <c r="N1174" s="42">
        <v>1454953</v>
      </c>
      <c r="O1174" s="42"/>
      <c r="P1174" s="42">
        <v>109427</v>
      </c>
      <c r="Q1174" s="42">
        <v>237521</v>
      </c>
      <c r="R1174" s="42">
        <v>2874444</v>
      </c>
      <c r="S1174" s="5">
        <v>0</v>
      </c>
      <c r="T1174" s="42">
        <v>465837</v>
      </c>
    </row>
    <row r="1175" spans="1:20" x14ac:dyDescent="0.3">
      <c r="A1175" s="7">
        <v>44447</v>
      </c>
      <c r="B1175" s="5"/>
      <c r="C1175" s="6">
        <v>201120</v>
      </c>
      <c r="D1175" s="6">
        <v>208061</v>
      </c>
      <c r="E1175" s="6">
        <v>168732</v>
      </c>
      <c r="F1175" s="14">
        <v>731336</v>
      </c>
      <c r="G1175" s="6">
        <v>226837</v>
      </c>
      <c r="H1175" s="6">
        <v>51863</v>
      </c>
      <c r="I1175" s="6">
        <v>50988</v>
      </c>
      <c r="J1175" s="6">
        <v>188559</v>
      </c>
      <c r="K1175" s="6">
        <v>503186</v>
      </c>
      <c r="L1175" s="6">
        <v>138942</v>
      </c>
      <c r="M1175" s="6">
        <v>2141378</v>
      </c>
      <c r="N1175" s="42">
        <v>1468636</v>
      </c>
      <c r="O1175" s="42"/>
      <c r="P1175" s="42">
        <v>108791</v>
      </c>
      <c r="Q1175" s="42">
        <v>237303</v>
      </c>
      <c r="R1175" s="42">
        <v>2831427</v>
      </c>
      <c r="S1175" s="5">
        <v>29396</v>
      </c>
      <c r="T1175" s="42">
        <v>453868</v>
      </c>
    </row>
    <row r="1176" spans="1:20" x14ac:dyDescent="0.3">
      <c r="A1176" s="7">
        <v>44446</v>
      </c>
      <c r="B1176" s="5"/>
      <c r="C1176" s="6">
        <v>173484</v>
      </c>
      <c r="D1176" s="6">
        <v>201389</v>
      </c>
      <c r="E1176" s="6">
        <v>170506</v>
      </c>
      <c r="F1176" s="14">
        <v>696734</v>
      </c>
      <c r="G1176" s="6">
        <v>204435</v>
      </c>
      <c r="H1176" s="6">
        <v>58075</v>
      </c>
      <c r="I1176" s="6">
        <v>44573</v>
      </c>
      <c r="J1176" s="6">
        <v>190379</v>
      </c>
      <c r="K1176" s="6">
        <v>506772</v>
      </c>
      <c r="L1176" s="6">
        <v>139187</v>
      </c>
      <c r="M1176" s="6">
        <v>2107706</v>
      </c>
      <c r="N1176" s="42">
        <v>1466890</v>
      </c>
      <c r="O1176" s="42"/>
      <c r="P1176" s="42">
        <v>106780</v>
      </c>
      <c r="Q1176" s="42">
        <v>234329</v>
      </c>
      <c r="R1176" s="42">
        <v>2827555</v>
      </c>
      <c r="S1176" s="5">
        <v>53076</v>
      </c>
      <c r="T1176" s="42">
        <v>453267</v>
      </c>
    </row>
    <row r="1177" spans="1:20" x14ac:dyDescent="0.3">
      <c r="A1177" s="7">
        <v>44442</v>
      </c>
      <c r="B1177" s="5"/>
      <c r="C1177" s="6">
        <v>169395</v>
      </c>
      <c r="D1177" s="6">
        <v>196866</v>
      </c>
      <c r="E1177" s="6">
        <v>169211</v>
      </c>
      <c r="F1177" s="14">
        <v>694397</v>
      </c>
      <c r="G1177" s="6">
        <v>188607</v>
      </c>
      <c r="H1177" s="6">
        <v>47522</v>
      </c>
      <c r="I1177" s="6">
        <v>40295</v>
      </c>
      <c r="J1177" s="6">
        <v>190046</v>
      </c>
      <c r="K1177" s="6">
        <v>513213</v>
      </c>
      <c r="L1177" s="6">
        <v>143035</v>
      </c>
      <c r="M1177" s="6">
        <v>2105166</v>
      </c>
      <c r="N1177" s="42">
        <v>1461328</v>
      </c>
      <c r="O1177" s="42"/>
      <c r="P1177" s="42">
        <v>107108</v>
      </c>
      <c r="Q1177" s="42">
        <v>233187</v>
      </c>
      <c r="R1177" s="42">
        <v>2815289</v>
      </c>
      <c r="S1177" s="5">
        <v>71268</v>
      </c>
      <c r="T1177" s="42">
        <v>453340</v>
      </c>
    </row>
    <row r="1178" spans="1:20" x14ac:dyDescent="0.3">
      <c r="A1178" s="7">
        <v>44441</v>
      </c>
      <c r="B1178" s="5"/>
      <c r="C1178" s="6">
        <v>176079</v>
      </c>
      <c r="D1178" s="6">
        <v>198686</v>
      </c>
      <c r="E1178" s="6">
        <v>168597</v>
      </c>
      <c r="F1178" s="14">
        <v>695050</v>
      </c>
      <c r="G1178" s="6">
        <v>190581</v>
      </c>
      <c r="H1178" s="6">
        <v>47690</v>
      </c>
      <c r="I1178" s="6">
        <v>39777</v>
      </c>
      <c r="J1178" s="6">
        <v>188557</v>
      </c>
      <c r="K1178" s="6">
        <v>504805</v>
      </c>
      <c r="L1178" s="6">
        <v>140079</v>
      </c>
      <c r="M1178" s="6">
        <v>2107833</v>
      </c>
      <c r="N1178" s="42">
        <v>1449296</v>
      </c>
      <c r="O1178" s="42"/>
      <c r="P1178" s="42">
        <v>108910</v>
      </c>
      <c r="Q1178" s="42">
        <v>231953</v>
      </c>
      <c r="R1178" s="42">
        <v>2816487</v>
      </c>
      <c r="S1178" s="5">
        <v>79877</v>
      </c>
      <c r="T1178" s="42">
        <v>453302</v>
      </c>
    </row>
    <row r="1179" spans="1:20" x14ac:dyDescent="0.3">
      <c r="A1179" s="7">
        <v>44440</v>
      </c>
      <c r="B1179" s="5"/>
      <c r="C1179" s="6">
        <v>180305</v>
      </c>
      <c r="D1179" s="6">
        <v>196930</v>
      </c>
      <c r="E1179" s="6">
        <v>169439</v>
      </c>
      <c r="F1179" s="14">
        <v>696421</v>
      </c>
      <c r="G1179" s="6">
        <v>192482</v>
      </c>
      <c r="H1179" s="6">
        <v>47189</v>
      </c>
      <c r="I1179" s="6">
        <v>43164</v>
      </c>
      <c r="J1179" s="6">
        <v>188971</v>
      </c>
      <c r="K1179" s="6">
        <v>505362</v>
      </c>
      <c r="L1179" s="6">
        <v>141865</v>
      </c>
      <c r="M1179" s="6">
        <v>2091309</v>
      </c>
      <c r="N1179" s="42">
        <v>1446348</v>
      </c>
      <c r="O1179" s="42"/>
      <c r="P1179" s="42">
        <v>109110</v>
      </c>
      <c r="Q1179" s="42">
        <v>233005</v>
      </c>
      <c r="R1179" s="42">
        <v>2791532</v>
      </c>
      <c r="S1179" s="5">
        <v>77448</v>
      </c>
      <c r="T1179" s="42">
        <v>454626</v>
      </c>
    </row>
    <row r="1180" spans="1:20" x14ac:dyDescent="0.3">
      <c r="A1180" s="7">
        <v>44439</v>
      </c>
      <c r="B1180" s="5"/>
      <c r="C1180" s="6">
        <v>182084</v>
      </c>
      <c r="D1180" s="6">
        <v>194010</v>
      </c>
      <c r="E1180" s="6">
        <v>170439</v>
      </c>
      <c r="F1180" s="14">
        <v>705110</v>
      </c>
      <c r="G1180" s="6">
        <v>193999</v>
      </c>
      <c r="H1180" s="6">
        <v>48296</v>
      </c>
      <c r="I1180" s="6">
        <v>43060</v>
      </c>
      <c r="J1180" s="6">
        <v>190030</v>
      </c>
      <c r="K1180" s="6">
        <v>507113</v>
      </c>
      <c r="L1180" s="6">
        <v>140937</v>
      </c>
      <c r="M1180" s="6">
        <v>2074185</v>
      </c>
      <c r="N1180" s="42">
        <v>1433792</v>
      </c>
      <c r="O1180" s="42"/>
      <c r="P1180" s="42">
        <v>109275</v>
      </c>
      <c r="Q1180" s="42">
        <v>230598</v>
      </c>
      <c r="R1180" s="42">
        <v>2776075</v>
      </c>
      <c r="S1180" s="5">
        <v>84603</v>
      </c>
      <c r="T1180" s="42">
        <v>458581</v>
      </c>
    </row>
    <row r="1181" spans="1:20" x14ac:dyDescent="0.3">
      <c r="A1181" s="7">
        <v>44438</v>
      </c>
      <c r="B1181" s="5"/>
      <c r="C1181" s="6">
        <v>180985</v>
      </c>
      <c r="D1181" s="6">
        <v>193639</v>
      </c>
      <c r="E1181" s="6">
        <v>169099</v>
      </c>
      <c r="F1181" s="14">
        <v>701734</v>
      </c>
      <c r="G1181" s="6">
        <v>192832</v>
      </c>
      <c r="H1181" s="6">
        <v>47237</v>
      </c>
      <c r="I1181" s="6">
        <v>44134</v>
      </c>
      <c r="J1181" s="6">
        <v>187058</v>
      </c>
      <c r="K1181" s="6">
        <v>503249</v>
      </c>
      <c r="L1181" s="6">
        <v>143395</v>
      </c>
      <c r="M1181" s="6">
        <v>2078374</v>
      </c>
      <c r="N1181" s="42">
        <v>1423989</v>
      </c>
      <c r="O1181" s="42"/>
      <c r="P1181" s="42">
        <v>108115</v>
      </c>
      <c r="Q1181" s="42">
        <v>229297</v>
      </c>
      <c r="R1181" s="42">
        <v>2771147</v>
      </c>
      <c r="S1181" s="5">
        <v>90471</v>
      </c>
      <c r="T1181" s="42">
        <v>455780</v>
      </c>
    </row>
    <row r="1182" spans="1:20" x14ac:dyDescent="0.3">
      <c r="A1182" s="7">
        <v>44435</v>
      </c>
      <c r="B1182" s="5"/>
      <c r="C1182" s="6">
        <v>185981</v>
      </c>
      <c r="D1182" s="6">
        <v>195455</v>
      </c>
      <c r="E1182" s="6">
        <v>167148</v>
      </c>
      <c r="F1182" s="14">
        <v>699710</v>
      </c>
      <c r="G1182" s="6">
        <v>193156</v>
      </c>
      <c r="H1182" s="6">
        <v>46394</v>
      </c>
      <c r="I1182" s="6">
        <v>43258</v>
      </c>
      <c r="J1182" s="6">
        <v>187628</v>
      </c>
      <c r="K1182" s="6">
        <v>506084</v>
      </c>
      <c r="L1182" s="6">
        <v>148159</v>
      </c>
      <c r="M1182" s="6">
        <v>2066927</v>
      </c>
      <c r="N1182" s="42">
        <v>1424893</v>
      </c>
      <c r="O1182" s="42"/>
      <c r="P1182" s="42">
        <v>110805</v>
      </c>
      <c r="Q1182" s="42">
        <v>223665</v>
      </c>
      <c r="R1182" s="42">
        <v>2761136</v>
      </c>
      <c r="S1182" s="5">
        <v>79449</v>
      </c>
      <c r="T1182" s="42">
        <v>453077</v>
      </c>
    </row>
    <row r="1183" spans="1:20" x14ac:dyDescent="0.3">
      <c r="A1183" s="7">
        <v>44434</v>
      </c>
      <c r="B1183" s="5"/>
      <c r="C1183" s="6">
        <v>190901</v>
      </c>
      <c r="D1183" s="6">
        <v>193225</v>
      </c>
      <c r="E1183" s="6">
        <v>167592</v>
      </c>
      <c r="F1183" s="14">
        <v>701776</v>
      </c>
      <c r="G1183" s="6">
        <v>197185</v>
      </c>
      <c r="H1183" s="6">
        <v>45882</v>
      </c>
      <c r="I1183" s="6">
        <v>45007</v>
      </c>
      <c r="J1183" s="6">
        <v>188609</v>
      </c>
      <c r="K1183" s="6">
        <v>495542</v>
      </c>
      <c r="L1183" s="6">
        <v>146495</v>
      </c>
      <c r="M1183" s="6">
        <v>2061961</v>
      </c>
      <c r="N1183" s="42">
        <v>1416290</v>
      </c>
      <c r="O1183" s="42"/>
      <c r="P1183" s="42">
        <v>107171</v>
      </c>
      <c r="Q1183" s="42">
        <v>225947</v>
      </c>
      <c r="R1183" s="42">
        <v>2757796</v>
      </c>
      <c r="S1183" s="5">
        <v>80554</v>
      </c>
      <c r="T1183" s="42">
        <v>455528</v>
      </c>
    </row>
    <row r="1184" spans="1:20" x14ac:dyDescent="0.3">
      <c r="A1184" s="7">
        <v>44433</v>
      </c>
      <c r="B1184" s="5"/>
      <c r="C1184" s="6">
        <v>194192</v>
      </c>
      <c r="D1184" s="6">
        <v>195509</v>
      </c>
      <c r="E1184" s="6">
        <v>169053</v>
      </c>
      <c r="F1184" s="14">
        <v>699075</v>
      </c>
      <c r="G1184" s="6">
        <v>194804</v>
      </c>
      <c r="H1184" s="6">
        <v>45506</v>
      </c>
      <c r="I1184" s="6">
        <v>43367</v>
      </c>
      <c r="J1184" s="6">
        <v>190825</v>
      </c>
      <c r="K1184" s="6">
        <v>498900</v>
      </c>
      <c r="L1184" s="6">
        <v>148892</v>
      </c>
      <c r="M1184" s="6">
        <v>2055220</v>
      </c>
      <c r="N1184" s="42">
        <v>1392344</v>
      </c>
      <c r="O1184" s="42"/>
      <c r="P1184" s="42">
        <v>109752</v>
      </c>
      <c r="Q1184" s="42">
        <v>227649</v>
      </c>
      <c r="R1184" s="42">
        <v>2766491</v>
      </c>
      <c r="S1184" s="5">
        <v>81034</v>
      </c>
      <c r="T1184" s="42">
        <v>451736</v>
      </c>
    </row>
    <row r="1185" spans="1:20" x14ac:dyDescent="0.3">
      <c r="A1185" s="7">
        <v>44432</v>
      </c>
      <c r="B1185" s="5"/>
      <c r="C1185" s="6">
        <v>197636</v>
      </c>
      <c r="D1185" s="6">
        <v>196366</v>
      </c>
      <c r="E1185" s="6">
        <v>171487</v>
      </c>
      <c r="F1185" s="14">
        <v>698547</v>
      </c>
      <c r="G1185" s="6">
        <v>194477</v>
      </c>
      <c r="H1185" s="6">
        <v>46444</v>
      </c>
      <c r="I1185" s="6">
        <v>43703</v>
      </c>
      <c r="J1185" s="6">
        <v>192968</v>
      </c>
      <c r="K1185" s="6">
        <v>504735</v>
      </c>
      <c r="L1185" s="6">
        <v>149847</v>
      </c>
      <c r="M1185" s="6">
        <v>2042879</v>
      </c>
      <c r="N1185" s="42">
        <v>1391801</v>
      </c>
      <c r="O1185" s="42"/>
      <c r="P1185" s="42">
        <v>107693</v>
      </c>
      <c r="Q1185" s="42">
        <v>227123</v>
      </c>
      <c r="R1185" s="42">
        <v>2744903</v>
      </c>
      <c r="S1185" s="5">
        <v>78472</v>
      </c>
      <c r="T1185" s="42">
        <v>454528</v>
      </c>
    </row>
    <row r="1186" spans="1:20" x14ac:dyDescent="0.3">
      <c r="A1186" s="7">
        <v>44431</v>
      </c>
      <c r="B1186" s="5"/>
      <c r="C1186" s="6">
        <v>202626</v>
      </c>
      <c r="D1186" s="6">
        <v>197080</v>
      </c>
      <c r="E1186" s="6">
        <v>176363</v>
      </c>
      <c r="F1186" s="14">
        <v>699014</v>
      </c>
      <c r="G1186" s="6">
        <v>194705</v>
      </c>
      <c r="H1186" s="6">
        <v>46049</v>
      </c>
      <c r="I1186" s="6">
        <v>44357</v>
      </c>
      <c r="J1186" s="6">
        <v>197508</v>
      </c>
      <c r="K1186" s="6">
        <v>504452</v>
      </c>
      <c r="L1186" s="6">
        <v>149041</v>
      </c>
      <c r="M1186" s="6">
        <v>2048822</v>
      </c>
      <c r="N1186" s="42">
        <v>1403193</v>
      </c>
      <c r="O1186" s="42"/>
      <c r="P1186" s="42">
        <v>107273</v>
      </c>
      <c r="Q1186" s="42">
        <v>230396</v>
      </c>
      <c r="R1186" s="42">
        <v>2738157</v>
      </c>
      <c r="S1186" s="5">
        <v>85308</v>
      </c>
      <c r="T1186" s="42">
        <v>458549</v>
      </c>
    </row>
    <row r="1187" spans="1:20" x14ac:dyDescent="0.3">
      <c r="A1187" s="7">
        <v>44428</v>
      </c>
      <c r="B1187" s="5"/>
      <c r="C1187" s="6">
        <v>206669</v>
      </c>
      <c r="D1187" s="6">
        <v>201157</v>
      </c>
      <c r="E1187" s="6">
        <v>180971</v>
      </c>
      <c r="F1187" s="14">
        <v>705279</v>
      </c>
      <c r="G1187" s="6">
        <v>195090</v>
      </c>
      <c r="H1187" s="6">
        <v>47415</v>
      </c>
      <c r="I1187" s="6">
        <v>45209</v>
      </c>
      <c r="J1187" s="6">
        <v>205026</v>
      </c>
      <c r="K1187" s="6">
        <v>495636</v>
      </c>
      <c r="L1187" s="6">
        <v>153164</v>
      </c>
      <c r="M1187" s="6">
        <v>2068166</v>
      </c>
      <c r="N1187" s="42">
        <v>1402188</v>
      </c>
      <c r="O1187" s="42"/>
      <c r="P1187" s="42">
        <v>105393</v>
      </c>
      <c r="Q1187" s="42">
        <v>229982</v>
      </c>
      <c r="R1187" s="42">
        <v>2718095</v>
      </c>
      <c r="S1187" s="5">
        <v>86439</v>
      </c>
      <c r="T1187" s="42">
        <v>463870</v>
      </c>
    </row>
    <row r="1188" spans="1:20" x14ac:dyDescent="0.3">
      <c r="A1188" s="7">
        <v>44427</v>
      </c>
      <c r="B1188" s="5"/>
      <c r="C1188" s="6">
        <v>206023</v>
      </c>
      <c r="D1188" s="6">
        <v>193697</v>
      </c>
      <c r="E1188" s="6">
        <v>180758</v>
      </c>
      <c r="F1188" s="14">
        <v>700195</v>
      </c>
      <c r="G1188" s="6">
        <v>195981</v>
      </c>
      <c r="H1188" s="6">
        <v>46319</v>
      </c>
      <c r="I1188" s="6">
        <v>44601</v>
      </c>
      <c r="J1188" s="6">
        <v>209453</v>
      </c>
      <c r="K1188" s="6">
        <v>492087</v>
      </c>
      <c r="L1188" s="6">
        <v>152128</v>
      </c>
      <c r="M1188" s="6">
        <v>2082808</v>
      </c>
      <c r="N1188" s="42">
        <v>1412249</v>
      </c>
      <c r="O1188" s="42"/>
      <c r="P1188" s="42">
        <v>107001</v>
      </c>
      <c r="Q1188" s="42">
        <v>229252</v>
      </c>
      <c r="R1188" s="42">
        <v>2730780</v>
      </c>
      <c r="S1188" s="5">
        <v>73564</v>
      </c>
      <c r="T1188" s="42">
        <v>454020</v>
      </c>
    </row>
    <row r="1189" spans="1:20" x14ac:dyDescent="0.3">
      <c r="A1189" s="7">
        <v>44426</v>
      </c>
      <c r="B1189" s="5"/>
      <c r="C1189" s="6">
        <v>192623</v>
      </c>
      <c r="D1189" s="6">
        <v>180349</v>
      </c>
      <c r="E1189" s="6">
        <v>174842</v>
      </c>
      <c r="F1189" s="14">
        <v>698810</v>
      </c>
      <c r="G1189" s="6">
        <v>193765</v>
      </c>
      <c r="H1189" s="6">
        <v>45799</v>
      </c>
      <c r="I1189" s="6">
        <v>44873</v>
      </c>
      <c r="J1189" s="6">
        <v>212007</v>
      </c>
      <c r="K1189" s="6">
        <v>487593</v>
      </c>
      <c r="L1189" s="6">
        <v>152187</v>
      </c>
      <c r="M1189" s="6">
        <v>2112754</v>
      </c>
      <c r="N1189" s="42">
        <v>1415064</v>
      </c>
      <c r="O1189" s="42"/>
      <c r="P1189" s="42">
        <v>109605</v>
      </c>
      <c r="Q1189" s="42">
        <v>234259</v>
      </c>
      <c r="R1189" s="42">
        <v>2722810</v>
      </c>
      <c r="S1189" s="5">
        <v>76084</v>
      </c>
      <c r="T1189" s="42">
        <v>454408</v>
      </c>
    </row>
    <row r="1190" spans="1:20" x14ac:dyDescent="0.3">
      <c r="A1190" s="7">
        <v>44425</v>
      </c>
      <c r="B1190" s="5"/>
      <c r="C1190" s="6">
        <v>187012</v>
      </c>
      <c r="D1190" s="6">
        <v>179230</v>
      </c>
      <c r="E1190" s="6">
        <v>177460</v>
      </c>
      <c r="F1190" s="14">
        <v>695837</v>
      </c>
      <c r="G1190" s="6">
        <v>196808</v>
      </c>
      <c r="H1190" s="6">
        <v>44222</v>
      </c>
      <c r="I1190" s="6">
        <v>44005</v>
      </c>
      <c r="J1190" s="6">
        <v>208878</v>
      </c>
      <c r="K1190" s="6">
        <v>485485</v>
      </c>
      <c r="L1190" s="6">
        <v>153825</v>
      </c>
      <c r="M1190" s="6">
        <v>2135698</v>
      </c>
      <c r="N1190" s="42">
        <v>1414880</v>
      </c>
      <c r="O1190" s="42"/>
      <c r="P1190" s="42">
        <v>107925</v>
      </c>
      <c r="Q1190" s="42">
        <v>234502</v>
      </c>
      <c r="R1190" s="42">
        <v>2716225</v>
      </c>
      <c r="S1190" s="5">
        <v>80911</v>
      </c>
      <c r="T1190" s="42">
        <v>443637</v>
      </c>
    </row>
    <row r="1191" spans="1:20" x14ac:dyDescent="0.3">
      <c r="A1191" s="7">
        <v>44424</v>
      </c>
      <c r="B1191" s="5"/>
      <c r="C1191" s="6">
        <v>170729</v>
      </c>
      <c r="D1191" s="6">
        <v>173534</v>
      </c>
      <c r="E1191" s="6">
        <v>177346</v>
      </c>
      <c r="F1191" s="14">
        <v>686165</v>
      </c>
      <c r="G1191" s="6">
        <v>197663</v>
      </c>
      <c r="H1191" s="6">
        <v>46065</v>
      </c>
      <c r="I1191" s="6">
        <v>45132</v>
      </c>
      <c r="J1191" s="6">
        <v>205220</v>
      </c>
      <c r="K1191" s="6">
        <v>481640</v>
      </c>
      <c r="L1191" s="6">
        <v>155906</v>
      </c>
      <c r="M1191" s="6">
        <v>2163841</v>
      </c>
      <c r="N1191" s="42">
        <v>1427050</v>
      </c>
      <c r="O1191" s="42"/>
      <c r="P1191" s="42">
        <v>115638</v>
      </c>
      <c r="Q1191" s="42">
        <v>234561</v>
      </c>
      <c r="R1191" s="42">
        <v>2719377</v>
      </c>
      <c r="S1191" s="5">
        <v>77282</v>
      </c>
      <c r="T1191" s="42">
        <v>444081</v>
      </c>
    </row>
    <row r="1192" spans="1:20" x14ac:dyDescent="0.3">
      <c r="A1192" s="7">
        <v>44421</v>
      </c>
      <c r="B1192" s="5"/>
      <c r="C1192" s="6">
        <v>168392</v>
      </c>
      <c r="D1192" s="6">
        <v>174962</v>
      </c>
      <c r="E1192" s="6">
        <v>173820</v>
      </c>
      <c r="F1192" s="14">
        <v>687383</v>
      </c>
      <c r="G1192" s="6">
        <v>201054</v>
      </c>
      <c r="H1192" s="6">
        <v>46755</v>
      </c>
      <c r="I1192" s="6">
        <v>46114</v>
      </c>
      <c r="J1192" s="6">
        <v>208555</v>
      </c>
      <c r="K1192" s="6">
        <v>476580</v>
      </c>
      <c r="L1192" s="6">
        <v>157796</v>
      </c>
      <c r="M1192" s="6">
        <v>2170815</v>
      </c>
      <c r="N1192" s="42">
        <v>1420939</v>
      </c>
      <c r="O1192" s="42"/>
      <c r="P1192" s="42">
        <v>113191</v>
      </c>
      <c r="Q1192" s="42">
        <v>232881</v>
      </c>
      <c r="R1192" s="42">
        <v>2732081</v>
      </c>
      <c r="S1192" s="5">
        <v>79054</v>
      </c>
      <c r="T1192" s="42">
        <v>446011</v>
      </c>
    </row>
    <row r="1193" spans="1:20" x14ac:dyDescent="0.3">
      <c r="A1193" s="7">
        <v>44420</v>
      </c>
      <c r="B1193" s="5"/>
      <c r="C1193" s="6">
        <v>171564</v>
      </c>
      <c r="D1193" s="6">
        <v>174809</v>
      </c>
      <c r="E1193" s="6">
        <v>174045</v>
      </c>
      <c r="F1193" s="14">
        <v>700823</v>
      </c>
      <c r="G1193" s="6">
        <v>211046</v>
      </c>
      <c r="H1193" s="6">
        <v>45876</v>
      </c>
      <c r="I1193" s="6">
        <v>47217</v>
      </c>
      <c r="J1193" s="6">
        <v>204879</v>
      </c>
      <c r="K1193" s="6">
        <v>476469</v>
      </c>
      <c r="L1193" s="6">
        <v>160651</v>
      </c>
      <c r="M1193" s="6">
        <v>2189267</v>
      </c>
      <c r="N1193" s="42">
        <v>1418965</v>
      </c>
      <c r="O1193" s="42"/>
      <c r="P1193" s="42">
        <v>113867</v>
      </c>
      <c r="Q1193" s="42">
        <v>231007</v>
      </c>
      <c r="R1193" s="42">
        <v>2730241</v>
      </c>
      <c r="S1193" s="5">
        <v>81780</v>
      </c>
      <c r="T1193" s="42">
        <v>451519</v>
      </c>
    </row>
    <row r="1194" spans="1:20" x14ac:dyDescent="0.3">
      <c r="A1194" s="7">
        <v>44419</v>
      </c>
      <c r="B1194" s="5"/>
      <c r="C1194" s="6">
        <v>168604</v>
      </c>
      <c r="D1194" s="6">
        <v>179187</v>
      </c>
      <c r="E1194" s="6">
        <v>171860</v>
      </c>
      <c r="F1194" s="14">
        <v>703627</v>
      </c>
      <c r="G1194" s="6">
        <v>209935</v>
      </c>
      <c r="H1194" s="6">
        <v>47206</v>
      </c>
      <c r="I1194" s="6">
        <v>45792</v>
      </c>
      <c r="J1194" s="6">
        <v>201072</v>
      </c>
      <c r="K1194" s="6">
        <v>475719</v>
      </c>
      <c r="L1194" s="6">
        <v>157577</v>
      </c>
      <c r="M1194" s="6">
        <v>2183513</v>
      </c>
      <c r="N1194" s="42">
        <v>1411574</v>
      </c>
      <c r="O1194" s="42"/>
      <c r="P1194" s="42">
        <v>117428</v>
      </c>
      <c r="Q1194" s="42">
        <v>232091</v>
      </c>
      <c r="R1194" s="42">
        <v>2707418</v>
      </c>
      <c r="S1194" s="5">
        <v>81794</v>
      </c>
      <c r="T1194" s="42">
        <v>455848</v>
      </c>
    </row>
    <row r="1195" spans="1:20" x14ac:dyDescent="0.3">
      <c r="A1195" s="7">
        <v>44418</v>
      </c>
      <c r="B1195" s="5"/>
      <c r="C1195" s="6">
        <v>171742</v>
      </c>
      <c r="D1195" s="6">
        <v>178875</v>
      </c>
      <c r="E1195" s="6">
        <v>171602</v>
      </c>
      <c r="F1195" s="14">
        <v>702098</v>
      </c>
      <c r="G1195" s="6">
        <v>206131</v>
      </c>
      <c r="H1195" s="6">
        <v>46690</v>
      </c>
      <c r="I1195" s="6">
        <v>45159</v>
      </c>
      <c r="J1195" s="6">
        <v>199899</v>
      </c>
      <c r="K1195" s="6">
        <v>477232</v>
      </c>
      <c r="L1195" s="6">
        <v>154491</v>
      </c>
      <c r="M1195" s="6">
        <v>2194794</v>
      </c>
      <c r="N1195" s="42">
        <v>1420102</v>
      </c>
      <c r="O1195" s="42"/>
      <c r="P1195" s="42">
        <v>114756</v>
      </c>
      <c r="Q1195" s="42">
        <v>233359</v>
      </c>
      <c r="R1195" s="42">
        <v>2696698</v>
      </c>
      <c r="S1195" s="5">
        <v>92259</v>
      </c>
      <c r="T1195" s="42">
        <v>455878</v>
      </c>
    </row>
    <row r="1196" spans="1:20" x14ac:dyDescent="0.3">
      <c r="A1196" s="7">
        <v>44417</v>
      </c>
      <c r="B1196" s="5"/>
      <c r="C1196" s="6">
        <v>171099</v>
      </c>
      <c r="D1196" s="6">
        <v>178469</v>
      </c>
      <c r="E1196" s="6">
        <v>169149</v>
      </c>
      <c r="F1196" s="14">
        <v>698307</v>
      </c>
      <c r="G1196" s="6">
        <v>196220</v>
      </c>
      <c r="H1196" s="6">
        <v>46724</v>
      </c>
      <c r="I1196" s="6">
        <v>43668</v>
      </c>
      <c r="J1196" s="6">
        <v>203670</v>
      </c>
      <c r="K1196" s="6">
        <v>477334</v>
      </c>
      <c r="L1196" s="6">
        <v>149713</v>
      </c>
      <c r="M1196" s="6">
        <v>2232098</v>
      </c>
      <c r="N1196" s="42">
        <v>1430085</v>
      </c>
      <c r="O1196" s="42"/>
      <c r="P1196" s="42">
        <v>109523</v>
      </c>
      <c r="Q1196" s="42">
        <v>229089</v>
      </c>
      <c r="R1196" s="42">
        <v>2693222</v>
      </c>
      <c r="S1196" s="5">
        <v>81535</v>
      </c>
      <c r="T1196" s="42">
        <v>457140</v>
      </c>
    </row>
    <row r="1197" spans="1:20" x14ac:dyDescent="0.3">
      <c r="A1197" s="7">
        <v>44414</v>
      </c>
      <c r="B1197" s="5"/>
      <c r="C1197" s="6">
        <v>169055</v>
      </c>
      <c r="D1197" s="6">
        <v>179962</v>
      </c>
      <c r="E1197" s="6">
        <v>167277</v>
      </c>
      <c r="F1197" s="14">
        <v>694199</v>
      </c>
      <c r="G1197" s="6">
        <v>195565</v>
      </c>
      <c r="H1197" s="6">
        <v>46556</v>
      </c>
      <c r="I1197" s="6">
        <v>42441</v>
      </c>
      <c r="J1197" s="6">
        <v>210183</v>
      </c>
      <c r="K1197" s="6">
        <v>484959</v>
      </c>
      <c r="L1197" s="6">
        <v>148080</v>
      </c>
      <c r="M1197" s="6">
        <v>2246034</v>
      </c>
      <c r="N1197" s="42">
        <v>1444547</v>
      </c>
      <c r="O1197" s="42"/>
      <c r="P1197" s="42">
        <v>114215</v>
      </c>
      <c r="Q1197" s="42">
        <v>227427</v>
      </c>
      <c r="R1197" s="42">
        <v>2688819</v>
      </c>
      <c r="S1197" s="5">
        <v>82346</v>
      </c>
      <c r="T1197" s="42">
        <v>455811</v>
      </c>
    </row>
    <row r="1198" spans="1:20" x14ac:dyDescent="0.3">
      <c r="A1198" s="7">
        <v>44413</v>
      </c>
      <c r="B1198" s="5"/>
      <c r="C1198" s="6">
        <v>170069</v>
      </c>
      <c r="D1198" s="6">
        <v>182336</v>
      </c>
      <c r="E1198" s="6">
        <v>168710</v>
      </c>
      <c r="F1198" s="14">
        <v>682109</v>
      </c>
      <c r="G1198" s="6">
        <v>185694</v>
      </c>
      <c r="H1198" s="6">
        <v>47916</v>
      </c>
      <c r="I1198" s="6">
        <v>41713</v>
      </c>
      <c r="J1198" s="6">
        <v>210062</v>
      </c>
      <c r="K1198" s="6">
        <v>488674</v>
      </c>
      <c r="L1198" s="6">
        <v>145748</v>
      </c>
      <c r="M1198" s="6">
        <v>2276502</v>
      </c>
      <c r="N1198" s="42">
        <v>1459295</v>
      </c>
      <c r="O1198" s="42"/>
      <c r="P1198" s="42">
        <v>108229</v>
      </c>
      <c r="Q1198" s="42">
        <v>225077</v>
      </c>
      <c r="R1198" s="42">
        <v>2694149</v>
      </c>
      <c r="S1198" s="5">
        <v>84523</v>
      </c>
      <c r="T1198" s="42">
        <v>455664</v>
      </c>
    </row>
    <row r="1199" spans="1:20" x14ac:dyDescent="0.3">
      <c r="A1199" s="7">
        <v>44412</v>
      </c>
      <c r="B1199" s="5"/>
      <c r="C1199" s="6">
        <v>169156</v>
      </c>
      <c r="D1199" s="6">
        <v>182714</v>
      </c>
      <c r="E1199" s="6">
        <v>169407</v>
      </c>
      <c r="F1199" s="14">
        <v>679262</v>
      </c>
      <c r="G1199" s="6">
        <v>187520</v>
      </c>
      <c r="H1199" s="6">
        <v>47120</v>
      </c>
      <c r="I1199" s="6">
        <v>41225</v>
      </c>
      <c r="J1199" s="6">
        <v>209202</v>
      </c>
      <c r="K1199" s="6">
        <v>490706</v>
      </c>
      <c r="L1199" s="6">
        <v>146179</v>
      </c>
      <c r="M1199" s="6">
        <v>2284214</v>
      </c>
      <c r="N1199" s="42">
        <v>1464730</v>
      </c>
      <c r="O1199" s="42"/>
      <c r="P1199" s="42">
        <v>107737</v>
      </c>
      <c r="Q1199" s="42">
        <v>223532</v>
      </c>
      <c r="R1199" s="42">
        <v>2686327</v>
      </c>
      <c r="S1199" s="5">
        <v>81003</v>
      </c>
      <c r="T1199" s="42">
        <v>453220</v>
      </c>
    </row>
    <row r="1200" spans="1:20" x14ac:dyDescent="0.3">
      <c r="A1200" s="7">
        <v>44411</v>
      </c>
      <c r="B1200" s="5"/>
      <c r="C1200" s="6">
        <v>169889</v>
      </c>
      <c r="D1200" s="6">
        <v>180873</v>
      </c>
      <c r="E1200" s="6">
        <v>170609</v>
      </c>
      <c r="F1200" s="14">
        <v>674491</v>
      </c>
      <c r="G1200" s="6">
        <v>189242</v>
      </c>
      <c r="H1200" s="6">
        <v>42743</v>
      </c>
      <c r="I1200" s="6">
        <v>42456</v>
      </c>
      <c r="J1200" s="6">
        <v>211071</v>
      </c>
      <c r="K1200" s="6">
        <v>485663</v>
      </c>
      <c r="L1200" s="6">
        <v>146196</v>
      </c>
      <c r="M1200" s="6">
        <v>2313202</v>
      </c>
      <c r="N1200" s="42">
        <v>1453997</v>
      </c>
      <c r="O1200" s="42"/>
      <c r="P1200" s="42">
        <v>110815</v>
      </c>
      <c r="Q1200" s="42">
        <v>223043</v>
      </c>
      <c r="R1200" s="42">
        <v>2697035</v>
      </c>
      <c r="S1200" s="5">
        <v>82031</v>
      </c>
      <c r="T1200" s="42">
        <v>449798</v>
      </c>
    </row>
    <row r="1201" spans="1:20" x14ac:dyDescent="0.3">
      <c r="A1201" s="7">
        <v>44410</v>
      </c>
      <c r="B1201" s="5"/>
      <c r="C1201" s="6">
        <v>168013</v>
      </c>
      <c r="D1201" s="6">
        <v>181721</v>
      </c>
      <c r="E1201" s="6">
        <v>172554</v>
      </c>
      <c r="F1201" s="14">
        <v>672621</v>
      </c>
      <c r="G1201" s="6">
        <v>189330</v>
      </c>
      <c r="H1201" s="6">
        <v>42075</v>
      </c>
      <c r="I1201" s="6">
        <v>43181</v>
      </c>
      <c r="J1201" s="6">
        <v>214604</v>
      </c>
      <c r="K1201" s="6">
        <v>484385</v>
      </c>
      <c r="L1201" s="6">
        <v>145790</v>
      </c>
      <c r="M1201" s="6">
        <v>2316439</v>
      </c>
      <c r="N1201" s="42">
        <v>1436458</v>
      </c>
      <c r="O1201" s="42"/>
      <c r="P1201" s="42">
        <v>106205</v>
      </c>
      <c r="Q1201" s="42">
        <v>224681</v>
      </c>
      <c r="R1201" s="42">
        <v>2693305</v>
      </c>
      <c r="S1201" s="5">
        <v>82419</v>
      </c>
      <c r="T1201" s="42">
        <v>451750</v>
      </c>
    </row>
    <row r="1202" spans="1:20" x14ac:dyDescent="0.3">
      <c r="A1202" s="7">
        <v>44407</v>
      </c>
      <c r="B1202" s="5"/>
      <c r="C1202" s="6">
        <v>166899</v>
      </c>
      <c r="D1202" s="6">
        <v>184205</v>
      </c>
      <c r="E1202" s="6">
        <v>171630</v>
      </c>
      <c r="F1202" s="14">
        <v>671453</v>
      </c>
      <c r="G1202" s="6">
        <v>192933</v>
      </c>
      <c r="H1202" s="6">
        <v>42243</v>
      </c>
      <c r="I1202" s="6">
        <v>43676</v>
      </c>
      <c r="J1202" s="6">
        <v>214550</v>
      </c>
      <c r="K1202" s="6">
        <v>488404</v>
      </c>
      <c r="L1202" s="6">
        <v>144930</v>
      </c>
      <c r="M1202" s="6">
        <v>2319540</v>
      </c>
      <c r="N1202" s="42">
        <v>1434026</v>
      </c>
      <c r="O1202" s="42"/>
      <c r="P1202" s="42">
        <v>106211</v>
      </c>
      <c r="Q1202" s="42">
        <v>225512</v>
      </c>
      <c r="R1202" s="42">
        <v>2677856</v>
      </c>
      <c r="S1202" s="5">
        <v>78011</v>
      </c>
      <c r="T1202" s="42">
        <v>454028</v>
      </c>
    </row>
    <row r="1203" spans="1:20" x14ac:dyDescent="0.3">
      <c r="A1203" s="7">
        <v>44406</v>
      </c>
      <c r="B1203" s="5"/>
      <c r="C1203" s="6">
        <v>165774</v>
      </c>
      <c r="D1203" s="6">
        <v>187092</v>
      </c>
      <c r="E1203" s="6">
        <v>173058</v>
      </c>
      <c r="F1203" s="14">
        <v>671461</v>
      </c>
      <c r="G1203" s="6">
        <v>193503</v>
      </c>
      <c r="H1203" s="6">
        <v>42431</v>
      </c>
      <c r="I1203" s="6">
        <v>45601</v>
      </c>
      <c r="J1203" s="6">
        <v>212398</v>
      </c>
      <c r="K1203" s="6">
        <v>510480</v>
      </c>
      <c r="L1203" s="6">
        <v>148052</v>
      </c>
      <c r="M1203" s="6">
        <v>2315188</v>
      </c>
      <c r="N1203" s="42">
        <v>1449173</v>
      </c>
      <c r="O1203" s="42"/>
      <c r="P1203" s="42">
        <v>106890</v>
      </c>
      <c r="Q1203" s="42">
        <v>229433</v>
      </c>
      <c r="R1203" s="42">
        <v>2674435</v>
      </c>
      <c r="S1203" s="5">
        <v>80083</v>
      </c>
      <c r="T1203" s="42">
        <v>455074</v>
      </c>
    </row>
    <row r="1204" spans="1:20" x14ac:dyDescent="0.3">
      <c r="A1204" s="7">
        <v>44405</v>
      </c>
      <c r="B1204" s="5"/>
      <c r="C1204" s="6">
        <v>168785</v>
      </c>
      <c r="D1204" s="6">
        <v>182943</v>
      </c>
      <c r="E1204" s="6">
        <v>173445</v>
      </c>
      <c r="F1204" s="14">
        <v>673782</v>
      </c>
      <c r="G1204" s="6">
        <v>195622</v>
      </c>
      <c r="H1204" s="6">
        <v>44838</v>
      </c>
      <c r="I1204" s="6">
        <v>44252</v>
      </c>
      <c r="J1204" s="6">
        <v>210269</v>
      </c>
      <c r="K1204" s="6">
        <v>492229</v>
      </c>
      <c r="L1204" s="6">
        <v>149310</v>
      </c>
      <c r="M1204" s="6">
        <v>2318495</v>
      </c>
      <c r="N1204" s="42">
        <v>1437282</v>
      </c>
      <c r="O1204" s="42"/>
      <c r="P1204" s="42">
        <v>103387</v>
      </c>
      <c r="Q1204" s="42">
        <v>228287</v>
      </c>
      <c r="R1204" s="42">
        <v>2666225</v>
      </c>
      <c r="S1204" s="5">
        <v>79892</v>
      </c>
      <c r="T1204" s="42">
        <v>457067</v>
      </c>
    </row>
    <row r="1205" spans="1:20" x14ac:dyDescent="0.3">
      <c r="A1205" s="7">
        <v>44404</v>
      </c>
      <c r="B1205" s="5"/>
      <c r="C1205" s="6">
        <v>167840</v>
      </c>
      <c r="D1205" s="6">
        <v>185373</v>
      </c>
      <c r="E1205" s="6">
        <v>174701</v>
      </c>
      <c r="F1205" s="14">
        <v>678008</v>
      </c>
      <c r="G1205" s="6">
        <v>196102</v>
      </c>
      <c r="H1205" s="6">
        <v>43953</v>
      </c>
      <c r="I1205" s="6">
        <v>44784</v>
      </c>
      <c r="J1205" s="6">
        <v>208816</v>
      </c>
      <c r="K1205" s="6">
        <v>500187</v>
      </c>
      <c r="L1205" s="6">
        <v>150814</v>
      </c>
      <c r="M1205" s="6">
        <v>2326985</v>
      </c>
      <c r="N1205" s="42">
        <v>1436874</v>
      </c>
      <c r="O1205" s="42"/>
      <c r="P1205" s="42">
        <v>102554</v>
      </c>
      <c r="Q1205" s="42">
        <v>234722</v>
      </c>
      <c r="R1205" s="42">
        <v>2666461</v>
      </c>
      <c r="S1205" s="5">
        <v>78760</v>
      </c>
      <c r="T1205" s="42">
        <v>451089</v>
      </c>
    </row>
    <row r="1206" spans="1:20" x14ac:dyDescent="0.3">
      <c r="A1206" s="7">
        <v>44403</v>
      </c>
      <c r="B1206" s="5"/>
      <c r="C1206" s="6">
        <v>163823</v>
      </c>
      <c r="D1206" s="6">
        <v>184232</v>
      </c>
      <c r="E1206" s="6">
        <v>176851</v>
      </c>
      <c r="F1206" s="14">
        <v>679244</v>
      </c>
      <c r="G1206" s="6">
        <v>198972</v>
      </c>
      <c r="H1206" s="6">
        <v>43987</v>
      </c>
      <c r="I1206" s="6">
        <v>44991</v>
      </c>
      <c r="J1206" s="6">
        <v>209788</v>
      </c>
      <c r="K1206" s="6">
        <v>517197</v>
      </c>
      <c r="L1206" s="6">
        <v>148448</v>
      </c>
      <c r="M1206" s="6">
        <v>2321619</v>
      </c>
      <c r="N1206" s="42">
        <v>1454648</v>
      </c>
      <c r="O1206" s="42"/>
      <c r="P1206" s="42">
        <v>104702</v>
      </c>
      <c r="Q1206" s="42">
        <v>232166</v>
      </c>
      <c r="R1206" s="42">
        <v>2697804</v>
      </c>
      <c r="S1206" s="5">
        <v>81012</v>
      </c>
      <c r="T1206" s="42">
        <v>453893</v>
      </c>
    </row>
    <row r="1207" spans="1:20" x14ac:dyDescent="0.3">
      <c r="A1207" s="7">
        <v>44400</v>
      </c>
      <c r="B1207" s="5"/>
      <c r="C1207" s="6">
        <v>162732</v>
      </c>
      <c r="D1207" s="6">
        <v>184344</v>
      </c>
      <c r="E1207" s="6">
        <v>177906</v>
      </c>
      <c r="F1207" s="14">
        <v>682577</v>
      </c>
      <c r="G1207" s="6">
        <v>197986</v>
      </c>
      <c r="H1207" s="6">
        <v>44258</v>
      </c>
      <c r="I1207" s="6">
        <v>44519</v>
      </c>
      <c r="J1207" s="6">
        <v>206702</v>
      </c>
      <c r="K1207" s="6">
        <v>516553</v>
      </c>
      <c r="L1207" s="6">
        <v>149191</v>
      </c>
      <c r="M1207" s="6">
        <v>2307468</v>
      </c>
      <c r="N1207" s="42">
        <v>1446876</v>
      </c>
      <c r="O1207" s="42"/>
      <c r="P1207" s="42">
        <v>102116</v>
      </c>
      <c r="Q1207" s="42">
        <v>235689</v>
      </c>
      <c r="R1207" s="42">
        <v>2681528</v>
      </c>
      <c r="S1207" s="5">
        <v>78284</v>
      </c>
      <c r="T1207" s="42">
        <v>454071</v>
      </c>
    </row>
    <row r="1208" spans="1:20" x14ac:dyDescent="0.3">
      <c r="A1208" s="7">
        <v>44399</v>
      </c>
      <c r="B1208" s="5"/>
      <c r="C1208" s="6">
        <v>162924</v>
      </c>
      <c r="D1208" s="6">
        <v>182693</v>
      </c>
      <c r="E1208" s="6">
        <v>179446</v>
      </c>
      <c r="F1208" s="14">
        <v>682213</v>
      </c>
      <c r="G1208" s="6">
        <v>195142</v>
      </c>
      <c r="H1208" s="6">
        <v>43396</v>
      </c>
      <c r="I1208" s="6">
        <v>43339</v>
      </c>
      <c r="J1208" s="6">
        <v>201502</v>
      </c>
      <c r="K1208" s="6">
        <v>516507</v>
      </c>
      <c r="L1208" s="6">
        <v>149191</v>
      </c>
      <c r="M1208" s="6">
        <v>2279821</v>
      </c>
      <c r="N1208" s="42">
        <v>1447891</v>
      </c>
      <c r="O1208" s="42"/>
      <c r="P1208" s="42">
        <v>101074</v>
      </c>
      <c r="Q1208" s="42">
        <v>231420</v>
      </c>
      <c r="R1208" s="42">
        <v>2672567</v>
      </c>
      <c r="S1208" s="5">
        <v>82133</v>
      </c>
      <c r="T1208" s="42">
        <v>448614</v>
      </c>
    </row>
    <row r="1209" spans="1:20" x14ac:dyDescent="0.3">
      <c r="A1209" s="7">
        <v>44398</v>
      </c>
      <c r="B1209" s="5"/>
      <c r="C1209" s="6">
        <v>164658</v>
      </c>
      <c r="D1209" s="6">
        <v>184555</v>
      </c>
      <c r="E1209" s="6">
        <v>182344</v>
      </c>
      <c r="F1209" s="14">
        <v>680544</v>
      </c>
      <c r="G1209" s="6">
        <v>195702</v>
      </c>
      <c r="H1209" s="6">
        <v>43248</v>
      </c>
      <c r="I1209" s="6">
        <v>43946</v>
      </c>
      <c r="J1209" s="6">
        <v>198748</v>
      </c>
      <c r="K1209" s="6">
        <v>502760</v>
      </c>
      <c r="L1209" s="6">
        <v>149681</v>
      </c>
      <c r="M1209" s="6">
        <v>2244908</v>
      </c>
      <c r="N1209" s="42">
        <v>1448382</v>
      </c>
      <c r="O1209" s="42"/>
      <c r="P1209" s="42">
        <v>102204</v>
      </c>
      <c r="Q1209" s="42">
        <v>230770</v>
      </c>
      <c r="R1209" s="42">
        <v>2659384</v>
      </c>
      <c r="S1209" s="5">
        <v>81584</v>
      </c>
      <c r="T1209" s="42">
        <v>452386</v>
      </c>
    </row>
    <row r="1210" spans="1:20" x14ac:dyDescent="0.3">
      <c r="A1210" s="7">
        <v>44397</v>
      </c>
      <c r="B1210" s="5"/>
      <c r="C1210" s="6">
        <v>163648</v>
      </c>
      <c r="D1210" s="6">
        <v>189909</v>
      </c>
      <c r="E1210" s="6">
        <v>189308</v>
      </c>
      <c r="F1210" s="14">
        <v>685195</v>
      </c>
      <c r="G1210" s="6">
        <v>193049</v>
      </c>
      <c r="H1210" s="6">
        <v>43583</v>
      </c>
      <c r="I1210" s="6">
        <v>44735</v>
      </c>
      <c r="J1210" s="6">
        <v>197428</v>
      </c>
      <c r="K1210" s="6">
        <v>490520</v>
      </c>
      <c r="L1210" s="6">
        <v>151763</v>
      </c>
      <c r="M1210" s="6">
        <v>2243475</v>
      </c>
      <c r="N1210" s="42">
        <v>1448237</v>
      </c>
      <c r="O1210" s="42"/>
      <c r="P1210" s="42">
        <v>102700</v>
      </c>
      <c r="Q1210" s="42">
        <v>234532</v>
      </c>
      <c r="R1210" s="42">
        <v>2667977</v>
      </c>
      <c r="S1210" s="5">
        <v>76051</v>
      </c>
      <c r="T1210" s="42">
        <v>458833</v>
      </c>
    </row>
    <row r="1211" spans="1:20" x14ac:dyDescent="0.3">
      <c r="A1211" s="7">
        <v>44396</v>
      </c>
      <c r="B1211" s="5"/>
      <c r="C1211" s="6">
        <v>161851</v>
      </c>
      <c r="D1211" s="6">
        <v>184347</v>
      </c>
      <c r="E1211" s="6">
        <v>200366</v>
      </c>
      <c r="F1211" s="14">
        <v>685149</v>
      </c>
      <c r="G1211" s="6">
        <v>197542</v>
      </c>
      <c r="H1211" s="6">
        <v>44775</v>
      </c>
      <c r="I1211" s="6">
        <v>43954</v>
      </c>
      <c r="J1211" s="6">
        <v>198186</v>
      </c>
      <c r="K1211" s="6">
        <v>487969</v>
      </c>
      <c r="L1211" s="6">
        <v>153764</v>
      </c>
      <c r="M1211" s="6">
        <v>2268027</v>
      </c>
      <c r="N1211" s="42">
        <v>1449040</v>
      </c>
      <c r="O1211" s="42"/>
      <c r="P1211" s="42">
        <v>105473</v>
      </c>
      <c r="Q1211" s="42">
        <v>232153</v>
      </c>
      <c r="R1211" s="42">
        <v>2654810</v>
      </c>
      <c r="S1211" s="5">
        <v>76494</v>
      </c>
      <c r="T1211" s="42">
        <v>447979</v>
      </c>
    </row>
    <row r="1212" spans="1:20" x14ac:dyDescent="0.3">
      <c r="A1212" s="7">
        <v>44393</v>
      </c>
      <c r="B1212" s="5"/>
      <c r="C1212" s="6">
        <v>160602</v>
      </c>
      <c r="D1212" s="6">
        <v>174369</v>
      </c>
      <c r="E1212" s="6">
        <v>195467</v>
      </c>
      <c r="F1212" s="14">
        <v>694799</v>
      </c>
      <c r="G1212" s="6">
        <v>200687</v>
      </c>
      <c r="H1212" s="6">
        <v>44533</v>
      </c>
      <c r="I1212" s="6">
        <v>43970</v>
      </c>
      <c r="J1212" s="6">
        <v>200618</v>
      </c>
      <c r="K1212" s="6">
        <v>489757</v>
      </c>
      <c r="L1212" s="6">
        <v>157508</v>
      </c>
      <c r="M1212" s="6">
        <v>2302475</v>
      </c>
      <c r="N1212" s="42">
        <v>1465648</v>
      </c>
      <c r="O1212" s="42"/>
      <c r="P1212" s="42">
        <v>106677</v>
      </c>
      <c r="Q1212" s="42">
        <v>227694</v>
      </c>
      <c r="R1212" s="42">
        <v>2645120</v>
      </c>
      <c r="S1212" s="5">
        <v>80901</v>
      </c>
      <c r="T1212" s="42">
        <v>444532</v>
      </c>
    </row>
    <row r="1213" spans="1:20" x14ac:dyDescent="0.3">
      <c r="A1213" s="7">
        <v>44392</v>
      </c>
      <c r="B1213" s="5"/>
      <c r="C1213" s="6">
        <v>159264</v>
      </c>
      <c r="D1213" s="6">
        <v>171344</v>
      </c>
      <c r="E1213" s="6">
        <v>196226</v>
      </c>
      <c r="F1213" s="14">
        <v>688822</v>
      </c>
      <c r="G1213" s="6">
        <v>198946</v>
      </c>
      <c r="H1213" s="6">
        <v>43851</v>
      </c>
      <c r="I1213" s="6">
        <v>44840</v>
      </c>
      <c r="J1213" s="6">
        <v>200779</v>
      </c>
      <c r="K1213" s="6">
        <v>495011</v>
      </c>
      <c r="L1213" s="6">
        <v>155873</v>
      </c>
      <c r="M1213" s="6">
        <v>2320055</v>
      </c>
      <c r="N1213" s="42">
        <v>1466459</v>
      </c>
      <c r="O1213" s="42"/>
      <c r="P1213" s="42">
        <v>112542</v>
      </c>
      <c r="Q1213" s="42">
        <v>229257</v>
      </c>
      <c r="R1213" s="42">
        <v>2658242</v>
      </c>
      <c r="S1213" s="5">
        <v>76507</v>
      </c>
      <c r="T1213" s="42">
        <v>427257</v>
      </c>
    </row>
    <row r="1214" spans="1:20" x14ac:dyDescent="0.3">
      <c r="A1214" s="7">
        <v>44391</v>
      </c>
      <c r="B1214" s="5"/>
      <c r="C1214" s="6">
        <v>155988</v>
      </c>
      <c r="D1214" s="6">
        <v>170025</v>
      </c>
      <c r="E1214" s="6">
        <v>198756</v>
      </c>
      <c r="F1214" s="14">
        <v>685998</v>
      </c>
      <c r="G1214" s="6">
        <v>203475</v>
      </c>
      <c r="H1214" s="6">
        <v>43109</v>
      </c>
      <c r="I1214" s="6">
        <v>44187</v>
      </c>
      <c r="J1214" s="6">
        <v>199279</v>
      </c>
      <c r="K1214" s="6">
        <v>499915</v>
      </c>
      <c r="L1214" s="6">
        <v>155595</v>
      </c>
      <c r="M1214" s="6">
        <v>2375821</v>
      </c>
      <c r="N1214" s="42">
        <v>1466620</v>
      </c>
      <c r="O1214" s="42"/>
      <c r="P1214" s="42">
        <v>111126</v>
      </c>
      <c r="Q1214" s="42">
        <v>229858</v>
      </c>
      <c r="R1214" s="42">
        <v>2631679</v>
      </c>
      <c r="S1214" s="5">
        <v>76616</v>
      </c>
      <c r="T1214" s="42">
        <v>421284</v>
      </c>
    </row>
    <row r="1215" spans="1:20" x14ac:dyDescent="0.3">
      <c r="A1215" s="7">
        <v>44390</v>
      </c>
      <c r="B1215" s="5"/>
      <c r="C1215" s="6">
        <v>155995</v>
      </c>
      <c r="D1215" s="6">
        <v>172345</v>
      </c>
      <c r="E1215" s="6">
        <v>198714</v>
      </c>
      <c r="F1215" s="14">
        <v>688952</v>
      </c>
      <c r="G1215" s="6">
        <v>203727</v>
      </c>
      <c r="H1215" s="6">
        <v>42463</v>
      </c>
      <c r="I1215" s="6">
        <v>45704</v>
      </c>
      <c r="J1215" s="6">
        <v>199936</v>
      </c>
      <c r="K1215" s="6">
        <v>495798</v>
      </c>
      <c r="L1215" s="6">
        <v>154699</v>
      </c>
      <c r="M1215" s="6">
        <v>2413536</v>
      </c>
      <c r="N1215" s="42">
        <v>1459676</v>
      </c>
      <c r="O1215" s="42"/>
      <c r="P1215" s="42">
        <v>111654</v>
      </c>
      <c r="Q1215" s="42">
        <v>232282</v>
      </c>
      <c r="R1215" s="42">
        <v>2632508</v>
      </c>
      <c r="S1215" s="5">
        <v>78075</v>
      </c>
      <c r="T1215" s="42">
        <v>419836</v>
      </c>
    </row>
    <row r="1216" spans="1:20" x14ac:dyDescent="0.3">
      <c r="A1216" s="7">
        <v>44389</v>
      </c>
      <c r="B1216" s="5"/>
      <c r="C1216" s="6">
        <v>155105</v>
      </c>
      <c r="D1216" s="6">
        <v>169840</v>
      </c>
      <c r="E1216" s="6">
        <v>195097</v>
      </c>
      <c r="F1216" s="14">
        <v>693514</v>
      </c>
      <c r="G1216" s="6">
        <v>203323</v>
      </c>
      <c r="H1216" s="6">
        <v>42155</v>
      </c>
      <c r="I1216" s="6">
        <v>45056</v>
      </c>
      <c r="J1216" s="6">
        <v>199687</v>
      </c>
      <c r="K1216" s="6">
        <v>483541</v>
      </c>
      <c r="L1216" s="6">
        <v>154260</v>
      </c>
      <c r="M1216" s="6">
        <v>2394804</v>
      </c>
      <c r="N1216" s="42">
        <v>1458000</v>
      </c>
      <c r="O1216" s="42"/>
      <c r="P1216" s="42">
        <v>112174</v>
      </c>
      <c r="Q1216" s="42">
        <v>231355</v>
      </c>
      <c r="R1216" s="42">
        <v>2624888</v>
      </c>
      <c r="S1216" s="5">
        <v>84310</v>
      </c>
      <c r="T1216" s="42">
        <v>420493</v>
      </c>
    </row>
    <row r="1217" spans="1:20" x14ac:dyDescent="0.3">
      <c r="A1217" s="7">
        <v>44386</v>
      </c>
      <c r="B1217" s="5"/>
      <c r="C1217" s="6">
        <v>155317</v>
      </c>
      <c r="D1217" s="6">
        <v>175110</v>
      </c>
      <c r="E1217" s="6">
        <v>195491</v>
      </c>
      <c r="F1217" s="14">
        <v>697322</v>
      </c>
      <c r="G1217" s="6">
        <v>202954</v>
      </c>
      <c r="H1217" s="6">
        <v>42355</v>
      </c>
      <c r="I1217" s="6">
        <v>43752</v>
      </c>
      <c r="J1217" s="6">
        <v>200222</v>
      </c>
      <c r="K1217" s="6">
        <v>476693</v>
      </c>
      <c r="L1217" s="6">
        <v>153632</v>
      </c>
      <c r="M1217" s="6">
        <v>2382893</v>
      </c>
      <c r="N1217" s="42">
        <v>1450096</v>
      </c>
      <c r="O1217" s="42"/>
      <c r="P1217" s="42">
        <v>111102</v>
      </c>
      <c r="Q1217" s="42">
        <v>231245</v>
      </c>
      <c r="R1217" s="42">
        <v>2625511</v>
      </c>
      <c r="S1217" s="5">
        <v>88818</v>
      </c>
      <c r="T1217" s="42">
        <v>421210</v>
      </c>
    </row>
    <row r="1218" spans="1:20" x14ac:dyDescent="0.3">
      <c r="A1218" s="7">
        <v>44385</v>
      </c>
      <c r="B1218" s="5"/>
      <c r="C1218" s="6">
        <v>153050</v>
      </c>
      <c r="D1218" s="6">
        <v>182878</v>
      </c>
      <c r="E1218" s="6">
        <v>202599</v>
      </c>
      <c r="F1218" s="14">
        <v>700131</v>
      </c>
      <c r="G1218" s="6">
        <v>201136</v>
      </c>
      <c r="H1218" s="6">
        <v>41136</v>
      </c>
      <c r="I1218" s="6">
        <v>42508</v>
      </c>
      <c r="J1218" s="6">
        <v>198282</v>
      </c>
      <c r="K1218" s="6">
        <v>470743</v>
      </c>
      <c r="L1218" s="6">
        <v>155008</v>
      </c>
      <c r="M1218" s="6">
        <v>2389918</v>
      </c>
      <c r="N1218" s="42">
        <v>1444190</v>
      </c>
      <c r="O1218" s="42"/>
      <c r="P1218" s="42">
        <v>103384</v>
      </c>
      <c r="Q1218" s="42">
        <v>226485</v>
      </c>
      <c r="R1218" s="42">
        <v>2597139</v>
      </c>
      <c r="S1218" s="5">
        <v>95254</v>
      </c>
      <c r="T1218" s="42">
        <v>421408</v>
      </c>
    </row>
    <row r="1219" spans="1:20" x14ac:dyDescent="0.3">
      <c r="A1219" s="7">
        <v>44384</v>
      </c>
      <c r="B1219" s="5"/>
      <c r="C1219" s="6">
        <v>150140</v>
      </c>
      <c r="D1219" s="6">
        <v>181501</v>
      </c>
      <c r="E1219" s="6">
        <v>203213</v>
      </c>
      <c r="F1219" s="14">
        <v>700690</v>
      </c>
      <c r="G1219" s="6">
        <v>204400</v>
      </c>
      <c r="H1219" s="6">
        <v>42451</v>
      </c>
      <c r="I1219" s="6">
        <v>44497</v>
      </c>
      <c r="J1219" s="6">
        <v>200864</v>
      </c>
      <c r="K1219" s="6">
        <v>466253</v>
      </c>
      <c r="L1219" s="6">
        <v>156113</v>
      </c>
      <c r="M1219" s="6">
        <v>2399887</v>
      </c>
      <c r="N1219" s="42">
        <v>1444766</v>
      </c>
      <c r="O1219" s="42"/>
      <c r="P1219" s="42">
        <v>106194</v>
      </c>
      <c r="Q1219" s="42">
        <v>227218</v>
      </c>
      <c r="R1219" s="42">
        <v>2601658</v>
      </c>
      <c r="S1219" s="5">
        <v>83471</v>
      </c>
      <c r="T1219" s="42">
        <v>419777</v>
      </c>
    </row>
    <row r="1220" spans="1:20" x14ac:dyDescent="0.3">
      <c r="A1220" s="7">
        <v>44383</v>
      </c>
      <c r="B1220" s="5"/>
      <c r="C1220" s="6">
        <v>147352</v>
      </c>
      <c r="D1220" s="6">
        <v>178783</v>
      </c>
      <c r="E1220" s="6">
        <v>202136</v>
      </c>
      <c r="F1220" s="14">
        <v>699383</v>
      </c>
      <c r="G1220" s="6">
        <v>205341</v>
      </c>
      <c r="H1220" s="6">
        <v>41756</v>
      </c>
      <c r="I1220" s="6">
        <v>44739</v>
      </c>
      <c r="J1220" s="6">
        <v>202781</v>
      </c>
      <c r="K1220" s="6">
        <v>465811</v>
      </c>
      <c r="L1220" s="6">
        <v>157216</v>
      </c>
      <c r="M1220" s="6">
        <v>2413946</v>
      </c>
      <c r="N1220" s="42">
        <v>1444905</v>
      </c>
      <c r="O1220" s="42"/>
      <c r="P1220" s="42">
        <v>105971</v>
      </c>
      <c r="Q1220" s="42">
        <v>228288</v>
      </c>
      <c r="R1220" s="42">
        <v>2610712</v>
      </c>
      <c r="S1220" s="5">
        <v>88288</v>
      </c>
      <c r="T1220" s="42">
        <v>419879</v>
      </c>
    </row>
    <row r="1221" spans="1:20" x14ac:dyDescent="0.3">
      <c r="A1221" s="7">
        <v>44379</v>
      </c>
      <c r="B1221" s="5"/>
      <c r="C1221" s="6">
        <v>152450</v>
      </c>
      <c r="D1221" s="6">
        <v>172564</v>
      </c>
      <c r="E1221" s="6">
        <v>200641</v>
      </c>
      <c r="F1221" s="14">
        <v>694727</v>
      </c>
      <c r="G1221" s="6">
        <v>213419</v>
      </c>
      <c r="H1221" s="6">
        <v>42702</v>
      </c>
      <c r="I1221" s="6">
        <v>44424</v>
      </c>
      <c r="J1221" s="6">
        <v>202228</v>
      </c>
      <c r="K1221" s="6">
        <v>462183</v>
      </c>
      <c r="L1221" s="6">
        <v>160912</v>
      </c>
      <c r="M1221" s="6">
        <v>2417932</v>
      </c>
      <c r="N1221" s="42">
        <v>1444918</v>
      </c>
      <c r="O1221" s="42"/>
      <c r="P1221" s="42">
        <v>108471</v>
      </c>
      <c r="Q1221" s="42">
        <v>224699</v>
      </c>
      <c r="R1221" s="42">
        <v>2616744</v>
      </c>
      <c r="S1221" s="5">
        <v>81843</v>
      </c>
      <c r="T1221" s="42">
        <v>425598</v>
      </c>
    </row>
    <row r="1222" spans="1:20" x14ac:dyDescent="0.3">
      <c r="A1222" s="7">
        <v>44378</v>
      </c>
      <c r="B1222" s="5"/>
      <c r="C1222" s="6">
        <v>146168</v>
      </c>
      <c r="D1222" s="6">
        <v>172894</v>
      </c>
      <c r="E1222" s="6">
        <v>198168</v>
      </c>
      <c r="F1222" s="14">
        <v>694150</v>
      </c>
      <c r="G1222" s="6">
        <v>218636</v>
      </c>
      <c r="H1222" s="6">
        <v>42192</v>
      </c>
      <c r="I1222" s="6">
        <v>43165</v>
      </c>
      <c r="J1222" s="6">
        <v>200714</v>
      </c>
      <c r="K1222" s="6">
        <v>454631</v>
      </c>
      <c r="L1222" s="6">
        <v>156418</v>
      </c>
      <c r="M1222" s="6">
        <v>2412472</v>
      </c>
      <c r="N1222" s="42">
        <v>1432450</v>
      </c>
      <c r="O1222" s="42"/>
      <c r="P1222" s="42">
        <v>107412</v>
      </c>
      <c r="Q1222" s="42">
        <v>225826</v>
      </c>
      <c r="R1222" s="42">
        <v>2595297</v>
      </c>
      <c r="S1222" s="5">
        <v>81794</v>
      </c>
      <c r="T1222" s="42">
        <v>417792</v>
      </c>
    </row>
    <row r="1223" spans="1:20" x14ac:dyDescent="0.3">
      <c r="A1223" s="7">
        <v>44377</v>
      </c>
      <c r="B1223" s="5"/>
      <c r="C1223" s="6">
        <v>142663</v>
      </c>
      <c r="D1223" s="6">
        <v>169692</v>
      </c>
      <c r="E1223" s="6">
        <v>195933</v>
      </c>
      <c r="F1223" s="14">
        <v>696676</v>
      </c>
      <c r="G1223" s="6">
        <v>208211</v>
      </c>
      <c r="H1223" s="6">
        <v>42023</v>
      </c>
      <c r="I1223" s="6">
        <v>43961</v>
      </c>
      <c r="J1223" s="6">
        <v>199612</v>
      </c>
      <c r="K1223" s="6">
        <v>455621</v>
      </c>
      <c r="L1223" s="6">
        <v>155488</v>
      </c>
      <c r="M1223" s="6">
        <v>2390245</v>
      </c>
      <c r="N1223" s="42">
        <v>1413818</v>
      </c>
      <c r="O1223" s="42"/>
      <c r="P1223" s="42">
        <v>108278</v>
      </c>
      <c r="Q1223" s="42">
        <v>225917</v>
      </c>
      <c r="R1223" s="42">
        <v>2581871</v>
      </c>
      <c r="S1223" s="5">
        <v>84357</v>
      </c>
      <c r="T1223" s="42">
        <v>420941</v>
      </c>
    </row>
    <row r="1224" spans="1:20" x14ac:dyDescent="0.3">
      <c r="A1224" s="7">
        <v>44376</v>
      </c>
      <c r="B1224" s="5"/>
      <c r="C1224" s="6">
        <v>140482</v>
      </c>
      <c r="D1224" s="6">
        <v>169230</v>
      </c>
      <c r="E1224" s="6">
        <v>196928</v>
      </c>
      <c r="F1224" s="14">
        <v>697425</v>
      </c>
      <c r="G1224" s="6">
        <v>195698</v>
      </c>
      <c r="H1224" s="6">
        <v>41352</v>
      </c>
      <c r="I1224" s="6">
        <v>42684</v>
      </c>
      <c r="J1224" s="6">
        <v>197783</v>
      </c>
      <c r="K1224" s="6">
        <v>453360</v>
      </c>
      <c r="L1224" s="6">
        <v>157119</v>
      </c>
      <c r="M1224" s="6">
        <v>2369631</v>
      </c>
      <c r="N1224" s="42">
        <v>1383168</v>
      </c>
      <c r="O1224" s="42"/>
      <c r="P1224" s="42">
        <v>105627</v>
      </c>
      <c r="Q1224" s="42">
        <v>224134</v>
      </c>
      <c r="R1224" s="42">
        <v>2571895</v>
      </c>
      <c r="S1224" s="5">
        <v>86499</v>
      </c>
      <c r="T1224" s="42">
        <v>421178</v>
      </c>
    </row>
    <row r="1225" spans="1:20" x14ac:dyDescent="0.3">
      <c r="A1225" s="7">
        <v>44375</v>
      </c>
      <c r="B1225" s="5"/>
      <c r="C1225" s="6">
        <v>138600</v>
      </c>
      <c r="D1225" s="6">
        <v>168240</v>
      </c>
      <c r="E1225" s="6">
        <v>195501</v>
      </c>
      <c r="F1225" s="14">
        <v>697114</v>
      </c>
      <c r="G1225" s="6">
        <v>194107</v>
      </c>
      <c r="H1225" s="6">
        <v>41355</v>
      </c>
      <c r="I1225" s="6">
        <v>42347</v>
      </c>
      <c r="J1225" s="6">
        <v>200315</v>
      </c>
      <c r="K1225" s="6">
        <v>449732</v>
      </c>
      <c r="L1225" s="6">
        <v>163371</v>
      </c>
      <c r="M1225" s="6">
        <v>2360738</v>
      </c>
      <c r="N1225" s="42">
        <v>1353617</v>
      </c>
      <c r="O1225" s="42"/>
      <c r="P1225" s="42">
        <v>106743</v>
      </c>
      <c r="Q1225" s="42">
        <v>229345</v>
      </c>
      <c r="R1225" s="42">
        <v>2557541</v>
      </c>
      <c r="S1225" s="5">
        <v>95074</v>
      </c>
      <c r="T1225" s="42">
        <v>422387</v>
      </c>
    </row>
    <row r="1226" spans="1:20" x14ac:dyDescent="0.3">
      <c r="A1226" s="7">
        <v>44372</v>
      </c>
      <c r="B1226" s="5"/>
      <c r="C1226" s="6">
        <v>137978</v>
      </c>
      <c r="D1226" s="6">
        <v>167337</v>
      </c>
      <c r="E1226" s="6">
        <v>197543</v>
      </c>
      <c r="F1226" s="14">
        <v>692852</v>
      </c>
      <c r="G1226" s="6">
        <v>195050</v>
      </c>
      <c r="H1226" s="6">
        <v>40588</v>
      </c>
      <c r="I1226" s="6">
        <v>42198</v>
      </c>
      <c r="J1226" s="6">
        <v>198958</v>
      </c>
      <c r="K1226" s="6">
        <v>450374</v>
      </c>
      <c r="L1226" s="6">
        <v>170576</v>
      </c>
      <c r="M1226" s="6">
        <v>2369152</v>
      </c>
      <c r="N1226" s="42">
        <v>1322017</v>
      </c>
      <c r="O1226" s="42"/>
      <c r="P1226" s="42">
        <v>105956</v>
      </c>
      <c r="Q1226" s="42">
        <v>227248</v>
      </c>
      <c r="R1226" s="42">
        <v>2555659</v>
      </c>
      <c r="S1226" s="5">
        <v>83444</v>
      </c>
      <c r="T1226" s="42">
        <v>422822</v>
      </c>
    </row>
    <row r="1227" spans="1:20" x14ac:dyDescent="0.3">
      <c r="A1227" s="7">
        <v>44371</v>
      </c>
      <c r="B1227" s="5"/>
      <c r="C1227" s="6">
        <v>144675</v>
      </c>
      <c r="D1227" s="6">
        <v>169443</v>
      </c>
      <c r="E1227" s="6">
        <v>198536</v>
      </c>
      <c r="F1227" s="14">
        <v>693002</v>
      </c>
      <c r="G1227" s="6">
        <v>196376</v>
      </c>
      <c r="H1227" s="6">
        <v>40500</v>
      </c>
      <c r="I1227" s="6">
        <v>41542</v>
      </c>
      <c r="J1227" s="6">
        <v>200005</v>
      </c>
      <c r="K1227" s="6">
        <v>449729</v>
      </c>
      <c r="L1227" s="6">
        <v>176864</v>
      </c>
      <c r="M1227" s="6">
        <v>2372769</v>
      </c>
      <c r="N1227" s="42">
        <v>1316012</v>
      </c>
      <c r="O1227" s="42"/>
      <c r="P1227" s="42">
        <v>103934</v>
      </c>
      <c r="Q1227" s="42">
        <v>226336</v>
      </c>
      <c r="R1227" s="42">
        <v>2554238</v>
      </c>
      <c r="S1227" s="5">
        <v>82642</v>
      </c>
      <c r="T1227" s="42">
        <v>420029</v>
      </c>
    </row>
    <row r="1228" spans="1:20" x14ac:dyDescent="0.3">
      <c r="A1228" s="7">
        <v>44370</v>
      </c>
      <c r="B1228" s="5"/>
      <c r="C1228" s="6">
        <v>145501</v>
      </c>
      <c r="D1228" s="6">
        <v>168961</v>
      </c>
      <c r="E1228" s="6">
        <v>199562</v>
      </c>
      <c r="F1228" s="14">
        <v>693894</v>
      </c>
      <c r="G1228" s="6">
        <v>193646</v>
      </c>
      <c r="H1228" s="6">
        <v>39295</v>
      </c>
      <c r="I1228" s="6">
        <v>42045</v>
      </c>
      <c r="J1228" s="6">
        <v>202259</v>
      </c>
      <c r="K1228" s="6">
        <v>453502</v>
      </c>
      <c r="L1228" s="6">
        <v>178120</v>
      </c>
      <c r="M1228" s="6">
        <v>2363315</v>
      </c>
      <c r="N1228" s="42">
        <v>1311844</v>
      </c>
      <c r="O1228" s="42"/>
      <c r="P1228" s="42">
        <v>102306</v>
      </c>
      <c r="Q1228" s="42">
        <v>224315</v>
      </c>
      <c r="R1228" s="42">
        <v>2550627</v>
      </c>
      <c r="S1228" s="5">
        <v>76382</v>
      </c>
      <c r="T1228" s="42">
        <v>414761</v>
      </c>
    </row>
    <row r="1229" spans="1:20" x14ac:dyDescent="0.3">
      <c r="A1229" s="7">
        <v>44369</v>
      </c>
      <c r="B1229" s="5"/>
      <c r="C1229" s="6">
        <v>147814</v>
      </c>
      <c r="D1229" s="6">
        <v>171280</v>
      </c>
      <c r="E1229" s="6">
        <v>202787</v>
      </c>
      <c r="F1229" s="14">
        <v>694804</v>
      </c>
      <c r="G1229" s="6">
        <v>190545</v>
      </c>
      <c r="H1229" s="6">
        <v>39285</v>
      </c>
      <c r="I1229" s="6">
        <v>41889</v>
      </c>
      <c r="J1229" s="6">
        <v>206167</v>
      </c>
      <c r="K1229" s="6">
        <v>453940</v>
      </c>
      <c r="L1229" s="6">
        <v>175703</v>
      </c>
      <c r="M1229" s="6">
        <v>2348317</v>
      </c>
      <c r="N1229" s="42">
        <v>1296786</v>
      </c>
      <c r="O1229" s="42"/>
      <c r="P1229" s="42">
        <v>102620</v>
      </c>
      <c r="Q1229" s="42">
        <v>223784</v>
      </c>
      <c r="R1229" s="42">
        <v>2563884</v>
      </c>
      <c r="S1229" s="5">
        <v>76144</v>
      </c>
      <c r="T1229" s="42">
        <v>415673</v>
      </c>
    </row>
    <row r="1230" spans="1:20" x14ac:dyDescent="0.3">
      <c r="A1230" s="7">
        <v>44368</v>
      </c>
      <c r="B1230" s="5"/>
      <c r="C1230" s="6">
        <v>147586</v>
      </c>
      <c r="D1230" s="6">
        <v>174038</v>
      </c>
      <c r="E1230" s="6">
        <v>202976</v>
      </c>
      <c r="F1230" s="14">
        <v>695550</v>
      </c>
      <c r="G1230" s="6">
        <v>178085</v>
      </c>
      <c r="H1230" s="6">
        <v>38366</v>
      </c>
      <c r="I1230" s="6">
        <v>39885</v>
      </c>
      <c r="J1230" s="6">
        <v>216067</v>
      </c>
      <c r="K1230" s="6">
        <v>458770</v>
      </c>
      <c r="L1230" s="6">
        <v>177132</v>
      </c>
      <c r="M1230" s="6">
        <v>2379530</v>
      </c>
      <c r="N1230" s="42">
        <v>1301220</v>
      </c>
      <c r="O1230" s="42"/>
      <c r="P1230" s="42">
        <v>104407</v>
      </c>
      <c r="Q1230" s="42">
        <v>219917</v>
      </c>
      <c r="R1230" s="42">
        <v>2582247</v>
      </c>
      <c r="S1230" s="5">
        <v>83260</v>
      </c>
      <c r="T1230" s="42">
        <v>482065</v>
      </c>
    </row>
    <row r="1231" spans="1:20" x14ac:dyDescent="0.3">
      <c r="A1231" s="7">
        <v>44365</v>
      </c>
      <c r="B1231" s="5"/>
      <c r="C1231" s="6">
        <v>141708</v>
      </c>
      <c r="D1231" s="6">
        <v>171921</v>
      </c>
      <c r="E1231" s="6">
        <v>202332</v>
      </c>
      <c r="F1231" s="14">
        <v>702790</v>
      </c>
      <c r="G1231" s="6">
        <v>174316</v>
      </c>
      <c r="H1231" s="6">
        <v>39574</v>
      </c>
      <c r="I1231" s="6">
        <v>39389</v>
      </c>
      <c r="J1231" s="6">
        <v>219828</v>
      </c>
      <c r="K1231" s="6">
        <v>466106</v>
      </c>
      <c r="L1231" s="6">
        <v>178995</v>
      </c>
      <c r="M1231" s="6">
        <v>2416998</v>
      </c>
      <c r="N1231" s="42">
        <v>1311402</v>
      </c>
      <c r="O1231" s="42"/>
      <c r="P1231" s="42">
        <v>125015</v>
      </c>
      <c r="Q1231" s="42">
        <v>280915</v>
      </c>
      <c r="R1231" s="42">
        <v>3076202</v>
      </c>
      <c r="S1231" s="5">
        <v>85334</v>
      </c>
      <c r="T1231" s="42">
        <v>480884</v>
      </c>
    </row>
    <row r="1232" spans="1:20" x14ac:dyDescent="0.3">
      <c r="A1232" s="7">
        <v>44364</v>
      </c>
      <c r="B1232" s="5"/>
      <c r="C1232" s="6">
        <v>137706</v>
      </c>
      <c r="D1232" s="6">
        <v>165422</v>
      </c>
      <c r="E1232" s="6">
        <v>199167</v>
      </c>
      <c r="F1232" s="14">
        <v>705224</v>
      </c>
      <c r="G1232" s="6">
        <v>172760</v>
      </c>
      <c r="H1232" s="6">
        <v>38812</v>
      </c>
      <c r="I1232" s="6">
        <v>40775</v>
      </c>
      <c r="J1232" s="6">
        <v>223902</v>
      </c>
      <c r="K1232" s="6">
        <v>476313</v>
      </c>
      <c r="L1232" s="6">
        <v>182722</v>
      </c>
      <c r="M1232" s="6">
        <v>2444877</v>
      </c>
      <c r="N1232" s="42">
        <v>1315183</v>
      </c>
      <c r="O1232" s="42"/>
      <c r="P1232" s="42">
        <v>125256</v>
      </c>
      <c r="Q1232" s="42">
        <v>288706</v>
      </c>
      <c r="R1232" s="42">
        <v>3120567</v>
      </c>
      <c r="S1232" s="5">
        <v>77477</v>
      </c>
      <c r="T1232" s="42">
        <v>503628</v>
      </c>
    </row>
    <row r="1233" spans="1:20" x14ac:dyDescent="0.3">
      <c r="A1233" s="7">
        <v>44363</v>
      </c>
      <c r="B1233" s="5"/>
      <c r="C1233" s="6">
        <v>131607</v>
      </c>
      <c r="D1233" s="6">
        <v>159157</v>
      </c>
      <c r="E1233" s="6">
        <v>198863</v>
      </c>
      <c r="F1233" s="14">
        <v>703138</v>
      </c>
      <c r="G1233" s="6">
        <v>160867</v>
      </c>
      <c r="H1233" s="6">
        <v>37580</v>
      </c>
      <c r="I1233" s="6">
        <v>39305</v>
      </c>
      <c r="J1233" s="6">
        <v>226315</v>
      </c>
      <c r="K1233" s="6">
        <v>479558</v>
      </c>
      <c r="L1233" s="6">
        <v>193846</v>
      </c>
      <c r="M1233" s="6">
        <v>2485108</v>
      </c>
      <c r="N1233" s="42">
        <v>1330143</v>
      </c>
      <c r="O1233" s="42"/>
      <c r="P1233" s="42">
        <v>123312</v>
      </c>
      <c r="Q1233" s="42">
        <v>289966</v>
      </c>
      <c r="R1233" s="42">
        <v>3123866</v>
      </c>
      <c r="S1233" s="5">
        <v>77346</v>
      </c>
      <c r="T1233" s="42">
        <v>496061</v>
      </c>
    </row>
    <row r="1234" spans="1:20" x14ac:dyDescent="0.3">
      <c r="A1234" s="7">
        <v>44362</v>
      </c>
      <c r="B1234" s="5"/>
      <c r="C1234" s="6">
        <v>153644</v>
      </c>
      <c r="D1234" s="6">
        <v>191891</v>
      </c>
      <c r="E1234" s="6">
        <v>252936</v>
      </c>
      <c r="F1234" s="14">
        <v>834311</v>
      </c>
      <c r="G1234" s="6">
        <v>189024</v>
      </c>
      <c r="H1234" s="6">
        <v>49368</v>
      </c>
      <c r="I1234" s="6">
        <v>50932</v>
      </c>
      <c r="J1234" s="6">
        <v>229832</v>
      </c>
      <c r="K1234" s="6">
        <v>480127</v>
      </c>
      <c r="L1234" s="6">
        <v>194268</v>
      </c>
      <c r="M1234" s="6">
        <v>2474859</v>
      </c>
      <c r="N1234" s="42">
        <v>1341854</v>
      </c>
      <c r="O1234" s="42"/>
      <c r="P1234" s="42">
        <v>119404</v>
      </c>
      <c r="Q1234" s="42">
        <v>288897</v>
      </c>
      <c r="R1234" s="42">
        <v>3117658</v>
      </c>
      <c r="S1234" s="5">
        <v>72540</v>
      </c>
      <c r="T1234" s="42">
        <v>501110</v>
      </c>
    </row>
    <row r="1235" spans="1:20" x14ac:dyDescent="0.3">
      <c r="A1235" s="7">
        <v>44361</v>
      </c>
      <c r="B1235" s="5"/>
      <c r="C1235" s="6">
        <v>150325</v>
      </c>
      <c r="D1235" s="6">
        <v>190513</v>
      </c>
      <c r="E1235" s="6">
        <v>253294</v>
      </c>
      <c r="F1235" s="14">
        <v>837332</v>
      </c>
      <c r="G1235" s="6">
        <v>186614</v>
      </c>
      <c r="H1235" s="6">
        <v>47804</v>
      </c>
      <c r="I1235" s="6">
        <v>52081</v>
      </c>
      <c r="J1235" s="6">
        <v>224532</v>
      </c>
      <c r="K1235" s="6">
        <v>482028</v>
      </c>
      <c r="L1235" s="6">
        <v>196087</v>
      </c>
      <c r="M1235" s="6">
        <v>2443681</v>
      </c>
      <c r="N1235" s="42">
        <v>1327034</v>
      </c>
      <c r="O1235" s="42"/>
      <c r="P1235" s="42">
        <v>115764</v>
      </c>
      <c r="Q1235" s="42">
        <v>284140</v>
      </c>
      <c r="R1235" s="42">
        <v>3128401</v>
      </c>
      <c r="S1235" s="5">
        <v>74785</v>
      </c>
      <c r="T1235" s="42">
        <v>491609</v>
      </c>
    </row>
    <row r="1236" spans="1:20" x14ac:dyDescent="0.3">
      <c r="A1236" s="7">
        <v>44358</v>
      </c>
      <c r="B1236" s="5"/>
      <c r="C1236" s="6">
        <v>149754</v>
      </c>
      <c r="D1236" s="6">
        <v>189683</v>
      </c>
      <c r="E1236" s="6">
        <v>255159</v>
      </c>
      <c r="F1236" s="14">
        <v>833309</v>
      </c>
      <c r="G1236" s="6">
        <v>180730</v>
      </c>
      <c r="H1236" s="6">
        <v>47721</v>
      </c>
      <c r="I1236" s="6">
        <v>52015</v>
      </c>
      <c r="J1236" s="6">
        <v>231601</v>
      </c>
      <c r="K1236" s="6">
        <v>492207</v>
      </c>
      <c r="L1236" s="6">
        <v>198860</v>
      </c>
      <c r="M1236" s="6">
        <v>2466180</v>
      </c>
      <c r="N1236" s="42">
        <v>1318269</v>
      </c>
      <c r="O1236" s="42"/>
      <c r="P1236" s="42">
        <v>121076</v>
      </c>
      <c r="Q1236" s="42">
        <v>265422</v>
      </c>
      <c r="R1236" s="42">
        <v>2975804</v>
      </c>
      <c r="S1236" s="5">
        <v>78313</v>
      </c>
      <c r="T1236" s="42">
        <v>467438</v>
      </c>
    </row>
    <row r="1237" spans="1:20" x14ac:dyDescent="0.3">
      <c r="A1237" s="7">
        <v>44357</v>
      </c>
      <c r="B1237" s="5"/>
      <c r="C1237" s="6">
        <v>150485</v>
      </c>
      <c r="D1237" s="6">
        <v>203629</v>
      </c>
      <c r="E1237" s="6">
        <v>245488</v>
      </c>
      <c r="F1237" s="14">
        <v>828190</v>
      </c>
      <c r="G1237" s="6">
        <v>176712</v>
      </c>
      <c r="H1237" s="6">
        <v>49393</v>
      </c>
      <c r="I1237" s="6">
        <v>47762</v>
      </c>
      <c r="J1237" s="6">
        <v>231150</v>
      </c>
      <c r="K1237" s="6">
        <v>496985</v>
      </c>
      <c r="L1237" s="6">
        <v>194806</v>
      </c>
      <c r="M1237" s="6">
        <v>2487828</v>
      </c>
      <c r="N1237" s="42">
        <v>1284188</v>
      </c>
      <c r="O1237" s="42"/>
      <c r="P1237" s="42">
        <v>111305</v>
      </c>
      <c r="Q1237" s="42">
        <v>256317</v>
      </c>
      <c r="R1237" s="42">
        <v>2925654</v>
      </c>
      <c r="S1237" s="5">
        <v>75975</v>
      </c>
      <c r="T1237" s="42">
        <v>465416</v>
      </c>
    </row>
    <row r="1238" spans="1:20" x14ac:dyDescent="0.3">
      <c r="A1238" s="7">
        <v>44356</v>
      </c>
      <c r="B1238" s="5"/>
      <c r="C1238" s="6">
        <v>147368</v>
      </c>
      <c r="D1238" s="6">
        <v>179420</v>
      </c>
      <c r="E1238" s="6">
        <v>221973</v>
      </c>
      <c r="F1238" s="14">
        <v>785569</v>
      </c>
      <c r="G1238" s="6">
        <v>164524</v>
      </c>
      <c r="H1238" s="6">
        <v>47516</v>
      </c>
      <c r="I1238" s="6">
        <v>49192</v>
      </c>
      <c r="J1238" s="6">
        <v>233675</v>
      </c>
      <c r="K1238" s="6">
        <v>493438</v>
      </c>
      <c r="L1238" s="6">
        <v>189371</v>
      </c>
      <c r="M1238" s="6">
        <v>2492881</v>
      </c>
      <c r="N1238" s="42">
        <v>1278269</v>
      </c>
      <c r="O1238" s="42"/>
      <c r="P1238" s="42">
        <v>106501</v>
      </c>
      <c r="Q1238" s="42">
        <v>246261</v>
      </c>
      <c r="R1238" s="42">
        <v>2860524</v>
      </c>
      <c r="S1238" s="5">
        <v>79915</v>
      </c>
      <c r="T1238" s="42">
        <v>462600</v>
      </c>
    </row>
    <row r="1239" spans="1:20" x14ac:dyDescent="0.3">
      <c r="A1239" s="7">
        <v>44355</v>
      </c>
      <c r="B1239" s="5"/>
      <c r="C1239" s="6">
        <v>148640</v>
      </c>
      <c r="D1239" s="6">
        <v>171602</v>
      </c>
      <c r="E1239" s="6">
        <v>220053</v>
      </c>
      <c r="F1239" s="14">
        <v>743159</v>
      </c>
      <c r="G1239" s="6">
        <v>161592</v>
      </c>
      <c r="H1239" s="6">
        <v>45803</v>
      </c>
      <c r="I1239" s="6">
        <v>49202</v>
      </c>
      <c r="J1239" s="6">
        <v>234207</v>
      </c>
      <c r="K1239" s="6">
        <v>491858</v>
      </c>
      <c r="L1239" s="6">
        <v>184841</v>
      </c>
      <c r="M1239" s="6">
        <v>2511533</v>
      </c>
      <c r="N1239" s="42">
        <v>1268107</v>
      </c>
      <c r="O1239" s="42"/>
      <c r="P1239" s="42">
        <v>106294</v>
      </c>
      <c r="Q1239" s="42">
        <v>238155</v>
      </c>
      <c r="R1239" s="42">
        <v>2816156</v>
      </c>
      <c r="S1239" s="5">
        <v>77355</v>
      </c>
      <c r="T1239" s="42">
        <v>460254</v>
      </c>
    </row>
    <row r="1240" spans="1:20" x14ac:dyDescent="0.3">
      <c r="A1240" s="7">
        <v>44354</v>
      </c>
      <c r="B1240" s="5"/>
      <c r="C1240" s="6">
        <v>139583</v>
      </c>
      <c r="D1240" s="6">
        <v>176919</v>
      </c>
      <c r="E1240" s="6">
        <v>215700</v>
      </c>
      <c r="F1240" s="14">
        <v>740925</v>
      </c>
      <c r="G1240" s="6">
        <v>163328</v>
      </c>
      <c r="H1240" s="6">
        <v>45265</v>
      </c>
      <c r="I1240" s="6">
        <v>48733</v>
      </c>
      <c r="J1240" s="6">
        <v>235031</v>
      </c>
      <c r="K1240" s="6">
        <v>491649</v>
      </c>
      <c r="L1240" s="6">
        <v>185420</v>
      </c>
      <c r="M1240" s="6">
        <v>2522272</v>
      </c>
      <c r="N1240" s="42">
        <v>1245257</v>
      </c>
      <c r="O1240" s="42"/>
      <c r="P1240" s="42">
        <v>106230</v>
      </c>
      <c r="Q1240" s="42">
        <v>235455</v>
      </c>
      <c r="R1240" s="42">
        <v>2786758</v>
      </c>
      <c r="S1240" s="5">
        <v>33712</v>
      </c>
      <c r="T1240" s="42">
        <v>454707</v>
      </c>
    </row>
    <row r="1241" spans="1:20" x14ac:dyDescent="0.3">
      <c r="A1241" s="7">
        <v>44351</v>
      </c>
      <c r="B1241" s="5"/>
      <c r="C1241" s="6">
        <v>140577</v>
      </c>
      <c r="D1241" s="6">
        <v>170112</v>
      </c>
      <c r="E1241" s="6">
        <v>214343</v>
      </c>
      <c r="F1241" s="14">
        <v>733382</v>
      </c>
      <c r="G1241" s="6">
        <v>163857</v>
      </c>
      <c r="H1241" s="6">
        <v>45159</v>
      </c>
      <c r="I1241" s="6">
        <v>46639</v>
      </c>
      <c r="J1241" s="6">
        <v>234667</v>
      </c>
      <c r="K1241" s="6">
        <v>486369</v>
      </c>
      <c r="L1241" s="6">
        <v>185766</v>
      </c>
      <c r="M1241" s="6">
        <v>2538946</v>
      </c>
      <c r="N1241" s="42">
        <v>1247345</v>
      </c>
      <c r="O1241" s="42"/>
      <c r="P1241" s="42">
        <v>105044</v>
      </c>
      <c r="Q1241" s="42">
        <v>233493</v>
      </c>
      <c r="R1241" s="42">
        <v>2776757</v>
      </c>
      <c r="S1241" s="5">
        <v>48969</v>
      </c>
      <c r="T1241" s="42">
        <v>454711</v>
      </c>
    </row>
    <row r="1242" spans="1:20" x14ac:dyDescent="0.3">
      <c r="A1242" s="7">
        <v>44350</v>
      </c>
      <c r="B1242" s="5"/>
      <c r="C1242" s="6">
        <v>149239</v>
      </c>
      <c r="D1242" s="6">
        <v>171456</v>
      </c>
      <c r="E1242" s="6">
        <v>222043</v>
      </c>
      <c r="F1242" s="14">
        <v>736330</v>
      </c>
      <c r="G1242" s="6">
        <v>168876</v>
      </c>
      <c r="H1242" s="6">
        <v>45314</v>
      </c>
      <c r="I1242" s="6">
        <v>45057</v>
      </c>
      <c r="J1242" s="6">
        <v>238304</v>
      </c>
      <c r="K1242" s="6">
        <v>487652</v>
      </c>
      <c r="L1242" s="6">
        <v>182075</v>
      </c>
      <c r="M1242" s="6">
        <v>2525956</v>
      </c>
      <c r="N1242" s="42">
        <v>1237141</v>
      </c>
      <c r="O1242" s="42"/>
      <c r="P1242" s="42">
        <v>105366</v>
      </c>
      <c r="Q1242" s="42">
        <v>235859</v>
      </c>
      <c r="R1242" s="42">
        <v>2768584</v>
      </c>
      <c r="S1242" s="5">
        <v>70842</v>
      </c>
      <c r="T1242" s="42">
        <v>454680</v>
      </c>
    </row>
    <row r="1243" spans="1:20" x14ac:dyDescent="0.3">
      <c r="A1243" s="7">
        <v>44349</v>
      </c>
      <c r="B1243" s="5"/>
      <c r="C1243" s="6">
        <v>138448</v>
      </c>
      <c r="D1243" s="6">
        <v>173592</v>
      </c>
      <c r="E1243" s="6">
        <v>227193</v>
      </c>
      <c r="F1243" s="14">
        <v>738911</v>
      </c>
      <c r="G1243" s="6">
        <v>162790</v>
      </c>
      <c r="H1243" s="6">
        <v>46080</v>
      </c>
      <c r="I1243" s="6">
        <v>45181</v>
      </c>
      <c r="J1243" s="6">
        <v>234676</v>
      </c>
      <c r="K1243" s="6">
        <v>493336</v>
      </c>
      <c r="L1243" s="6">
        <v>184428</v>
      </c>
      <c r="M1243" s="6">
        <v>2510617</v>
      </c>
      <c r="N1243" s="42">
        <v>1245000</v>
      </c>
      <c r="O1243" s="42"/>
      <c r="P1243" s="42">
        <v>104264</v>
      </c>
      <c r="Q1243" s="42">
        <v>237898</v>
      </c>
      <c r="R1243" s="42">
        <v>2774211</v>
      </c>
      <c r="S1243" s="5">
        <v>73297</v>
      </c>
      <c r="T1243" s="42">
        <v>456497</v>
      </c>
    </row>
    <row r="1244" spans="1:20" x14ac:dyDescent="0.3">
      <c r="A1244" s="7">
        <v>44348</v>
      </c>
      <c r="B1244" s="5"/>
      <c r="C1244" s="6">
        <v>135182</v>
      </c>
      <c r="D1244" s="6">
        <v>174502</v>
      </c>
      <c r="E1244" s="6">
        <v>228957</v>
      </c>
      <c r="F1244" s="14">
        <v>742079</v>
      </c>
      <c r="G1244" s="6">
        <v>162091</v>
      </c>
      <c r="H1244" s="6">
        <v>46253</v>
      </c>
      <c r="I1244" s="6">
        <v>46004</v>
      </c>
      <c r="J1244" s="6">
        <v>232824</v>
      </c>
      <c r="K1244" s="6">
        <v>489198</v>
      </c>
      <c r="L1244" s="6">
        <v>182312</v>
      </c>
      <c r="M1244" s="6">
        <v>2507073</v>
      </c>
      <c r="N1244" s="42">
        <v>1240729</v>
      </c>
      <c r="O1244" s="42"/>
      <c r="P1244" s="42">
        <v>103242</v>
      </c>
      <c r="Q1244" s="42">
        <v>238373</v>
      </c>
      <c r="R1244" s="42">
        <v>2767524</v>
      </c>
      <c r="S1244" s="5">
        <v>73954</v>
      </c>
      <c r="T1244" s="42">
        <v>453774</v>
      </c>
    </row>
    <row r="1245" spans="1:20" x14ac:dyDescent="0.3">
      <c r="A1245" s="7">
        <v>44344</v>
      </c>
      <c r="B1245" s="5"/>
      <c r="C1245" s="6">
        <v>136180</v>
      </c>
      <c r="D1245" s="6">
        <v>167556</v>
      </c>
      <c r="E1245" s="6">
        <v>218923</v>
      </c>
      <c r="F1245" s="14">
        <v>730708</v>
      </c>
      <c r="G1245" s="6">
        <v>166593</v>
      </c>
      <c r="H1245" s="6">
        <v>45795</v>
      </c>
      <c r="I1245" s="6">
        <v>44302</v>
      </c>
      <c r="J1245" s="6">
        <v>230413</v>
      </c>
      <c r="K1245" s="6">
        <v>496234</v>
      </c>
      <c r="L1245" s="6">
        <v>181224</v>
      </c>
      <c r="M1245" s="6">
        <v>2484150</v>
      </c>
      <c r="N1245" s="42">
        <v>1218351</v>
      </c>
      <c r="O1245" s="42"/>
      <c r="P1245" s="42">
        <v>100650</v>
      </c>
      <c r="Q1245" s="42">
        <v>237309</v>
      </c>
      <c r="R1245" s="42">
        <v>2762505</v>
      </c>
      <c r="S1245" s="5">
        <v>74457</v>
      </c>
      <c r="T1245" s="42">
        <v>458684</v>
      </c>
    </row>
    <row r="1246" spans="1:20" x14ac:dyDescent="0.3">
      <c r="A1246" s="7">
        <v>44343</v>
      </c>
      <c r="B1246" s="5"/>
      <c r="C1246" s="6">
        <v>133185</v>
      </c>
      <c r="D1246" s="6">
        <v>173850</v>
      </c>
      <c r="E1246" s="6">
        <v>221643</v>
      </c>
      <c r="F1246" s="14">
        <v>735249</v>
      </c>
      <c r="G1246" s="6">
        <v>164015</v>
      </c>
      <c r="H1246" s="6">
        <v>45778</v>
      </c>
      <c r="I1246" s="6">
        <v>44705</v>
      </c>
      <c r="J1246" s="6">
        <v>232161</v>
      </c>
      <c r="K1246" s="6">
        <v>506340</v>
      </c>
      <c r="L1246" s="6">
        <v>182330</v>
      </c>
      <c r="M1246" s="6">
        <v>2475001</v>
      </c>
      <c r="N1246" s="42">
        <v>1217590</v>
      </c>
      <c r="O1246" s="42"/>
      <c r="P1246" s="42">
        <v>100986</v>
      </c>
      <c r="Q1246" s="42">
        <v>237375</v>
      </c>
      <c r="R1246" s="42">
        <v>2755401</v>
      </c>
      <c r="S1246" s="5">
        <v>75849</v>
      </c>
      <c r="T1246" s="42">
        <v>456428</v>
      </c>
    </row>
    <row r="1247" spans="1:20" x14ac:dyDescent="0.3">
      <c r="A1247" s="7">
        <v>44342</v>
      </c>
      <c r="B1247" s="5"/>
      <c r="C1247" s="6">
        <v>133868</v>
      </c>
      <c r="D1247" s="6">
        <v>167621</v>
      </c>
      <c r="E1247" s="6">
        <v>217791</v>
      </c>
      <c r="F1247" s="14">
        <v>731149</v>
      </c>
      <c r="G1247" s="6">
        <v>154873</v>
      </c>
      <c r="H1247" s="6">
        <v>45712</v>
      </c>
      <c r="I1247" s="6">
        <v>44098</v>
      </c>
      <c r="J1247" s="6">
        <v>231796</v>
      </c>
      <c r="K1247" s="6">
        <v>506481</v>
      </c>
      <c r="L1247" s="6">
        <v>180351</v>
      </c>
      <c r="M1247" s="6">
        <v>2464250</v>
      </c>
      <c r="N1247" s="42">
        <v>1202128</v>
      </c>
      <c r="O1247" s="42"/>
      <c r="P1247" s="42">
        <v>99437</v>
      </c>
      <c r="Q1247" s="42">
        <v>235392</v>
      </c>
      <c r="R1247" s="42">
        <v>2751419</v>
      </c>
      <c r="S1247" s="5">
        <v>75322</v>
      </c>
      <c r="T1247" s="42">
        <v>451798</v>
      </c>
    </row>
    <row r="1248" spans="1:20" x14ac:dyDescent="0.3">
      <c r="A1248" s="7">
        <v>44341</v>
      </c>
      <c r="B1248" s="5"/>
      <c r="C1248" s="6">
        <v>134790</v>
      </c>
      <c r="D1248" s="6">
        <v>169372</v>
      </c>
      <c r="E1248" s="6">
        <v>213176</v>
      </c>
      <c r="F1248" s="14">
        <v>738138</v>
      </c>
      <c r="G1248" s="6">
        <v>153196</v>
      </c>
      <c r="H1248" s="6">
        <v>44245</v>
      </c>
      <c r="I1248" s="6">
        <v>43521</v>
      </c>
      <c r="J1248" s="6">
        <v>230730</v>
      </c>
      <c r="K1248" s="6">
        <v>510164</v>
      </c>
      <c r="L1248" s="6">
        <v>180830</v>
      </c>
      <c r="M1248" s="6">
        <v>2426045</v>
      </c>
      <c r="N1248" s="42">
        <v>1183543</v>
      </c>
      <c r="O1248" s="42"/>
      <c r="P1248" s="42">
        <v>98816</v>
      </c>
      <c r="Q1248" s="42">
        <v>233388</v>
      </c>
      <c r="R1248" s="42">
        <v>2735735</v>
      </c>
      <c r="S1248" s="5">
        <v>75876</v>
      </c>
      <c r="T1248" s="42">
        <v>453531</v>
      </c>
    </row>
    <row r="1249" spans="1:20" x14ac:dyDescent="0.3">
      <c r="A1249" s="7">
        <v>44340</v>
      </c>
      <c r="B1249" s="5"/>
      <c r="C1249" s="6">
        <v>135689</v>
      </c>
      <c r="D1249" s="6">
        <v>171808</v>
      </c>
      <c r="E1249" s="6">
        <v>211858</v>
      </c>
      <c r="F1249" s="14">
        <v>731708</v>
      </c>
      <c r="G1249" s="6">
        <v>153084</v>
      </c>
      <c r="H1249" s="6">
        <v>43608</v>
      </c>
      <c r="I1249" s="6">
        <v>42733</v>
      </c>
      <c r="J1249" s="6">
        <v>231594</v>
      </c>
      <c r="K1249" s="6">
        <v>530882</v>
      </c>
      <c r="L1249" s="6">
        <v>179454</v>
      </c>
      <c r="M1249" s="6">
        <v>2423190</v>
      </c>
      <c r="N1249" s="42">
        <v>1187513</v>
      </c>
      <c r="O1249" s="42"/>
      <c r="P1249" s="42">
        <v>97332</v>
      </c>
      <c r="Q1249" s="42">
        <v>233037</v>
      </c>
      <c r="R1249" s="42">
        <v>2712784</v>
      </c>
      <c r="S1249" s="5">
        <v>77157</v>
      </c>
      <c r="T1249" s="42">
        <v>453350</v>
      </c>
    </row>
    <row r="1250" spans="1:20" x14ac:dyDescent="0.3">
      <c r="A1250" s="7">
        <v>44337</v>
      </c>
      <c r="B1250" s="5"/>
      <c r="C1250" s="6">
        <v>137315</v>
      </c>
      <c r="D1250" s="6">
        <v>171888</v>
      </c>
      <c r="E1250" s="6">
        <v>211473</v>
      </c>
      <c r="F1250" s="14">
        <v>720270</v>
      </c>
      <c r="G1250" s="6">
        <v>154160</v>
      </c>
      <c r="H1250" s="6">
        <v>42324</v>
      </c>
      <c r="I1250" s="6">
        <v>43179</v>
      </c>
      <c r="J1250" s="6">
        <v>233245</v>
      </c>
      <c r="K1250" s="6">
        <v>533343</v>
      </c>
      <c r="L1250" s="6">
        <v>178848</v>
      </c>
      <c r="M1250" s="6">
        <v>2420227</v>
      </c>
      <c r="N1250" s="42">
        <v>1195159</v>
      </c>
      <c r="O1250" s="42"/>
      <c r="P1250" s="42">
        <v>97031</v>
      </c>
      <c r="Q1250" s="42">
        <v>232368</v>
      </c>
      <c r="R1250" s="42">
        <v>2677510</v>
      </c>
      <c r="S1250" s="5">
        <v>79738</v>
      </c>
      <c r="T1250" s="42">
        <v>455625</v>
      </c>
    </row>
    <row r="1251" spans="1:20" x14ac:dyDescent="0.3">
      <c r="A1251" s="7">
        <v>44336</v>
      </c>
      <c r="B1251" s="5"/>
      <c r="C1251" s="6">
        <v>137166</v>
      </c>
      <c r="D1251" s="6">
        <v>171061</v>
      </c>
      <c r="E1251" s="6">
        <v>206253</v>
      </c>
      <c r="F1251" s="14">
        <v>727500</v>
      </c>
      <c r="G1251" s="6">
        <v>156296</v>
      </c>
      <c r="H1251" s="6">
        <v>42880</v>
      </c>
      <c r="I1251" s="6">
        <v>45790</v>
      </c>
      <c r="J1251" s="6">
        <v>236240</v>
      </c>
      <c r="K1251" s="6">
        <v>529419</v>
      </c>
      <c r="L1251" s="6">
        <v>181806</v>
      </c>
      <c r="M1251" s="6">
        <v>2418141</v>
      </c>
      <c r="N1251" s="42">
        <v>1190853</v>
      </c>
      <c r="O1251" s="42"/>
      <c r="P1251" s="42">
        <v>95242</v>
      </c>
      <c r="Q1251" s="42">
        <v>230682</v>
      </c>
      <c r="R1251" s="42">
        <v>2660271</v>
      </c>
      <c r="S1251" s="5">
        <v>76765</v>
      </c>
      <c r="T1251" s="42">
        <v>453512</v>
      </c>
    </row>
    <row r="1252" spans="1:20" x14ac:dyDescent="0.3">
      <c r="A1252" s="7">
        <v>44335</v>
      </c>
      <c r="B1252" s="5"/>
      <c r="C1252" s="6">
        <v>140487</v>
      </c>
      <c r="D1252" s="6">
        <v>169188</v>
      </c>
      <c r="E1252" s="6">
        <v>210180</v>
      </c>
      <c r="F1252" s="14">
        <v>724872</v>
      </c>
      <c r="G1252" s="6">
        <v>155339</v>
      </c>
      <c r="H1252" s="6">
        <v>42162</v>
      </c>
      <c r="I1252" s="6">
        <v>45607</v>
      </c>
      <c r="J1252" s="6">
        <v>239262</v>
      </c>
      <c r="K1252" s="6">
        <v>525142</v>
      </c>
      <c r="L1252" s="6">
        <v>180921</v>
      </c>
      <c r="M1252" s="6">
        <v>2440005</v>
      </c>
      <c r="N1252" s="42">
        <v>1206798</v>
      </c>
      <c r="O1252" s="42"/>
      <c r="P1252" s="42">
        <v>93783</v>
      </c>
      <c r="Q1252" s="42">
        <v>229890</v>
      </c>
      <c r="R1252" s="42">
        <v>2640569</v>
      </c>
      <c r="S1252" s="5">
        <v>82725</v>
      </c>
      <c r="T1252" s="42">
        <v>459819</v>
      </c>
    </row>
    <row r="1253" spans="1:20" x14ac:dyDescent="0.3">
      <c r="A1253" s="7">
        <v>44334</v>
      </c>
      <c r="B1253" s="5"/>
      <c r="C1253" s="6">
        <v>137499</v>
      </c>
      <c r="D1253" s="6">
        <v>173620</v>
      </c>
      <c r="E1253" s="6">
        <v>207963</v>
      </c>
      <c r="F1253" s="14">
        <v>728728</v>
      </c>
      <c r="G1253" s="6">
        <v>155146</v>
      </c>
      <c r="H1253" s="6">
        <v>43155</v>
      </c>
      <c r="I1253" s="6">
        <v>44162</v>
      </c>
      <c r="J1253" s="6">
        <v>241354</v>
      </c>
      <c r="K1253" s="6">
        <v>520410</v>
      </c>
      <c r="L1253" s="6">
        <v>181606</v>
      </c>
      <c r="M1253" s="6">
        <v>2458804</v>
      </c>
      <c r="N1253" s="42">
        <v>1215201</v>
      </c>
      <c r="O1253" s="42"/>
      <c r="P1253" s="42">
        <v>95668</v>
      </c>
      <c r="Q1253" s="42">
        <v>227977</v>
      </c>
      <c r="R1253" s="42">
        <v>2619960</v>
      </c>
      <c r="S1253" s="5">
        <v>71623</v>
      </c>
      <c r="T1253" s="42">
        <v>459917</v>
      </c>
    </row>
    <row r="1254" spans="1:20" x14ac:dyDescent="0.3">
      <c r="A1254" s="7">
        <v>44333</v>
      </c>
      <c r="B1254" s="30"/>
      <c r="C1254" s="6">
        <v>137651</v>
      </c>
      <c r="D1254" s="6">
        <v>168128</v>
      </c>
      <c r="E1254" s="6">
        <v>209449</v>
      </c>
      <c r="F1254" s="14">
        <v>711117</v>
      </c>
      <c r="G1254" s="6">
        <v>158299</v>
      </c>
      <c r="H1254" s="6">
        <v>43801</v>
      </c>
      <c r="I1254" s="6">
        <v>40761</v>
      </c>
      <c r="J1254" s="6">
        <v>241899</v>
      </c>
      <c r="K1254" s="6">
        <v>526584</v>
      </c>
      <c r="L1254" s="6">
        <v>182552</v>
      </c>
      <c r="M1254" s="6">
        <v>2450725</v>
      </c>
      <c r="N1254" s="42">
        <v>1231174</v>
      </c>
      <c r="O1254" s="42"/>
      <c r="P1254" s="42">
        <v>94565</v>
      </c>
      <c r="Q1254" s="42">
        <v>228778</v>
      </c>
      <c r="R1254" s="42">
        <v>2644979</v>
      </c>
      <c r="S1254" s="5">
        <v>74908</v>
      </c>
      <c r="T1254" s="42">
        <v>457128</v>
      </c>
    </row>
    <row r="1255" spans="1:20" x14ac:dyDescent="0.3">
      <c r="A1255" s="7">
        <v>44330</v>
      </c>
      <c r="B1255" s="30"/>
      <c r="C1255" s="6">
        <v>137035</v>
      </c>
      <c r="D1255" s="6">
        <v>168658</v>
      </c>
      <c r="E1255" s="6">
        <v>209771</v>
      </c>
      <c r="F1255" s="14">
        <v>708097</v>
      </c>
      <c r="G1255" s="6">
        <v>160372</v>
      </c>
      <c r="H1255" s="6">
        <v>43336</v>
      </c>
      <c r="I1255" s="6">
        <v>40044</v>
      </c>
      <c r="J1255" s="6">
        <v>245551</v>
      </c>
      <c r="K1255" s="6">
        <v>513179</v>
      </c>
      <c r="L1255" s="6">
        <v>175487</v>
      </c>
      <c r="M1255" s="6">
        <v>2482433</v>
      </c>
      <c r="N1255" s="42">
        <v>1200155</v>
      </c>
      <c r="O1255" s="42"/>
      <c r="P1255" s="42">
        <v>93012</v>
      </c>
      <c r="Q1255" s="42">
        <v>231276</v>
      </c>
      <c r="R1255" s="42">
        <v>2659441</v>
      </c>
      <c r="S1255" s="5">
        <v>77587</v>
      </c>
      <c r="T1255" s="42">
        <v>450726</v>
      </c>
    </row>
    <row r="1256" spans="1:20" x14ac:dyDescent="0.3">
      <c r="A1256" s="7">
        <v>44329</v>
      </c>
      <c r="B1256" s="30"/>
      <c r="C1256" s="6">
        <v>140302</v>
      </c>
      <c r="D1256" s="6">
        <v>168851</v>
      </c>
      <c r="E1256" s="6">
        <v>211481</v>
      </c>
      <c r="F1256" s="14">
        <v>689384</v>
      </c>
      <c r="G1256" s="6">
        <v>164275</v>
      </c>
      <c r="H1256" s="6">
        <v>43576</v>
      </c>
      <c r="I1256" s="6">
        <v>39110</v>
      </c>
      <c r="J1256" s="6">
        <v>253451</v>
      </c>
      <c r="K1256" s="6">
        <v>504532</v>
      </c>
      <c r="L1256" s="6">
        <v>175289</v>
      </c>
      <c r="M1256" s="6">
        <v>2452866</v>
      </c>
      <c r="N1256" s="42">
        <v>1199026</v>
      </c>
      <c r="O1256" s="42"/>
      <c r="P1256" s="42">
        <v>92607</v>
      </c>
      <c r="Q1256" s="42">
        <v>235218</v>
      </c>
      <c r="R1256" s="42">
        <v>2672531</v>
      </c>
      <c r="S1256" s="5">
        <v>77300</v>
      </c>
      <c r="T1256" s="42">
        <v>452961</v>
      </c>
    </row>
    <row r="1257" spans="1:20" x14ac:dyDescent="0.3">
      <c r="A1257" s="7">
        <v>44328</v>
      </c>
      <c r="B1257" s="30"/>
      <c r="C1257" s="6">
        <v>141170</v>
      </c>
      <c r="D1257" s="6">
        <v>174862</v>
      </c>
      <c r="E1257" s="6">
        <v>204390</v>
      </c>
      <c r="F1257" s="14">
        <v>682657</v>
      </c>
      <c r="G1257" s="6">
        <v>162453</v>
      </c>
      <c r="H1257" s="6">
        <v>44065</v>
      </c>
      <c r="I1257" s="6">
        <v>40850</v>
      </c>
      <c r="J1257" s="6">
        <v>256464</v>
      </c>
      <c r="K1257" s="6">
        <v>498011</v>
      </c>
      <c r="L1257" s="6">
        <v>177224</v>
      </c>
      <c r="M1257" s="6">
        <v>2461608</v>
      </c>
      <c r="N1257" s="42">
        <v>1193132</v>
      </c>
      <c r="O1257" s="42"/>
      <c r="P1257" s="42">
        <v>98795</v>
      </c>
      <c r="Q1257" s="42">
        <v>235578</v>
      </c>
      <c r="R1257" s="42">
        <v>2682182</v>
      </c>
      <c r="S1257" s="5">
        <v>80674</v>
      </c>
      <c r="T1257" s="42">
        <v>451264</v>
      </c>
    </row>
    <row r="1258" spans="1:20" x14ac:dyDescent="0.3">
      <c r="A1258" s="7">
        <v>44327</v>
      </c>
      <c r="B1258" s="5"/>
      <c r="C1258" s="6">
        <v>140907</v>
      </c>
      <c r="D1258" s="6">
        <v>173960</v>
      </c>
      <c r="E1258" s="6">
        <v>201955</v>
      </c>
      <c r="F1258" s="14">
        <v>697211</v>
      </c>
      <c r="G1258" s="6">
        <v>152404</v>
      </c>
      <c r="H1258" s="6">
        <v>45414</v>
      </c>
      <c r="I1258" s="6">
        <v>41585</v>
      </c>
      <c r="J1258" s="6">
        <v>258498</v>
      </c>
      <c r="K1258" s="6">
        <v>498693</v>
      </c>
      <c r="L1258" s="6">
        <v>178250</v>
      </c>
      <c r="M1258" s="6">
        <v>2444466</v>
      </c>
      <c r="N1258" s="42">
        <v>1194771</v>
      </c>
      <c r="O1258" s="42"/>
      <c r="P1258" s="42">
        <v>98643</v>
      </c>
      <c r="Q1258" s="42">
        <v>227436</v>
      </c>
      <c r="R1258" s="42">
        <v>2655280</v>
      </c>
      <c r="S1258" s="5">
        <v>74355</v>
      </c>
      <c r="T1258" s="42">
        <v>448638</v>
      </c>
    </row>
    <row r="1259" spans="1:20" x14ac:dyDescent="0.3">
      <c r="A1259" s="7">
        <v>44326</v>
      </c>
      <c r="B1259" s="5"/>
      <c r="C1259" s="6">
        <v>144009</v>
      </c>
      <c r="D1259" s="6">
        <v>173214</v>
      </c>
      <c r="E1259" s="6">
        <v>203099</v>
      </c>
      <c r="F1259" s="14">
        <v>698979</v>
      </c>
      <c r="G1259" s="6">
        <v>151383</v>
      </c>
      <c r="H1259" s="6">
        <v>44976</v>
      </c>
      <c r="I1259" s="6">
        <v>41015</v>
      </c>
      <c r="J1259" s="6">
        <v>259552</v>
      </c>
      <c r="K1259" s="6">
        <v>513534</v>
      </c>
      <c r="L1259" s="6">
        <v>176776</v>
      </c>
      <c r="M1259" s="6">
        <v>2458908</v>
      </c>
      <c r="N1259" s="42">
        <v>1209695</v>
      </c>
      <c r="O1259" s="42"/>
      <c r="P1259" s="42">
        <v>105784</v>
      </c>
      <c r="Q1259" s="42">
        <v>233789</v>
      </c>
      <c r="R1259" s="42">
        <v>2683526</v>
      </c>
      <c r="S1259" s="5">
        <v>78853</v>
      </c>
      <c r="T1259" s="42">
        <v>449876</v>
      </c>
    </row>
    <row r="1260" spans="1:20" x14ac:dyDescent="0.3">
      <c r="A1260" s="7">
        <v>44323</v>
      </c>
      <c r="B1260" s="5"/>
      <c r="C1260" s="6">
        <v>143892</v>
      </c>
      <c r="D1260" s="6">
        <v>167538</v>
      </c>
      <c r="E1260" s="6">
        <v>201291</v>
      </c>
      <c r="F1260" s="14">
        <v>699394</v>
      </c>
      <c r="G1260" s="6">
        <v>151206</v>
      </c>
      <c r="H1260" s="6">
        <v>44737</v>
      </c>
      <c r="I1260" s="6">
        <v>40660</v>
      </c>
      <c r="J1260" s="6">
        <v>263373</v>
      </c>
      <c r="K1260" s="6">
        <v>496245</v>
      </c>
      <c r="L1260" s="6">
        <v>177045</v>
      </c>
      <c r="M1260" s="6">
        <v>2454292</v>
      </c>
      <c r="N1260" s="42">
        <v>1205248</v>
      </c>
      <c r="O1260" s="42"/>
      <c r="P1260" s="42">
        <v>99882</v>
      </c>
      <c r="Q1260" s="42">
        <v>231425</v>
      </c>
      <c r="R1260" s="42">
        <v>2699639</v>
      </c>
      <c r="S1260" s="5">
        <v>80511</v>
      </c>
      <c r="T1260" s="42">
        <v>449343</v>
      </c>
    </row>
    <row r="1261" spans="1:20" x14ac:dyDescent="0.3">
      <c r="A1261" s="7">
        <v>44322</v>
      </c>
      <c r="B1261" s="5"/>
      <c r="C1261" s="6">
        <v>140660</v>
      </c>
      <c r="D1261" s="6">
        <v>159651</v>
      </c>
      <c r="E1261" s="6">
        <v>198678</v>
      </c>
      <c r="F1261" s="14">
        <v>683731</v>
      </c>
      <c r="G1261" s="6">
        <v>150551</v>
      </c>
      <c r="H1261" s="6">
        <v>44081</v>
      </c>
      <c r="I1261" s="6">
        <v>41179</v>
      </c>
      <c r="J1261" s="6">
        <v>265087</v>
      </c>
      <c r="K1261" s="6">
        <v>487634</v>
      </c>
      <c r="L1261" s="6">
        <v>177755</v>
      </c>
      <c r="M1261" s="6">
        <v>2458288</v>
      </c>
      <c r="N1261" s="42">
        <v>1203242</v>
      </c>
      <c r="O1261" s="42"/>
      <c r="P1261" s="42">
        <v>98717</v>
      </c>
      <c r="Q1261" s="42">
        <v>236552</v>
      </c>
      <c r="R1261" s="42">
        <v>2711843</v>
      </c>
      <c r="S1261" s="5">
        <v>88983</v>
      </c>
      <c r="T1261" s="42">
        <v>446475</v>
      </c>
    </row>
    <row r="1262" spans="1:20" x14ac:dyDescent="0.3">
      <c r="A1262" s="7">
        <v>44321</v>
      </c>
      <c r="B1262" s="5"/>
      <c r="C1262" s="6">
        <v>138027</v>
      </c>
      <c r="D1262" s="6">
        <v>155916</v>
      </c>
      <c r="E1262" s="6">
        <v>198226</v>
      </c>
      <c r="F1262" s="14">
        <v>675943</v>
      </c>
      <c r="G1262" s="6">
        <v>154126</v>
      </c>
      <c r="H1262" s="6">
        <v>44817</v>
      </c>
      <c r="I1262" s="6">
        <v>40302</v>
      </c>
      <c r="J1262" s="6">
        <v>261677</v>
      </c>
      <c r="K1262" s="6">
        <v>467676</v>
      </c>
      <c r="L1262" s="6">
        <v>166656</v>
      </c>
      <c r="M1262" s="6">
        <v>2448728</v>
      </c>
      <c r="N1262" s="42">
        <v>1196303</v>
      </c>
      <c r="O1262" s="42"/>
      <c r="P1262" s="42">
        <v>94351</v>
      </c>
      <c r="Q1262" s="42">
        <v>237668</v>
      </c>
      <c r="R1262" s="42">
        <v>2702639</v>
      </c>
      <c r="S1262" s="5">
        <v>82299</v>
      </c>
      <c r="T1262" s="42">
        <v>449938</v>
      </c>
    </row>
    <row r="1263" spans="1:20" x14ac:dyDescent="0.3">
      <c r="A1263" s="7">
        <v>44320</v>
      </c>
      <c r="B1263" s="5"/>
      <c r="C1263" s="6">
        <v>137649</v>
      </c>
      <c r="D1263" s="6">
        <v>152741</v>
      </c>
      <c r="E1263" s="6">
        <v>196817</v>
      </c>
      <c r="F1263" s="14">
        <v>677397</v>
      </c>
      <c r="G1263" s="6">
        <v>152676</v>
      </c>
      <c r="H1263" s="6">
        <v>44453</v>
      </c>
      <c r="I1263" s="6">
        <v>39526</v>
      </c>
      <c r="J1263" s="6">
        <v>259609</v>
      </c>
      <c r="K1263" s="6">
        <v>470341</v>
      </c>
      <c r="L1263" s="6">
        <v>167073</v>
      </c>
      <c r="M1263" s="6">
        <v>2419641</v>
      </c>
      <c r="N1263" s="42">
        <v>1190727</v>
      </c>
      <c r="O1263" s="42"/>
      <c r="P1263" s="42">
        <v>91983</v>
      </c>
      <c r="Q1263" s="42">
        <v>237240</v>
      </c>
      <c r="R1263" s="42">
        <v>2705647</v>
      </c>
      <c r="S1263" s="5">
        <v>82433</v>
      </c>
      <c r="T1263" s="42">
        <v>450856</v>
      </c>
    </row>
    <row r="1264" spans="1:20" x14ac:dyDescent="0.3">
      <c r="A1264" s="7">
        <v>44319</v>
      </c>
      <c r="B1264" s="5"/>
      <c r="C1264" s="6">
        <v>134044</v>
      </c>
      <c r="D1264" s="6">
        <v>155735</v>
      </c>
      <c r="E1264" s="6">
        <v>192127</v>
      </c>
      <c r="F1264" s="14">
        <v>677693</v>
      </c>
      <c r="G1264" s="6">
        <v>150124</v>
      </c>
      <c r="H1264" s="6">
        <v>44637</v>
      </c>
      <c r="I1264" s="6">
        <v>40022</v>
      </c>
      <c r="J1264" s="6">
        <v>255866</v>
      </c>
      <c r="K1264" s="6">
        <v>475373</v>
      </c>
      <c r="L1264" s="6">
        <v>170639</v>
      </c>
      <c r="M1264" s="6">
        <v>2394890</v>
      </c>
      <c r="N1264" s="42">
        <v>1180825</v>
      </c>
      <c r="O1264" s="42"/>
      <c r="P1264" s="42">
        <v>95002</v>
      </c>
      <c r="Q1264" s="42">
        <v>232098</v>
      </c>
      <c r="R1264" s="42">
        <v>2722138</v>
      </c>
      <c r="S1264" s="5">
        <v>83603</v>
      </c>
      <c r="T1264" s="42">
        <v>449953</v>
      </c>
    </row>
    <row r="1265" spans="1:20" x14ac:dyDescent="0.3">
      <c r="A1265" s="7">
        <v>44316</v>
      </c>
      <c r="B1265" s="5"/>
      <c r="C1265" s="6">
        <v>136588</v>
      </c>
      <c r="D1265" s="6">
        <v>158998</v>
      </c>
      <c r="E1265" s="6">
        <v>194228</v>
      </c>
      <c r="F1265" s="14">
        <v>671510</v>
      </c>
      <c r="G1265" s="6">
        <v>148889</v>
      </c>
      <c r="H1265" s="6">
        <v>44366</v>
      </c>
      <c r="I1265" s="6">
        <v>40472</v>
      </c>
      <c r="J1265" s="6">
        <v>255020</v>
      </c>
      <c r="K1265" s="6">
        <v>464460</v>
      </c>
      <c r="L1265" s="6">
        <v>161569</v>
      </c>
      <c r="M1265" s="6">
        <v>2381401</v>
      </c>
      <c r="N1265" s="42">
        <v>1173202</v>
      </c>
      <c r="O1265" s="42"/>
      <c r="P1265" s="42">
        <v>93509</v>
      </c>
      <c r="Q1265" s="42">
        <v>226957</v>
      </c>
      <c r="R1265" s="42">
        <v>2710413</v>
      </c>
      <c r="S1265" s="5">
        <v>89121</v>
      </c>
      <c r="T1265" s="42">
        <v>449122</v>
      </c>
    </row>
    <row r="1266" spans="1:20" x14ac:dyDescent="0.3">
      <c r="A1266" s="7">
        <v>44315</v>
      </c>
      <c r="B1266" s="5"/>
      <c r="C1266" s="6">
        <v>140430</v>
      </c>
      <c r="D1266" s="6">
        <v>167712</v>
      </c>
      <c r="E1266" s="6">
        <v>195070</v>
      </c>
      <c r="F1266" s="14">
        <v>679480</v>
      </c>
      <c r="G1266" s="6">
        <v>150701</v>
      </c>
      <c r="H1266" s="6">
        <v>45337</v>
      </c>
      <c r="I1266" s="6">
        <v>41369</v>
      </c>
      <c r="J1266" s="6">
        <v>254180</v>
      </c>
      <c r="K1266" s="6">
        <v>462043</v>
      </c>
      <c r="L1266" s="6">
        <v>166422</v>
      </c>
      <c r="M1266" s="6">
        <v>2375640</v>
      </c>
      <c r="N1266" s="42">
        <v>1164337</v>
      </c>
      <c r="O1266" s="42"/>
      <c r="P1266" s="42">
        <v>93607</v>
      </c>
      <c r="Q1266" s="42">
        <v>222918</v>
      </c>
      <c r="R1266" s="42">
        <v>2712834</v>
      </c>
      <c r="S1266" s="5">
        <v>82774</v>
      </c>
      <c r="T1266" s="42">
        <v>443696</v>
      </c>
    </row>
    <row r="1267" spans="1:20" x14ac:dyDescent="0.3">
      <c r="A1267" s="7">
        <v>44314</v>
      </c>
      <c r="B1267" s="5"/>
      <c r="C1267" s="6">
        <v>138659</v>
      </c>
      <c r="D1267" s="6">
        <v>162758</v>
      </c>
      <c r="E1267" s="6">
        <v>188151</v>
      </c>
      <c r="F1267" s="14">
        <v>674978</v>
      </c>
      <c r="G1267" s="6">
        <v>151371</v>
      </c>
      <c r="H1267" s="6">
        <v>45201</v>
      </c>
      <c r="I1267" s="6">
        <v>40657</v>
      </c>
      <c r="J1267" s="6">
        <v>254644</v>
      </c>
      <c r="K1267" s="6">
        <v>465503</v>
      </c>
      <c r="L1267" s="6">
        <v>168235</v>
      </c>
      <c r="M1267" s="6">
        <v>2364060</v>
      </c>
      <c r="N1267" s="42">
        <v>1164179</v>
      </c>
      <c r="O1267" s="42"/>
      <c r="P1267" s="42">
        <v>94899</v>
      </c>
      <c r="Q1267" s="42">
        <v>218118</v>
      </c>
      <c r="R1267" s="42">
        <v>2697322</v>
      </c>
      <c r="S1267" s="5">
        <v>88321</v>
      </c>
      <c r="T1267" s="42">
        <v>442659</v>
      </c>
    </row>
    <row r="1268" spans="1:20" x14ac:dyDescent="0.3">
      <c r="A1268" s="7">
        <v>44313</v>
      </c>
      <c r="B1268" s="5"/>
      <c r="C1268" s="6">
        <v>140736</v>
      </c>
      <c r="D1268" s="6">
        <v>161251</v>
      </c>
      <c r="E1268" s="6">
        <v>180771</v>
      </c>
      <c r="F1268" s="14">
        <v>672072</v>
      </c>
      <c r="G1268" s="6">
        <v>154894</v>
      </c>
      <c r="H1268" s="6">
        <v>44102</v>
      </c>
      <c r="I1268" s="6">
        <v>40783</v>
      </c>
      <c r="J1268" s="6">
        <v>254183</v>
      </c>
      <c r="K1268" s="6">
        <v>473305</v>
      </c>
      <c r="L1268" s="6">
        <v>172470</v>
      </c>
      <c r="M1268" s="6">
        <v>2353470</v>
      </c>
      <c r="N1268" s="42">
        <v>1159687</v>
      </c>
      <c r="O1268" s="42"/>
      <c r="P1268" s="42">
        <v>91200</v>
      </c>
      <c r="Q1268" s="42">
        <v>217879</v>
      </c>
      <c r="R1268" s="42">
        <v>2713231</v>
      </c>
      <c r="S1268" s="5">
        <v>79224</v>
      </c>
      <c r="T1268" s="42">
        <v>447399</v>
      </c>
    </row>
    <row r="1269" spans="1:20" x14ac:dyDescent="0.3">
      <c r="A1269" s="7">
        <v>44312</v>
      </c>
      <c r="B1269" s="5"/>
      <c r="C1269" s="6">
        <v>140688</v>
      </c>
      <c r="D1269" s="6">
        <v>157563</v>
      </c>
      <c r="E1269" s="6">
        <v>176207</v>
      </c>
      <c r="F1269" s="14">
        <v>668029</v>
      </c>
      <c r="G1269" s="6">
        <v>154079</v>
      </c>
      <c r="H1269" s="6">
        <v>43785</v>
      </c>
      <c r="I1269" s="6">
        <v>40737</v>
      </c>
      <c r="J1269" s="6">
        <v>258641</v>
      </c>
      <c r="K1269" s="6">
        <v>474325</v>
      </c>
      <c r="L1269" s="6">
        <v>172876</v>
      </c>
      <c r="M1269" s="6">
        <v>2345544</v>
      </c>
      <c r="N1269" s="42">
        <v>1166489</v>
      </c>
      <c r="O1269" s="42"/>
      <c r="P1269" s="42">
        <v>89560</v>
      </c>
      <c r="Q1269" s="42">
        <v>217132</v>
      </c>
      <c r="R1269" s="42">
        <v>2689797</v>
      </c>
      <c r="S1269" s="5">
        <v>82186</v>
      </c>
      <c r="T1269" s="42">
        <v>447810</v>
      </c>
    </row>
    <row r="1270" spans="1:20" x14ac:dyDescent="0.3">
      <c r="A1270" s="7">
        <v>44309</v>
      </c>
      <c r="B1270" s="5"/>
      <c r="C1270" s="6">
        <v>137508</v>
      </c>
      <c r="D1270" s="6">
        <v>156207</v>
      </c>
      <c r="E1270" s="6">
        <v>172053</v>
      </c>
      <c r="F1270" s="14">
        <v>670631</v>
      </c>
      <c r="G1270" s="6">
        <v>156434</v>
      </c>
      <c r="H1270" s="6">
        <v>42052</v>
      </c>
      <c r="I1270" s="6">
        <v>40183</v>
      </c>
      <c r="J1270" s="6">
        <v>254484</v>
      </c>
      <c r="K1270" s="6">
        <v>476596</v>
      </c>
      <c r="L1270" s="6">
        <v>172951</v>
      </c>
      <c r="M1270" s="6">
        <v>2338919</v>
      </c>
      <c r="N1270" s="42">
        <v>1164269</v>
      </c>
      <c r="O1270" s="42"/>
      <c r="P1270" s="42">
        <v>90940</v>
      </c>
      <c r="Q1270" s="42">
        <v>215357</v>
      </c>
      <c r="R1270" s="42">
        <v>2685153</v>
      </c>
      <c r="S1270" s="5">
        <v>83946</v>
      </c>
      <c r="T1270" s="42">
        <v>454536</v>
      </c>
    </row>
    <row r="1271" spans="1:20" x14ac:dyDescent="0.3">
      <c r="A1271" s="7">
        <v>44308</v>
      </c>
      <c r="B1271" s="5"/>
      <c r="C1271" s="6">
        <v>138512</v>
      </c>
      <c r="D1271" s="6">
        <v>158557</v>
      </c>
      <c r="E1271" s="6">
        <v>173319</v>
      </c>
      <c r="F1271" s="14">
        <v>661844</v>
      </c>
      <c r="G1271" s="6">
        <v>154768</v>
      </c>
      <c r="H1271" s="6">
        <v>43195</v>
      </c>
      <c r="I1271" s="6">
        <v>41320</v>
      </c>
      <c r="J1271" s="6">
        <v>247572</v>
      </c>
      <c r="K1271" s="6">
        <v>475657</v>
      </c>
      <c r="L1271" s="6">
        <v>172946</v>
      </c>
      <c r="M1271" s="6">
        <v>2330847</v>
      </c>
      <c r="N1271" s="42">
        <v>1167942</v>
      </c>
      <c r="O1271" s="42"/>
      <c r="P1271" s="42">
        <v>89767</v>
      </c>
      <c r="Q1271" s="42">
        <v>220027</v>
      </c>
      <c r="R1271" s="42">
        <v>2700850</v>
      </c>
      <c r="S1271" s="5">
        <v>85364</v>
      </c>
      <c r="T1271" s="42">
        <v>459174</v>
      </c>
    </row>
    <row r="1272" spans="1:20" x14ac:dyDescent="0.3">
      <c r="A1272" s="7">
        <v>44307</v>
      </c>
      <c r="B1272" s="30"/>
      <c r="C1272" s="6">
        <v>139032</v>
      </c>
      <c r="D1272" s="6">
        <v>159283</v>
      </c>
      <c r="E1272" s="6">
        <v>176315</v>
      </c>
      <c r="F1272" s="14">
        <v>662717</v>
      </c>
      <c r="G1272" s="6">
        <v>161665</v>
      </c>
      <c r="H1272" s="6">
        <v>41094</v>
      </c>
      <c r="I1272" s="6">
        <v>41261</v>
      </c>
      <c r="J1272" s="6">
        <v>248058</v>
      </c>
      <c r="K1272" s="6">
        <v>479339</v>
      </c>
      <c r="L1272" s="6">
        <v>178122</v>
      </c>
      <c r="M1272" s="6">
        <v>2341710</v>
      </c>
      <c r="N1272" s="42">
        <v>1172285</v>
      </c>
      <c r="O1272" s="42"/>
      <c r="P1272" s="42">
        <v>91287</v>
      </c>
      <c r="Q1272" s="42">
        <v>221112</v>
      </c>
      <c r="R1272" s="42">
        <v>2683377</v>
      </c>
      <c r="S1272" s="5">
        <v>91447</v>
      </c>
      <c r="T1272" s="42">
        <v>460304</v>
      </c>
    </row>
    <row r="1273" spans="1:20" x14ac:dyDescent="0.3">
      <c r="A1273" s="7">
        <v>44306</v>
      </c>
      <c r="B1273" s="5"/>
      <c r="C1273" s="6">
        <v>136266</v>
      </c>
      <c r="D1273" s="6">
        <v>164574</v>
      </c>
      <c r="E1273" s="6">
        <v>173145</v>
      </c>
      <c r="F1273" s="14">
        <v>662818</v>
      </c>
      <c r="G1273" s="6">
        <v>162993</v>
      </c>
      <c r="H1273" s="6">
        <v>40632</v>
      </c>
      <c r="I1273" s="6">
        <v>41266</v>
      </c>
      <c r="J1273" s="6">
        <v>248509</v>
      </c>
      <c r="K1273" s="6">
        <v>471738</v>
      </c>
      <c r="L1273" s="6">
        <v>169420</v>
      </c>
      <c r="M1273" s="6">
        <v>2346793</v>
      </c>
      <c r="N1273" s="42">
        <v>1183677</v>
      </c>
      <c r="O1273" s="42"/>
      <c r="P1273" s="42">
        <v>91234</v>
      </c>
      <c r="Q1273" s="42">
        <v>218144</v>
      </c>
      <c r="R1273" s="42">
        <v>2687111</v>
      </c>
      <c r="S1273" s="5">
        <v>79415</v>
      </c>
      <c r="T1273" s="42">
        <v>453673</v>
      </c>
    </row>
    <row r="1274" spans="1:20" x14ac:dyDescent="0.3">
      <c r="A1274" s="7">
        <v>44305</v>
      </c>
      <c r="B1274" s="29"/>
      <c r="C1274" s="6">
        <v>136355</v>
      </c>
      <c r="D1274" s="6">
        <v>162404</v>
      </c>
      <c r="E1274" s="6">
        <v>169139</v>
      </c>
      <c r="F1274" s="14">
        <v>664882</v>
      </c>
      <c r="G1274" s="6">
        <v>164531</v>
      </c>
      <c r="H1274" s="6">
        <v>40336</v>
      </c>
      <c r="I1274" s="6">
        <v>41781</v>
      </c>
      <c r="J1274" s="6">
        <v>250761</v>
      </c>
      <c r="K1274" s="6">
        <v>473316</v>
      </c>
      <c r="L1274" s="6">
        <v>169324</v>
      </c>
      <c r="M1274" s="6">
        <v>2321872</v>
      </c>
      <c r="N1274" s="42">
        <v>1193953</v>
      </c>
      <c r="O1274" s="42"/>
      <c r="P1274" s="42">
        <v>92176</v>
      </c>
      <c r="Q1274" s="42">
        <v>216917</v>
      </c>
      <c r="R1274" s="42">
        <v>2680051</v>
      </c>
      <c r="S1274" s="5">
        <v>79627</v>
      </c>
      <c r="T1274" s="42">
        <v>455044</v>
      </c>
    </row>
    <row r="1275" spans="1:20" x14ac:dyDescent="0.3">
      <c r="A1275" s="7">
        <v>44302</v>
      </c>
      <c r="B1275" s="29"/>
      <c r="C1275" s="6">
        <v>136121</v>
      </c>
      <c r="D1275" s="6">
        <v>156432</v>
      </c>
      <c r="E1275" s="6">
        <v>171321</v>
      </c>
      <c r="F1275" s="14">
        <v>655592</v>
      </c>
      <c r="G1275" s="6">
        <v>164776</v>
      </c>
      <c r="H1275" s="6">
        <v>39483</v>
      </c>
      <c r="I1275" s="6">
        <v>42654</v>
      </c>
      <c r="J1275" s="6">
        <v>250434</v>
      </c>
      <c r="K1275" s="6">
        <v>476297</v>
      </c>
      <c r="L1275" s="6">
        <v>170332</v>
      </c>
      <c r="M1275" s="6">
        <v>2326723</v>
      </c>
      <c r="N1275" s="42">
        <v>1196372</v>
      </c>
      <c r="O1275" s="42"/>
      <c r="P1275" s="42">
        <v>95528</v>
      </c>
      <c r="Q1275" s="42">
        <v>211511</v>
      </c>
      <c r="R1275" s="42">
        <v>2672519</v>
      </c>
      <c r="S1275" s="5">
        <v>81835</v>
      </c>
      <c r="T1275" s="42">
        <v>458008</v>
      </c>
    </row>
    <row r="1276" spans="1:20" x14ac:dyDescent="0.3">
      <c r="A1276" s="7">
        <v>44301</v>
      </c>
      <c r="B1276" s="29"/>
      <c r="C1276" s="6">
        <v>134974</v>
      </c>
      <c r="D1276" s="6">
        <v>152472</v>
      </c>
      <c r="E1276" s="6">
        <v>169057</v>
      </c>
      <c r="F1276" s="14">
        <v>655869</v>
      </c>
      <c r="G1276" s="6">
        <v>165824</v>
      </c>
      <c r="H1276" s="6">
        <v>39536</v>
      </c>
      <c r="I1276" s="6">
        <v>42839</v>
      </c>
      <c r="J1276" s="6">
        <v>249947</v>
      </c>
      <c r="K1276" s="6">
        <v>475063</v>
      </c>
      <c r="L1276" s="6">
        <v>170734</v>
      </c>
      <c r="M1276" s="6">
        <v>2329964</v>
      </c>
      <c r="N1276" s="42">
        <v>1191191</v>
      </c>
      <c r="O1276" s="42"/>
      <c r="P1276" s="42">
        <v>94398</v>
      </c>
      <c r="Q1276" s="42">
        <v>210591</v>
      </c>
      <c r="R1276" s="42">
        <v>2679965</v>
      </c>
      <c r="S1276" s="5">
        <v>76120</v>
      </c>
      <c r="T1276" s="42">
        <v>457232</v>
      </c>
    </row>
    <row r="1277" spans="1:20" x14ac:dyDescent="0.3">
      <c r="A1277" s="7">
        <v>44300</v>
      </c>
      <c r="B1277" s="29"/>
      <c r="C1277" s="6">
        <v>137368</v>
      </c>
      <c r="D1277" s="6">
        <v>153497</v>
      </c>
      <c r="E1277" s="6">
        <v>169643</v>
      </c>
      <c r="F1277" s="14">
        <v>655423</v>
      </c>
      <c r="G1277" s="6">
        <v>165928</v>
      </c>
      <c r="H1277" s="6">
        <v>39748</v>
      </c>
      <c r="I1277" s="6">
        <v>43053</v>
      </c>
      <c r="J1277" s="6">
        <v>241041</v>
      </c>
      <c r="K1277" s="6">
        <v>460935</v>
      </c>
      <c r="L1277" s="6">
        <v>167584</v>
      </c>
      <c r="M1277" s="6">
        <v>2337809</v>
      </c>
      <c r="N1277" s="42">
        <v>1193298</v>
      </c>
      <c r="O1277" s="42"/>
      <c r="P1277" s="42">
        <v>95214</v>
      </c>
      <c r="Q1277" s="42">
        <v>212731</v>
      </c>
      <c r="R1277" s="42">
        <v>2652421</v>
      </c>
      <c r="S1277" s="5">
        <v>75824</v>
      </c>
      <c r="T1277" s="42">
        <v>461538</v>
      </c>
    </row>
    <row r="1278" spans="1:20" x14ac:dyDescent="0.3">
      <c r="A1278" s="7">
        <v>44299</v>
      </c>
      <c r="B1278" s="31"/>
      <c r="C1278" s="6">
        <v>139633</v>
      </c>
      <c r="D1278" s="6">
        <v>148785</v>
      </c>
      <c r="E1278" s="6">
        <v>166186</v>
      </c>
      <c r="F1278" s="14">
        <v>648681</v>
      </c>
      <c r="G1278" s="6">
        <v>165431</v>
      </c>
      <c r="H1278" s="6">
        <v>38435</v>
      </c>
      <c r="I1278" s="6">
        <v>42423</v>
      </c>
      <c r="J1278" s="6">
        <v>236602</v>
      </c>
      <c r="K1278" s="6">
        <v>460733</v>
      </c>
      <c r="L1278" s="6">
        <v>164066</v>
      </c>
      <c r="M1278" s="6">
        <v>2301831</v>
      </c>
      <c r="N1278" s="42">
        <v>1193666</v>
      </c>
      <c r="O1278" s="42"/>
      <c r="P1278" s="42">
        <v>92143</v>
      </c>
      <c r="Q1278" s="42">
        <v>214302</v>
      </c>
      <c r="R1278" s="42">
        <v>2643642</v>
      </c>
      <c r="S1278" s="5">
        <v>75053</v>
      </c>
      <c r="T1278" s="42">
        <v>463424</v>
      </c>
    </row>
    <row r="1279" spans="1:20" x14ac:dyDescent="0.3">
      <c r="A1279" s="7">
        <v>44298</v>
      </c>
      <c r="B1279" s="29"/>
      <c r="C1279" s="6">
        <v>138395</v>
      </c>
      <c r="D1279" s="6">
        <v>146064</v>
      </c>
      <c r="E1279" s="6">
        <v>165170</v>
      </c>
      <c r="F1279" s="14">
        <v>643428</v>
      </c>
      <c r="G1279" s="6">
        <v>166085</v>
      </c>
      <c r="H1279" s="6">
        <v>37531</v>
      </c>
      <c r="I1279" s="6">
        <v>42835</v>
      </c>
      <c r="J1279" s="6">
        <v>239047</v>
      </c>
      <c r="K1279" s="6">
        <v>456940</v>
      </c>
      <c r="L1279" s="6">
        <v>158138</v>
      </c>
      <c r="M1279" s="6">
        <v>2316591</v>
      </c>
      <c r="N1279" s="42">
        <v>1195540</v>
      </c>
      <c r="O1279" s="42"/>
      <c r="P1279" s="42">
        <v>92067</v>
      </c>
      <c r="Q1279" s="42">
        <v>213238</v>
      </c>
      <c r="R1279" s="42">
        <v>2634565</v>
      </c>
      <c r="S1279" s="39">
        <v>77950</v>
      </c>
      <c r="T1279" s="42">
        <v>468252</v>
      </c>
    </row>
    <row r="1280" spans="1:20" x14ac:dyDescent="0.3">
      <c r="A1280" s="7">
        <v>44295</v>
      </c>
      <c r="B1280" s="29"/>
      <c r="C1280" s="6">
        <v>139470</v>
      </c>
      <c r="D1280" s="6">
        <v>146136</v>
      </c>
      <c r="E1280" s="6">
        <v>166438</v>
      </c>
      <c r="F1280" s="14">
        <v>641662</v>
      </c>
      <c r="G1280" s="6">
        <v>162544</v>
      </c>
      <c r="H1280" s="6">
        <v>37609</v>
      </c>
      <c r="I1280" s="6">
        <v>41575</v>
      </c>
      <c r="J1280" s="6">
        <v>240746</v>
      </c>
      <c r="K1280" s="6">
        <v>457030</v>
      </c>
      <c r="L1280" s="6">
        <v>159447</v>
      </c>
      <c r="M1280" s="6">
        <v>2338491</v>
      </c>
      <c r="N1280" s="42">
        <v>1199485</v>
      </c>
      <c r="O1280" s="42"/>
      <c r="P1280" s="42">
        <v>94549</v>
      </c>
      <c r="Q1280" s="42">
        <v>214143</v>
      </c>
      <c r="R1280" s="42">
        <v>2627814</v>
      </c>
      <c r="S1280" s="39">
        <v>77535</v>
      </c>
      <c r="T1280" s="42">
        <v>473283</v>
      </c>
    </row>
    <row r="1281" spans="1:20" x14ac:dyDescent="0.3">
      <c r="A1281" s="7">
        <v>44294</v>
      </c>
      <c r="B1281" s="29"/>
      <c r="C1281" s="6">
        <v>139034</v>
      </c>
      <c r="D1281" s="6">
        <v>144797</v>
      </c>
      <c r="E1281" s="6">
        <v>165756</v>
      </c>
      <c r="F1281" s="14">
        <v>644869</v>
      </c>
      <c r="G1281" s="6">
        <v>165536</v>
      </c>
      <c r="H1281" s="6">
        <v>37365</v>
      </c>
      <c r="I1281" s="6">
        <v>42143</v>
      </c>
      <c r="J1281" s="6">
        <v>243242</v>
      </c>
      <c r="K1281" s="6">
        <v>465854</v>
      </c>
      <c r="L1281" s="6">
        <v>160092</v>
      </c>
      <c r="M1281" s="6">
        <v>2328654</v>
      </c>
      <c r="N1281" s="42">
        <v>1203990</v>
      </c>
      <c r="O1281" s="42"/>
      <c r="P1281" s="42">
        <v>92381</v>
      </c>
      <c r="Q1281" s="42">
        <v>215439</v>
      </c>
      <c r="R1281" s="42">
        <v>2636170</v>
      </c>
      <c r="S1281" s="39">
        <v>79238</v>
      </c>
      <c r="T1281" s="42">
        <v>475424</v>
      </c>
    </row>
    <row r="1282" spans="1:20" x14ac:dyDescent="0.3">
      <c r="A1282" s="7">
        <v>44293</v>
      </c>
      <c r="B1282" s="32"/>
      <c r="C1282" s="6">
        <v>139854</v>
      </c>
      <c r="D1282" s="6">
        <v>144960</v>
      </c>
      <c r="E1282" s="6">
        <v>167011</v>
      </c>
      <c r="F1282" s="14">
        <v>646094</v>
      </c>
      <c r="G1282" s="6">
        <v>164692</v>
      </c>
      <c r="H1282" s="6">
        <v>37463</v>
      </c>
      <c r="I1282" s="6">
        <v>42133</v>
      </c>
      <c r="J1282" s="6">
        <v>243863</v>
      </c>
      <c r="K1282" s="6">
        <v>458863</v>
      </c>
      <c r="L1282" s="6">
        <v>156229</v>
      </c>
      <c r="M1282" s="6">
        <v>2348097</v>
      </c>
      <c r="N1282" s="42">
        <v>1212554</v>
      </c>
      <c r="O1282" s="42"/>
      <c r="P1282" s="42">
        <v>92789</v>
      </c>
      <c r="Q1282" s="42">
        <v>212790</v>
      </c>
      <c r="R1282" s="42">
        <v>2630328</v>
      </c>
      <c r="S1282" s="39">
        <v>80463</v>
      </c>
      <c r="T1282" s="42">
        <v>472635</v>
      </c>
    </row>
    <row r="1283" spans="1:20" x14ac:dyDescent="0.3">
      <c r="A1283" s="7">
        <v>44292</v>
      </c>
      <c r="B1283" s="33"/>
      <c r="C1283" s="6">
        <v>137218</v>
      </c>
      <c r="D1283" s="6">
        <v>140556</v>
      </c>
      <c r="E1283" s="6">
        <v>166118</v>
      </c>
      <c r="F1283" s="14">
        <v>642671</v>
      </c>
      <c r="G1283" s="6">
        <v>164310</v>
      </c>
      <c r="H1283" s="6">
        <v>37377</v>
      </c>
      <c r="I1283" s="6">
        <v>43677</v>
      </c>
      <c r="J1283" s="6">
        <v>243342</v>
      </c>
      <c r="K1283" s="6">
        <v>463353</v>
      </c>
      <c r="L1283" s="6">
        <v>154593</v>
      </c>
      <c r="M1283" s="6">
        <v>2340357</v>
      </c>
      <c r="N1283" s="42">
        <v>1220273</v>
      </c>
      <c r="O1283" s="42"/>
      <c r="P1283" s="42">
        <v>94240</v>
      </c>
      <c r="Q1283" s="42">
        <v>214588</v>
      </c>
      <c r="R1283" s="42">
        <v>2611712</v>
      </c>
      <c r="S1283" s="39">
        <v>82319</v>
      </c>
      <c r="T1283" s="42">
        <v>473955</v>
      </c>
    </row>
    <row r="1284" spans="1:20" x14ac:dyDescent="0.3">
      <c r="A1284" s="7">
        <v>44291</v>
      </c>
      <c r="B1284" s="33"/>
      <c r="C1284" s="6">
        <v>137881</v>
      </c>
      <c r="D1284" s="6">
        <v>144597</v>
      </c>
      <c r="E1284" s="6">
        <v>167646</v>
      </c>
      <c r="F1284" s="14">
        <v>640019</v>
      </c>
      <c r="G1284" s="6">
        <v>166834</v>
      </c>
      <c r="H1284" s="6">
        <v>37340</v>
      </c>
      <c r="I1284" s="6">
        <v>43983</v>
      </c>
      <c r="J1284" s="6">
        <v>240611</v>
      </c>
      <c r="K1284" s="6">
        <v>457040</v>
      </c>
      <c r="L1284" s="6">
        <v>154010</v>
      </c>
      <c r="M1284" s="6">
        <v>2348171</v>
      </c>
      <c r="N1284" s="42">
        <v>1218731</v>
      </c>
      <c r="O1284" s="42"/>
      <c r="P1284" s="42">
        <v>95141</v>
      </c>
      <c r="Q1284" s="42">
        <v>213312</v>
      </c>
      <c r="R1284" s="42">
        <v>2614513</v>
      </c>
      <c r="S1284" s="39">
        <v>75816</v>
      </c>
      <c r="T1284" s="42">
        <v>469947</v>
      </c>
    </row>
    <row r="1285" spans="1:20" x14ac:dyDescent="0.3">
      <c r="A1285" s="7">
        <v>44288</v>
      </c>
      <c r="B1285" s="33"/>
      <c r="C1285" s="6">
        <v>137895</v>
      </c>
      <c r="D1285" s="6">
        <v>140696</v>
      </c>
      <c r="E1285" s="6">
        <v>166240</v>
      </c>
      <c r="F1285" s="14">
        <v>641665</v>
      </c>
      <c r="G1285" s="6">
        <v>167346</v>
      </c>
      <c r="H1285" s="6">
        <v>36405</v>
      </c>
      <c r="I1285" s="6">
        <v>43968</v>
      </c>
      <c r="J1285" s="6">
        <v>238317</v>
      </c>
      <c r="K1285" s="6">
        <v>457942</v>
      </c>
      <c r="L1285" s="6">
        <v>154291</v>
      </c>
      <c r="M1285" s="6">
        <v>2351471</v>
      </c>
      <c r="N1285" s="42">
        <v>1201754</v>
      </c>
      <c r="O1285" s="42"/>
      <c r="P1285" s="42">
        <v>92928</v>
      </c>
      <c r="Q1285" s="42">
        <v>217126</v>
      </c>
      <c r="R1285" s="42">
        <v>2558902</v>
      </c>
      <c r="S1285" s="39">
        <v>76831</v>
      </c>
      <c r="T1285" s="42">
        <v>471322</v>
      </c>
    </row>
    <row r="1286" spans="1:20" x14ac:dyDescent="0.3">
      <c r="A1286" s="7">
        <v>44287</v>
      </c>
      <c r="B1286" s="34"/>
      <c r="C1286" s="6">
        <v>138258</v>
      </c>
      <c r="D1286" s="6">
        <v>142019</v>
      </c>
      <c r="E1286" s="6">
        <v>165799</v>
      </c>
      <c r="F1286" s="14">
        <v>642572</v>
      </c>
      <c r="G1286" s="6">
        <v>166610</v>
      </c>
      <c r="H1286" s="6">
        <v>36694</v>
      </c>
      <c r="I1286" s="6">
        <v>44840</v>
      </c>
      <c r="J1286" s="6">
        <v>238300</v>
      </c>
      <c r="K1286" s="6">
        <v>458042</v>
      </c>
      <c r="L1286" s="6">
        <v>154292</v>
      </c>
      <c r="M1286" s="6">
        <v>2352488</v>
      </c>
      <c r="N1286" s="42">
        <v>1201936</v>
      </c>
      <c r="O1286" s="42"/>
      <c r="P1286" s="42">
        <v>92881</v>
      </c>
      <c r="Q1286" s="42">
        <v>216911</v>
      </c>
      <c r="R1286" s="42">
        <v>2587253</v>
      </c>
      <c r="S1286" s="39">
        <v>76295</v>
      </c>
      <c r="T1286" s="42">
        <v>473936</v>
      </c>
    </row>
    <row r="1287" spans="1:20" x14ac:dyDescent="0.3">
      <c r="A1287" s="7">
        <v>44286</v>
      </c>
      <c r="B1287" s="34"/>
      <c r="C1287" s="6">
        <v>140358</v>
      </c>
      <c r="D1287" s="6">
        <v>140539</v>
      </c>
      <c r="E1287" s="6">
        <v>166739</v>
      </c>
      <c r="F1287" s="14">
        <v>643320</v>
      </c>
      <c r="G1287" s="6">
        <v>165473</v>
      </c>
      <c r="H1287" s="6">
        <v>37406</v>
      </c>
      <c r="I1287" s="6">
        <v>43363</v>
      </c>
      <c r="J1287" s="6">
        <v>235926</v>
      </c>
      <c r="K1287" s="6">
        <v>457315</v>
      </c>
      <c r="L1287" s="6">
        <v>151403</v>
      </c>
      <c r="M1287" s="6">
        <v>2347818</v>
      </c>
      <c r="N1287" s="42">
        <v>1203608</v>
      </c>
      <c r="O1287" s="42"/>
      <c r="P1287" s="42">
        <v>91246</v>
      </c>
      <c r="Q1287" s="42">
        <v>222778</v>
      </c>
      <c r="R1287" s="42">
        <v>2585446</v>
      </c>
      <c r="S1287" s="39">
        <v>73662</v>
      </c>
      <c r="T1287" s="42">
        <v>471978</v>
      </c>
    </row>
    <row r="1288" spans="1:20" x14ac:dyDescent="0.3">
      <c r="A1288" s="7">
        <v>44285</v>
      </c>
      <c r="B1288" s="34"/>
      <c r="C1288" s="6">
        <v>137335</v>
      </c>
      <c r="D1288" s="6">
        <v>139779</v>
      </c>
      <c r="E1288" s="6">
        <v>164199</v>
      </c>
      <c r="F1288" s="14">
        <v>645121</v>
      </c>
      <c r="G1288" s="6">
        <v>166091</v>
      </c>
      <c r="H1288" s="6">
        <v>36805</v>
      </c>
      <c r="I1288" s="6">
        <v>42770</v>
      </c>
      <c r="J1288" s="6">
        <v>229202</v>
      </c>
      <c r="K1288" s="6">
        <v>467321</v>
      </c>
      <c r="L1288" s="6">
        <v>154987</v>
      </c>
      <c r="M1288" s="6">
        <v>2327016</v>
      </c>
      <c r="N1288" s="42">
        <v>1195449</v>
      </c>
      <c r="O1288" s="42"/>
      <c r="P1288" s="42">
        <v>89447</v>
      </c>
      <c r="Q1288" s="42">
        <v>222230</v>
      </c>
      <c r="R1288" s="42">
        <v>2564664</v>
      </c>
      <c r="S1288" s="39">
        <v>75465</v>
      </c>
      <c r="T1288" s="42">
        <v>479102</v>
      </c>
    </row>
    <row r="1289" spans="1:20" x14ac:dyDescent="0.3">
      <c r="A1289" s="7">
        <v>44284</v>
      </c>
      <c r="B1289" s="33"/>
      <c r="C1289" s="6">
        <v>135210</v>
      </c>
      <c r="D1289" s="6">
        <v>139925</v>
      </c>
      <c r="E1289" s="6">
        <v>163847</v>
      </c>
      <c r="F1289" s="14">
        <v>641672</v>
      </c>
      <c r="G1289" s="6">
        <v>165245</v>
      </c>
      <c r="H1289" s="6">
        <v>37156</v>
      </c>
      <c r="I1289" s="6">
        <v>41081</v>
      </c>
      <c r="J1289" s="6">
        <v>228772</v>
      </c>
      <c r="K1289" s="6">
        <v>468877</v>
      </c>
      <c r="L1289" s="6">
        <v>156091</v>
      </c>
      <c r="M1289" s="6">
        <v>2327656</v>
      </c>
      <c r="N1289" s="42">
        <v>1194527</v>
      </c>
      <c r="O1289" s="42"/>
      <c r="P1289" s="42">
        <v>90774</v>
      </c>
      <c r="Q1289" s="42">
        <v>226055</v>
      </c>
      <c r="R1289" s="42">
        <v>2577013</v>
      </c>
      <c r="S1289" s="39">
        <v>73853</v>
      </c>
      <c r="T1289" s="42">
        <v>480195</v>
      </c>
    </row>
    <row r="1290" spans="1:20" x14ac:dyDescent="0.3">
      <c r="A1290" s="7">
        <v>44281</v>
      </c>
      <c r="B1290" s="33"/>
      <c r="C1290" s="6">
        <v>133112</v>
      </c>
      <c r="D1290" s="6">
        <v>137441</v>
      </c>
      <c r="E1290" s="6">
        <v>161987</v>
      </c>
      <c r="F1290" s="14">
        <v>640401</v>
      </c>
      <c r="G1290" s="6">
        <v>168884</v>
      </c>
      <c r="H1290" s="6">
        <v>37291</v>
      </c>
      <c r="I1290" s="6">
        <v>40856</v>
      </c>
      <c r="J1290" s="6">
        <v>229385</v>
      </c>
      <c r="K1290" s="6">
        <v>472428</v>
      </c>
      <c r="L1290" s="6">
        <v>156501</v>
      </c>
      <c r="M1290" s="6">
        <v>2311010</v>
      </c>
      <c r="N1290" s="42">
        <v>1193150</v>
      </c>
      <c r="O1290" s="42"/>
      <c r="P1290" s="42">
        <v>92360</v>
      </c>
      <c r="Q1290" s="42">
        <v>223369</v>
      </c>
      <c r="R1290" s="42">
        <v>2572165</v>
      </c>
      <c r="S1290" s="39">
        <v>73610</v>
      </c>
      <c r="T1290" s="42">
        <v>478567</v>
      </c>
    </row>
    <row r="1291" spans="1:20" x14ac:dyDescent="0.3">
      <c r="A1291" s="7">
        <v>44280</v>
      </c>
      <c r="B1291" s="33"/>
      <c r="C1291" s="6">
        <v>133322</v>
      </c>
      <c r="D1291" s="6">
        <v>142527</v>
      </c>
      <c r="E1291" s="6">
        <v>161575</v>
      </c>
      <c r="F1291" s="14">
        <v>641582</v>
      </c>
      <c r="G1291" s="6">
        <v>163160</v>
      </c>
      <c r="H1291" s="6">
        <v>36160</v>
      </c>
      <c r="I1291" s="6">
        <v>39836</v>
      </c>
      <c r="J1291" s="6">
        <v>230974</v>
      </c>
      <c r="K1291" s="6">
        <v>478643</v>
      </c>
      <c r="L1291" s="6">
        <v>156955</v>
      </c>
      <c r="M1291" s="6">
        <v>2313978</v>
      </c>
      <c r="N1291" s="42">
        <v>1205632</v>
      </c>
      <c r="O1291" s="42"/>
      <c r="P1291" s="42">
        <v>91214</v>
      </c>
      <c r="Q1291" s="42">
        <v>222857</v>
      </c>
      <c r="R1291" s="42">
        <v>2548306</v>
      </c>
      <c r="S1291" s="39">
        <v>79813</v>
      </c>
      <c r="T1291" s="42">
        <v>487070</v>
      </c>
    </row>
    <row r="1292" spans="1:20" x14ac:dyDescent="0.3">
      <c r="A1292" s="7">
        <v>44279</v>
      </c>
      <c r="B1292" s="33"/>
      <c r="C1292" s="6">
        <v>134716</v>
      </c>
      <c r="D1292" s="6">
        <v>144474</v>
      </c>
      <c r="E1292" s="6">
        <v>163277</v>
      </c>
      <c r="F1292" s="14">
        <v>642000</v>
      </c>
      <c r="G1292" s="6">
        <v>161984</v>
      </c>
      <c r="H1292" s="6">
        <v>36376</v>
      </c>
      <c r="I1292" s="6">
        <v>39785</v>
      </c>
      <c r="J1292" s="6">
        <v>237268</v>
      </c>
      <c r="K1292" s="6">
        <v>482386</v>
      </c>
      <c r="L1292" s="6">
        <v>158821</v>
      </c>
      <c r="M1292" s="6">
        <v>2335564</v>
      </c>
      <c r="N1292" s="42">
        <v>1207001</v>
      </c>
      <c r="O1292" s="42"/>
      <c r="P1292" s="42">
        <v>90414</v>
      </c>
      <c r="Q1292" s="42">
        <v>223744</v>
      </c>
      <c r="R1292" s="42">
        <v>2556180</v>
      </c>
      <c r="S1292" s="39">
        <v>75784</v>
      </c>
      <c r="T1292" s="42">
        <v>490524</v>
      </c>
    </row>
    <row r="1293" spans="1:20" x14ac:dyDescent="0.3">
      <c r="A1293" s="7">
        <v>44278</v>
      </c>
      <c r="B1293" s="33"/>
      <c r="C1293" s="6">
        <v>133276</v>
      </c>
      <c r="D1293" s="6">
        <v>146112</v>
      </c>
      <c r="E1293" s="6">
        <v>162170</v>
      </c>
      <c r="F1293" s="14">
        <v>641428</v>
      </c>
      <c r="G1293" s="6">
        <v>160581</v>
      </c>
      <c r="H1293" s="6">
        <v>38253</v>
      </c>
      <c r="I1293" s="6">
        <v>38302</v>
      </c>
      <c r="J1293" s="6">
        <v>238358</v>
      </c>
      <c r="K1293" s="6">
        <v>485457</v>
      </c>
      <c r="L1293" s="6">
        <v>160437</v>
      </c>
      <c r="M1293" s="6">
        <v>2321767</v>
      </c>
      <c r="N1293" s="42">
        <v>1208032</v>
      </c>
      <c r="O1293" s="42"/>
      <c r="P1293" s="42">
        <v>90880</v>
      </c>
      <c r="Q1293" s="42">
        <v>221777</v>
      </c>
      <c r="R1293" s="42">
        <v>2540184</v>
      </c>
      <c r="S1293" s="39">
        <v>77881</v>
      </c>
      <c r="T1293" s="42">
        <v>488858</v>
      </c>
    </row>
    <row r="1294" spans="1:20" x14ac:dyDescent="0.3">
      <c r="A1294" s="7">
        <v>44277</v>
      </c>
      <c r="B1294" s="34"/>
      <c r="C1294" s="6">
        <v>129137</v>
      </c>
      <c r="D1294" s="6">
        <v>144085</v>
      </c>
      <c r="E1294" s="6">
        <v>163893</v>
      </c>
      <c r="F1294" s="14">
        <v>639784</v>
      </c>
      <c r="G1294" s="6">
        <v>159450</v>
      </c>
      <c r="H1294" s="6">
        <v>36184</v>
      </c>
      <c r="I1294" s="6">
        <v>38063</v>
      </c>
      <c r="J1294" s="6">
        <v>239822</v>
      </c>
      <c r="K1294" s="6">
        <v>480002</v>
      </c>
      <c r="L1294" s="6">
        <v>160428</v>
      </c>
      <c r="M1294" s="6">
        <v>2344674</v>
      </c>
      <c r="N1294" s="42">
        <v>1211434</v>
      </c>
      <c r="O1294" s="42"/>
      <c r="P1294" s="42">
        <v>89081</v>
      </c>
      <c r="Q1294" s="42">
        <v>222664</v>
      </c>
      <c r="R1294" s="42">
        <v>2532883</v>
      </c>
      <c r="S1294" s="39">
        <v>76091</v>
      </c>
      <c r="T1294" s="42">
        <v>605302</v>
      </c>
    </row>
    <row r="1295" spans="1:20" x14ac:dyDescent="0.3">
      <c r="A1295" s="7">
        <v>44274</v>
      </c>
      <c r="B1295" s="34"/>
      <c r="C1295" s="6">
        <v>128997</v>
      </c>
      <c r="D1295" s="6">
        <v>145535</v>
      </c>
      <c r="E1295" s="6">
        <v>164316</v>
      </c>
      <c r="F1295" s="14">
        <v>636444</v>
      </c>
      <c r="G1295" s="6">
        <v>159371</v>
      </c>
      <c r="H1295" s="6">
        <v>35408</v>
      </c>
      <c r="I1295" s="6">
        <v>39579</v>
      </c>
      <c r="J1295" s="6">
        <v>238705</v>
      </c>
      <c r="K1295" s="6">
        <v>480007</v>
      </c>
      <c r="L1295" s="6">
        <v>161387</v>
      </c>
      <c r="M1295" s="6">
        <v>2360325</v>
      </c>
      <c r="N1295" s="42">
        <v>1215558</v>
      </c>
      <c r="O1295" s="42"/>
      <c r="P1295" s="42">
        <v>109271</v>
      </c>
      <c r="Q1295" s="42">
        <v>275901</v>
      </c>
      <c r="R1295" s="42">
        <v>2991937</v>
      </c>
      <c r="S1295" s="39">
        <v>73996</v>
      </c>
      <c r="T1295" s="42">
        <v>611506</v>
      </c>
    </row>
    <row r="1296" spans="1:20" x14ac:dyDescent="0.3">
      <c r="A1296" s="7">
        <v>44273</v>
      </c>
      <c r="B1296" s="34"/>
      <c r="C1296" s="6">
        <v>129927</v>
      </c>
      <c r="D1296" s="6">
        <v>146153</v>
      </c>
      <c r="E1296" s="6">
        <v>164644</v>
      </c>
      <c r="F1296" s="14">
        <v>639583</v>
      </c>
      <c r="G1296" s="6">
        <v>155286</v>
      </c>
      <c r="H1296" s="6">
        <v>35594</v>
      </c>
      <c r="I1296" s="6">
        <v>39734</v>
      </c>
      <c r="J1296" s="6">
        <v>240988</v>
      </c>
      <c r="K1296" s="6">
        <v>475979</v>
      </c>
      <c r="L1296" s="6">
        <v>160830</v>
      </c>
      <c r="M1296" s="6">
        <v>2425668</v>
      </c>
      <c r="N1296" s="42">
        <v>1216243</v>
      </c>
      <c r="O1296" s="42"/>
      <c r="P1296" s="42">
        <v>112348</v>
      </c>
      <c r="Q1296" s="42">
        <v>275114</v>
      </c>
      <c r="R1296" s="42">
        <v>3034698</v>
      </c>
      <c r="S1296" s="39">
        <v>75601</v>
      </c>
      <c r="T1296" s="42">
        <v>618117</v>
      </c>
    </row>
    <row r="1297" spans="1:20" x14ac:dyDescent="0.3">
      <c r="A1297" s="7">
        <v>44272</v>
      </c>
      <c r="B1297" s="33"/>
      <c r="C1297" s="6">
        <v>128962</v>
      </c>
      <c r="D1297" s="6">
        <v>147909</v>
      </c>
      <c r="E1297" s="6">
        <v>165978</v>
      </c>
      <c r="F1297" s="14">
        <v>643300</v>
      </c>
      <c r="G1297" s="6">
        <v>152864</v>
      </c>
      <c r="H1297" s="6">
        <v>35091</v>
      </c>
      <c r="I1297" s="6">
        <v>38236</v>
      </c>
      <c r="J1297" s="6">
        <v>241819</v>
      </c>
      <c r="K1297" s="6">
        <v>479726</v>
      </c>
      <c r="L1297" s="6">
        <v>160755</v>
      </c>
      <c r="M1297" s="6">
        <v>2479223</v>
      </c>
      <c r="N1297" s="42">
        <v>1207139</v>
      </c>
      <c r="O1297" s="42"/>
      <c r="P1297" s="42">
        <v>114956</v>
      </c>
      <c r="Q1297" s="42">
        <v>265227</v>
      </c>
      <c r="R1297" s="42">
        <v>3048296</v>
      </c>
      <c r="S1297" s="39">
        <v>81852</v>
      </c>
      <c r="T1297" s="42">
        <v>614508</v>
      </c>
    </row>
    <row r="1298" spans="1:20" x14ac:dyDescent="0.3">
      <c r="A1298" s="7">
        <v>44271</v>
      </c>
      <c r="B1298" s="33"/>
      <c r="C1298" s="6">
        <v>150449</v>
      </c>
      <c r="D1298" s="6">
        <v>183274</v>
      </c>
      <c r="E1298" s="6">
        <v>186932</v>
      </c>
      <c r="F1298" s="14">
        <v>806120</v>
      </c>
      <c r="G1298" s="6">
        <v>215782</v>
      </c>
      <c r="H1298" s="6">
        <v>48695</v>
      </c>
      <c r="I1298" s="6">
        <v>63154</v>
      </c>
      <c r="J1298" s="6">
        <v>239811</v>
      </c>
      <c r="K1298" s="6">
        <v>476467</v>
      </c>
      <c r="L1298" s="6">
        <v>159092</v>
      </c>
      <c r="M1298" s="6">
        <v>2523179</v>
      </c>
      <c r="N1298" s="42">
        <v>1209372</v>
      </c>
      <c r="O1298" s="42"/>
      <c r="P1298" s="42">
        <v>108863</v>
      </c>
      <c r="Q1298" s="42">
        <v>257385</v>
      </c>
      <c r="R1298" s="42">
        <v>3063652</v>
      </c>
      <c r="S1298" s="39">
        <v>79242</v>
      </c>
      <c r="T1298" s="42">
        <v>598361</v>
      </c>
    </row>
    <row r="1299" spans="1:20" x14ac:dyDescent="0.3">
      <c r="A1299" s="7">
        <v>44270</v>
      </c>
      <c r="B1299" s="33"/>
      <c r="C1299" s="6">
        <v>153369</v>
      </c>
      <c r="D1299" s="6">
        <v>182604</v>
      </c>
      <c r="E1299" s="6">
        <v>185359</v>
      </c>
      <c r="F1299" s="14">
        <v>804488</v>
      </c>
      <c r="G1299" s="6">
        <v>211917</v>
      </c>
      <c r="H1299" s="6">
        <v>47942</v>
      </c>
      <c r="I1299" s="6">
        <v>62029</v>
      </c>
      <c r="J1299" s="6">
        <v>240224</v>
      </c>
      <c r="K1299" s="6">
        <v>471921</v>
      </c>
      <c r="L1299" s="6">
        <v>156929</v>
      </c>
      <c r="M1299" s="6">
        <v>2540366</v>
      </c>
      <c r="N1299" s="42">
        <v>1224109</v>
      </c>
      <c r="O1299" s="42"/>
      <c r="P1299" s="42">
        <v>103303</v>
      </c>
      <c r="Q1299" s="42">
        <v>258297</v>
      </c>
      <c r="R1299" s="42">
        <v>3019884</v>
      </c>
      <c r="S1299" s="39">
        <v>77813</v>
      </c>
      <c r="T1299" s="42">
        <v>588097</v>
      </c>
    </row>
    <row r="1300" spans="1:20" x14ac:dyDescent="0.3">
      <c r="A1300" s="7">
        <v>44267</v>
      </c>
      <c r="B1300" s="33"/>
      <c r="C1300" s="6">
        <v>154035</v>
      </c>
      <c r="D1300" s="6">
        <v>179677</v>
      </c>
      <c r="E1300" s="6">
        <v>188004</v>
      </c>
      <c r="F1300" s="14">
        <v>797177</v>
      </c>
      <c r="G1300" s="6">
        <v>210938</v>
      </c>
      <c r="H1300" s="6">
        <v>47305</v>
      </c>
      <c r="I1300" s="6">
        <v>61705</v>
      </c>
      <c r="J1300" s="6">
        <v>240351</v>
      </c>
      <c r="K1300" s="6">
        <v>465966</v>
      </c>
      <c r="L1300" s="6">
        <v>155732</v>
      </c>
      <c r="M1300" s="6">
        <v>2541262</v>
      </c>
      <c r="N1300" s="42">
        <v>1221966</v>
      </c>
      <c r="O1300" s="42"/>
      <c r="P1300" s="42">
        <v>101765</v>
      </c>
      <c r="Q1300" s="42">
        <v>258588</v>
      </c>
      <c r="R1300" s="42">
        <v>2891961</v>
      </c>
      <c r="S1300" s="39">
        <v>74698</v>
      </c>
      <c r="T1300" s="42">
        <v>562508</v>
      </c>
    </row>
    <row r="1301" spans="1:20" x14ac:dyDescent="0.3">
      <c r="A1301" s="7">
        <v>44266</v>
      </c>
      <c r="B1301" s="33"/>
      <c r="C1301" s="6">
        <v>151166</v>
      </c>
      <c r="D1301" s="6">
        <v>190016</v>
      </c>
      <c r="E1301" s="6">
        <v>182081</v>
      </c>
      <c r="F1301" s="14">
        <v>792573</v>
      </c>
      <c r="G1301" s="6">
        <v>215425</v>
      </c>
      <c r="H1301" s="6">
        <v>49476</v>
      </c>
      <c r="I1301" s="6">
        <v>61574</v>
      </c>
      <c r="J1301" s="6">
        <v>242652</v>
      </c>
      <c r="K1301" s="6">
        <v>467704</v>
      </c>
      <c r="L1301" s="6">
        <v>156630</v>
      </c>
      <c r="M1301" s="6">
        <v>2533327</v>
      </c>
      <c r="N1301" s="42">
        <v>1208958</v>
      </c>
      <c r="O1301" s="42"/>
      <c r="P1301" s="42">
        <v>100251</v>
      </c>
      <c r="Q1301" s="42">
        <v>245290</v>
      </c>
      <c r="R1301" s="42">
        <v>2851501</v>
      </c>
      <c r="S1301" s="39">
        <v>78455</v>
      </c>
      <c r="T1301" s="42">
        <v>553705</v>
      </c>
    </row>
    <row r="1302" spans="1:20" x14ac:dyDescent="0.3">
      <c r="A1302" s="7">
        <v>44265</v>
      </c>
      <c r="B1302" s="33"/>
      <c r="C1302" s="6">
        <v>139022</v>
      </c>
      <c r="D1302" s="6">
        <v>175335</v>
      </c>
      <c r="E1302" s="6">
        <v>173555</v>
      </c>
      <c r="F1302" s="14">
        <v>744810</v>
      </c>
      <c r="G1302" s="6">
        <v>213828</v>
      </c>
      <c r="H1302" s="6">
        <v>50550</v>
      </c>
      <c r="I1302" s="6">
        <v>57580</v>
      </c>
      <c r="J1302" s="6">
        <v>238001</v>
      </c>
      <c r="K1302" s="6">
        <v>474272</v>
      </c>
      <c r="L1302" s="6">
        <v>156098</v>
      </c>
      <c r="M1302" s="6">
        <v>2503228</v>
      </c>
      <c r="N1302" s="42">
        <v>1211100</v>
      </c>
      <c r="O1302" s="42"/>
      <c r="P1302" s="42">
        <v>99491</v>
      </c>
      <c r="Q1302" s="42">
        <v>243968</v>
      </c>
      <c r="R1302" s="42">
        <v>2801347</v>
      </c>
      <c r="S1302" s="40">
        <v>70686</v>
      </c>
      <c r="T1302" s="42">
        <v>550255</v>
      </c>
    </row>
    <row r="1303" spans="1:20" x14ac:dyDescent="0.3">
      <c r="A1303" s="7">
        <v>44264</v>
      </c>
      <c r="B1303" s="34"/>
      <c r="C1303" s="6">
        <v>150330</v>
      </c>
      <c r="D1303" s="6">
        <v>181373</v>
      </c>
      <c r="E1303" s="6">
        <v>173078</v>
      </c>
      <c r="F1303" s="14">
        <v>722123</v>
      </c>
      <c r="G1303" s="6">
        <v>211347</v>
      </c>
      <c r="H1303" s="6">
        <v>51380</v>
      </c>
      <c r="I1303" s="6">
        <v>57348</v>
      </c>
      <c r="J1303" s="6">
        <v>239307</v>
      </c>
      <c r="K1303" s="6">
        <v>473871</v>
      </c>
      <c r="L1303" s="6">
        <v>155425</v>
      </c>
      <c r="M1303" s="6">
        <v>2494636</v>
      </c>
      <c r="N1303" s="42">
        <v>1206350</v>
      </c>
      <c r="O1303" s="42"/>
      <c r="P1303" s="42">
        <v>92804</v>
      </c>
      <c r="Q1303" s="42">
        <v>253528</v>
      </c>
      <c r="R1303" s="42">
        <v>2779898</v>
      </c>
      <c r="S1303" s="39">
        <v>53876</v>
      </c>
      <c r="T1303" s="42">
        <v>558183</v>
      </c>
    </row>
    <row r="1304" spans="1:20" x14ac:dyDescent="0.3">
      <c r="A1304" s="7">
        <v>44263</v>
      </c>
      <c r="B1304" s="33"/>
      <c r="C1304" s="6">
        <v>141149</v>
      </c>
      <c r="D1304" s="6">
        <v>165280</v>
      </c>
      <c r="E1304" s="6">
        <v>167974</v>
      </c>
      <c r="F1304" s="14">
        <v>712592</v>
      </c>
      <c r="G1304" s="6">
        <v>204667</v>
      </c>
      <c r="H1304" s="6">
        <v>50896</v>
      </c>
      <c r="I1304" s="6">
        <v>53881</v>
      </c>
      <c r="J1304" s="6">
        <v>242201</v>
      </c>
      <c r="K1304" s="6">
        <v>481626</v>
      </c>
      <c r="L1304" s="6">
        <v>153369</v>
      </c>
      <c r="M1304" s="6">
        <v>2496613</v>
      </c>
      <c r="N1304" s="42">
        <v>1201412</v>
      </c>
      <c r="O1304" s="42"/>
      <c r="P1304" s="42">
        <v>91121</v>
      </c>
      <c r="Q1304" s="42">
        <v>269155</v>
      </c>
      <c r="R1304" s="42">
        <v>2778601</v>
      </c>
      <c r="S1304" s="39">
        <v>75705</v>
      </c>
      <c r="T1304" s="42">
        <v>558233</v>
      </c>
    </row>
    <row r="1305" spans="1:20" x14ac:dyDescent="0.3">
      <c r="A1305" s="7">
        <v>44260</v>
      </c>
      <c r="B1305" s="33"/>
      <c r="C1305" s="6">
        <v>147716</v>
      </c>
      <c r="D1305" s="6">
        <v>165938</v>
      </c>
      <c r="E1305" s="6">
        <v>168353</v>
      </c>
      <c r="F1305" s="14">
        <v>710577</v>
      </c>
      <c r="G1305" s="6">
        <v>200277</v>
      </c>
      <c r="H1305" s="6">
        <v>50315</v>
      </c>
      <c r="I1305" s="6">
        <v>54209</v>
      </c>
      <c r="J1305" s="6">
        <v>241957</v>
      </c>
      <c r="K1305" s="6">
        <v>468385</v>
      </c>
      <c r="L1305" s="6">
        <v>154814</v>
      </c>
      <c r="M1305" s="6">
        <v>2504181</v>
      </c>
      <c r="N1305" s="42">
        <v>1198991</v>
      </c>
      <c r="O1305" s="42"/>
      <c r="P1305" s="42">
        <v>87217</v>
      </c>
      <c r="Q1305" s="42">
        <v>259410</v>
      </c>
      <c r="R1305" s="42">
        <v>2764453</v>
      </c>
      <c r="S1305" s="39">
        <v>81468</v>
      </c>
      <c r="T1305" s="42">
        <v>559053</v>
      </c>
    </row>
    <row r="1306" spans="1:20" x14ac:dyDescent="0.3">
      <c r="A1306" s="7">
        <v>44259</v>
      </c>
      <c r="B1306" s="34"/>
      <c r="C1306" s="6">
        <v>150766</v>
      </c>
      <c r="D1306" s="6">
        <v>168610</v>
      </c>
      <c r="E1306" s="6">
        <v>165485</v>
      </c>
      <c r="F1306" s="14">
        <v>709040</v>
      </c>
      <c r="G1306" s="6">
        <v>199256</v>
      </c>
      <c r="H1306" s="6">
        <v>48806</v>
      </c>
      <c r="I1306" s="6">
        <v>53474</v>
      </c>
      <c r="J1306" s="6">
        <v>243430</v>
      </c>
      <c r="K1306" s="6">
        <v>465045</v>
      </c>
      <c r="L1306" s="6">
        <v>155112</v>
      </c>
      <c r="M1306" s="6">
        <v>2494921</v>
      </c>
      <c r="N1306" s="42">
        <v>1197037</v>
      </c>
      <c r="O1306" s="42"/>
      <c r="P1306" s="42">
        <v>85196</v>
      </c>
      <c r="Q1306" s="42">
        <v>256108</v>
      </c>
      <c r="R1306" s="42">
        <v>2753690</v>
      </c>
      <c r="S1306" s="39">
        <v>81553</v>
      </c>
      <c r="T1306" s="42">
        <v>561842</v>
      </c>
    </row>
    <row r="1307" spans="1:20" x14ac:dyDescent="0.3">
      <c r="A1307" s="7">
        <v>44258</v>
      </c>
      <c r="B1307" s="33"/>
      <c r="C1307" s="6">
        <v>149996</v>
      </c>
      <c r="D1307" s="6">
        <v>168549</v>
      </c>
      <c r="E1307" s="6">
        <v>168817</v>
      </c>
      <c r="F1307" s="14">
        <v>695681</v>
      </c>
      <c r="G1307" s="6">
        <v>191032</v>
      </c>
      <c r="H1307" s="6">
        <v>46569</v>
      </c>
      <c r="I1307" s="6">
        <v>52370</v>
      </c>
      <c r="J1307" s="6">
        <v>251431</v>
      </c>
      <c r="K1307" s="6">
        <v>464713</v>
      </c>
      <c r="L1307" s="6">
        <v>156682</v>
      </c>
      <c r="M1307" s="6">
        <v>2509004</v>
      </c>
      <c r="N1307" s="42">
        <v>1201855</v>
      </c>
      <c r="O1307" s="42"/>
      <c r="P1307" s="42">
        <v>89390</v>
      </c>
      <c r="Q1307" s="42">
        <v>255461</v>
      </c>
      <c r="R1307" s="42">
        <v>2757340</v>
      </c>
      <c r="S1307" s="40">
        <v>83596</v>
      </c>
      <c r="T1307" s="42">
        <v>565395</v>
      </c>
    </row>
    <row r="1308" spans="1:20" x14ac:dyDescent="0.3">
      <c r="A1308" s="7">
        <v>44257</v>
      </c>
      <c r="B1308" s="33"/>
      <c r="C1308" s="6">
        <v>149904</v>
      </c>
      <c r="D1308" s="6">
        <v>169363</v>
      </c>
      <c r="E1308" s="6">
        <v>168689</v>
      </c>
      <c r="F1308" s="14">
        <v>698229</v>
      </c>
      <c r="G1308" s="6">
        <v>189270</v>
      </c>
      <c r="H1308" s="6">
        <v>48587</v>
      </c>
      <c r="I1308" s="6">
        <v>52707</v>
      </c>
      <c r="J1308" s="6">
        <v>251989</v>
      </c>
      <c r="K1308" s="6">
        <v>467008</v>
      </c>
      <c r="L1308" s="6">
        <v>158349</v>
      </c>
      <c r="M1308" s="6">
        <v>2491831</v>
      </c>
      <c r="N1308" s="42">
        <v>1205198</v>
      </c>
      <c r="O1308" s="42"/>
      <c r="P1308" s="42">
        <v>89395</v>
      </c>
      <c r="Q1308" s="42">
        <v>244016</v>
      </c>
      <c r="R1308" s="42">
        <v>2767213</v>
      </c>
      <c r="S1308" s="39">
        <v>84909</v>
      </c>
      <c r="T1308" s="42">
        <v>565766</v>
      </c>
    </row>
    <row r="1309" spans="1:20" x14ac:dyDescent="0.3">
      <c r="A1309" s="7">
        <v>44256</v>
      </c>
      <c r="B1309" s="33"/>
      <c r="C1309" s="6">
        <v>154776</v>
      </c>
      <c r="D1309" s="6">
        <v>169944</v>
      </c>
      <c r="E1309" s="6">
        <v>169441</v>
      </c>
      <c r="F1309" s="14">
        <v>702414</v>
      </c>
      <c r="G1309" s="6">
        <v>186731</v>
      </c>
      <c r="H1309" s="6">
        <v>48977</v>
      </c>
      <c r="I1309" s="6">
        <v>52164</v>
      </c>
      <c r="J1309" s="6">
        <v>251585</v>
      </c>
      <c r="K1309" s="6">
        <v>466897</v>
      </c>
      <c r="L1309" s="6">
        <v>158613</v>
      </c>
      <c r="M1309" s="6">
        <v>2518346</v>
      </c>
      <c r="N1309" s="42">
        <v>1203015</v>
      </c>
      <c r="O1309" s="42"/>
      <c r="P1309" s="42">
        <v>86038</v>
      </c>
      <c r="Q1309" s="42">
        <v>242105</v>
      </c>
      <c r="R1309" s="42">
        <v>2757309</v>
      </c>
      <c r="S1309" s="39">
        <v>86654</v>
      </c>
      <c r="T1309" s="42">
        <v>567106</v>
      </c>
    </row>
    <row r="1310" spans="1:20" x14ac:dyDescent="0.3">
      <c r="A1310" s="7">
        <v>44253</v>
      </c>
      <c r="B1310" s="33"/>
      <c r="C1310" s="6">
        <v>152620</v>
      </c>
      <c r="D1310" s="6">
        <v>171440</v>
      </c>
      <c r="E1310" s="6">
        <v>170341</v>
      </c>
      <c r="F1310" s="14">
        <v>706604</v>
      </c>
      <c r="G1310" s="6">
        <v>188204</v>
      </c>
      <c r="H1310" s="6">
        <v>48031</v>
      </c>
      <c r="I1310" s="6">
        <v>51680</v>
      </c>
      <c r="J1310" s="6">
        <v>252212</v>
      </c>
      <c r="K1310" s="6">
        <v>469135</v>
      </c>
      <c r="L1310" s="6">
        <v>160964</v>
      </c>
      <c r="M1310" s="6">
        <v>2502731</v>
      </c>
      <c r="N1310" s="42">
        <v>1197082</v>
      </c>
      <c r="O1310" s="42"/>
      <c r="P1310" s="42">
        <v>85510</v>
      </c>
      <c r="Q1310" s="42">
        <v>248670</v>
      </c>
      <c r="R1310" s="42">
        <v>2759006</v>
      </c>
      <c r="S1310" s="39">
        <v>89108</v>
      </c>
      <c r="T1310" s="42">
        <v>575178</v>
      </c>
    </row>
    <row r="1311" spans="1:20" x14ac:dyDescent="0.3">
      <c r="A1311" s="7">
        <v>44252</v>
      </c>
      <c r="B1311" s="33"/>
      <c r="C1311" s="6">
        <v>154151</v>
      </c>
      <c r="D1311" s="6">
        <v>182624</v>
      </c>
      <c r="E1311" s="6">
        <v>175148</v>
      </c>
      <c r="F1311" s="14">
        <v>711565</v>
      </c>
      <c r="G1311" s="6">
        <v>186715</v>
      </c>
      <c r="H1311" s="6">
        <v>48548</v>
      </c>
      <c r="I1311" s="6">
        <v>52396</v>
      </c>
      <c r="J1311" s="6">
        <v>255338</v>
      </c>
      <c r="K1311" s="6">
        <v>478088</v>
      </c>
      <c r="L1311" s="6">
        <v>171486</v>
      </c>
      <c r="M1311" s="6">
        <v>2506385</v>
      </c>
      <c r="N1311" s="42">
        <v>1198105</v>
      </c>
      <c r="O1311" s="42"/>
      <c r="P1311" s="42">
        <v>85626</v>
      </c>
      <c r="Q1311" s="42">
        <v>249622</v>
      </c>
      <c r="R1311" s="42">
        <v>2745067</v>
      </c>
      <c r="S1311" s="39">
        <v>85023</v>
      </c>
      <c r="T1311" s="42">
        <v>574693</v>
      </c>
    </row>
    <row r="1312" spans="1:20" x14ac:dyDescent="0.3">
      <c r="A1312" s="7">
        <v>44251</v>
      </c>
      <c r="B1312" s="33"/>
      <c r="C1312" s="6">
        <v>147499</v>
      </c>
      <c r="D1312" s="6">
        <v>177991</v>
      </c>
      <c r="E1312" s="6">
        <v>174899</v>
      </c>
      <c r="F1312" s="14">
        <v>693330</v>
      </c>
      <c r="G1312" s="6">
        <v>187017</v>
      </c>
      <c r="H1312" s="6">
        <v>48584</v>
      </c>
      <c r="I1312" s="6">
        <v>53053</v>
      </c>
      <c r="J1312" s="6">
        <v>260867</v>
      </c>
      <c r="K1312" s="6">
        <v>481253</v>
      </c>
      <c r="L1312" s="6">
        <v>173501</v>
      </c>
      <c r="M1312" s="6">
        <v>2483509</v>
      </c>
      <c r="N1312" s="42">
        <v>1192738</v>
      </c>
      <c r="O1312" s="42"/>
      <c r="P1312" s="42">
        <v>98010</v>
      </c>
      <c r="Q1312" s="42">
        <v>243092</v>
      </c>
      <c r="R1312" s="42">
        <v>2685986</v>
      </c>
      <c r="S1312" s="39">
        <v>85329</v>
      </c>
      <c r="T1312" s="42">
        <v>572716</v>
      </c>
    </row>
    <row r="1313" spans="1:20" x14ac:dyDescent="0.3">
      <c r="A1313" s="7">
        <v>44250</v>
      </c>
      <c r="B1313" s="34"/>
      <c r="C1313" s="6">
        <v>145261</v>
      </c>
      <c r="D1313" s="6">
        <v>176721</v>
      </c>
      <c r="E1313" s="6">
        <v>166868</v>
      </c>
      <c r="F1313" s="14">
        <v>696916</v>
      </c>
      <c r="G1313" s="6">
        <v>183247</v>
      </c>
      <c r="H1313" s="6">
        <v>48209</v>
      </c>
      <c r="I1313" s="6">
        <v>53002</v>
      </c>
      <c r="J1313" s="6">
        <v>268170</v>
      </c>
      <c r="K1313" s="6">
        <v>481125</v>
      </c>
      <c r="L1313" s="6">
        <v>172392</v>
      </c>
      <c r="M1313" s="6">
        <v>2460204</v>
      </c>
      <c r="N1313" s="42">
        <v>1194039</v>
      </c>
      <c r="O1313" s="42"/>
      <c r="P1313" s="42">
        <v>92079</v>
      </c>
      <c r="Q1313" s="42">
        <v>240070</v>
      </c>
      <c r="R1313" s="42">
        <v>2652739</v>
      </c>
      <c r="S1313" s="40">
        <v>88379</v>
      </c>
      <c r="T1313" s="42">
        <v>572400</v>
      </c>
    </row>
    <row r="1314" spans="1:20" x14ac:dyDescent="0.3">
      <c r="A1314" s="7">
        <v>44249</v>
      </c>
      <c r="B1314" s="33"/>
      <c r="C1314" s="6">
        <v>142241</v>
      </c>
      <c r="D1314" s="6">
        <v>175305</v>
      </c>
      <c r="E1314" s="6">
        <v>162406</v>
      </c>
      <c r="F1314" s="14">
        <v>695960</v>
      </c>
      <c r="G1314" s="6">
        <v>183297</v>
      </c>
      <c r="H1314" s="6">
        <v>48865</v>
      </c>
      <c r="I1314" s="6">
        <v>50497</v>
      </c>
      <c r="J1314" s="6">
        <v>275077</v>
      </c>
      <c r="K1314" s="6">
        <v>490532</v>
      </c>
      <c r="L1314" s="6">
        <v>178935</v>
      </c>
      <c r="M1314" s="6">
        <v>2464792</v>
      </c>
      <c r="N1314" s="42">
        <v>1205799</v>
      </c>
      <c r="O1314" s="42"/>
      <c r="P1314" s="42">
        <v>94823</v>
      </c>
      <c r="Q1314" s="42">
        <v>240198</v>
      </c>
      <c r="R1314" s="42">
        <v>2636626</v>
      </c>
      <c r="S1314" s="39">
        <v>83319</v>
      </c>
      <c r="T1314" s="42">
        <v>568621</v>
      </c>
    </row>
    <row r="1315" spans="1:20" x14ac:dyDescent="0.3">
      <c r="A1315" s="7">
        <v>44246</v>
      </c>
      <c r="B1315" s="34"/>
      <c r="C1315" s="6">
        <v>143900</v>
      </c>
      <c r="D1315" s="6">
        <v>176511</v>
      </c>
      <c r="E1315" s="6">
        <v>161389</v>
      </c>
      <c r="F1315" s="14">
        <v>688339</v>
      </c>
      <c r="G1315" s="6">
        <v>186704</v>
      </c>
      <c r="H1315" s="6">
        <v>49677</v>
      </c>
      <c r="I1315" s="6">
        <v>49761</v>
      </c>
      <c r="J1315" s="6">
        <v>276004</v>
      </c>
      <c r="K1315" s="6">
        <v>491861</v>
      </c>
      <c r="L1315" s="6">
        <v>179004</v>
      </c>
      <c r="M1315" s="6">
        <v>2466311</v>
      </c>
      <c r="N1315" s="42">
        <v>1210569</v>
      </c>
      <c r="O1315" s="42"/>
      <c r="P1315" s="42">
        <v>95149</v>
      </c>
      <c r="Q1315" s="42">
        <v>236281</v>
      </c>
      <c r="R1315" s="42">
        <v>2639741</v>
      </c>
      <c r="S1315" s="39">
        <v>80550</v>
      </c>
      <c r="T1315" s="42">
        <v>565592</v>
      </c>
    </row>
    <row r="1316" spans="1:20" x14ac:dyDescent="0.3">
      <c r="A1316" s="7">
        <v>44245</v>
      </c>
      <c r="B1316" s="33"/>
      <c r="C1316" s="6">
        <v>141359</v>
      </c>
      <c r="D1316" s="6">
        <v>173423</v>
      </c>
      <c r="E1316" s="6">
        <v>160506</v>
      </c>
      <c r="F1316" s="14">
        <v>677725</v>
      </c>
      <c r="G1316" s="6">
        <v>187885</v>
      </c>
      <c r="H1316" s="6">
        <v>47299</v>
      </c>
      <c r="I1316" s="6">
        <v>50082</v>
      </c>
      <c r="J1316" s="6">
        <v>273345</v>
      </c>
      <c r="K1316" s="6">
        <v>497175</v>
      </c>
      <c r="L1316" s="6">
        <v>180495</v>
      </c>
      <c r="M1316" s="6">
        <v>2525039</v>
      </c>
      <c r="N1316" s="42">
        <v>1214441</v>
      </c>
      <c r="O1316" s="42"/>
      <c r="P1316" s="42">
        <v>93939</v>
      </c>
      <c r="Q1316" s="42">
        <v>232722</v>
      </c>
      <c r="R1316" s="42">
        <v>2629910</v>
      </c>
      <c r="S1316" s="39">
        <v>82399</v>
      </c>
      <c r="T1316" s="42">
        <v>565734</v>
      </c>
    </row>
    <row r="1317" spans="1:20" x14ac:dyDescent="0.3">
      <c r="A1317" s="7">
        <v>44244</v>
      </c>
      <c r="B1317" s="34"/>
      <c r="C1317" s="6">
        <v>141700</v>
      </c>
      <c r="D1317" s="6">
        <v>169951</v>
      </c>
      <c r="E1317" s="6">
        <v>159893</v>
      </c>
      <c r="F1317" s="14">
        <v>677198</v>
      </c>
      <c r="G1317" s="6">
        <v>189505</v>
      </c>
      <c r="H1317" s="6">
        <v>48186</v>
      </c>
      <c r="I1317" s="6">
        <v>49144</v>
      </c>
      <c r="J1317" s="6">
        <v>272132</v>
      </c>
      <c r="K1317" s="6">
        <v>499469</v>
      </c>
      <c r="L1317" s="6">
        <v>182495</v>
      </c>
      <c r="M1317" s="6">
        <v>2495680</v>
      </c>
      <c r="N1317" s="42">
        <v>1215925</v>
      </c>
      <c r="O1317" s="42"/>
      <c r="P1317" s="42">
        <v>95664</v>
      </c>
      <c r="Q1317" s="42">
        <v>233158</v>
      </c>
      <c r="R1317" s="42">
        <v>2631673</v>
      </c>
      <c r="S1317" s="39">
        <v>82697</v>
      </c>
      <c r="T1317" s="42">
        <v>569539</v>
      </c>
    </row>
    <row r="1318" spans="1:20" x14ac:dyDescent="0.3">
      <c r="A1318" s="7">
        <v>44243</v>
      </c>
      <c r="B1318" s="33"/>
      <c r="C1318" s="6">
        <v>141016</v>
      </c>
      <c r="D1318" s="6">
        <v>171931</v>
      </c>
      <c r="E1318" s="6">
        <v>159266</v>
      </c>
      <c r="F1318" s="14">
        <v>676326</v>
      </c>
      <c r="G1318" s="6">
        <v>188723</v>
      </c>
      <c r="H1318" s="6">
        <v>48103</v>
      </c>
      <c r="I1318" s="6">
        <v>48093</v>
      </c>
      <c r="J1318" s="6">
        <v>272276</v>
      </c>
      <c r="K1318" s="6">
        <v>503016</v>
      </c>
      <c r="L1318" s="6">
        <v>183544</v>
      </c>
      <c r="M1318" s="6">
        <v>2507620</v>
      </c>
      <c r="N1318" s="42">
        <v>1201588</v>
      </c>
      <c r="O1318" s="42"/>
      <c r="P1318" s="42">
        <v>93884</v>
      </c>
      <c r="Q1318" s="42">
        <v>235353</v>
      </c>
      <c r="R1318" s="42">
        <v>2636295</v>
      </c>
      <c r="S1318" s="39">
        <v>80437</v>
      </c>
      <c r="T1318" s="42">
        <v>570903</v>
      </c>
    </row>
    <row r="1319" spans="1:20" x14ac:dyDescent="0.3">
      <c r="A1319" s="7">
        <v>44239</v>
      </c>
      <c r="B1319" s="33"/>
      <c r="C1319" s="6">
        <v>140188</v>
      </c>
      <c r="D1319" s="6">
        <v>173424</v>
      </c>
      <c r="E1319" s="6">
        <v>157211</v>
      </c>
      <c r="F1319" s="14">
        <v>673591</v>
      </c>
      <c r="G1319" s="6">
        <v>179248</v>
      </c>
      <c r="H1319" s="6">
        <v>48640</v>
      </c>
      <c r="I1319" s="6">
        <v>47977</v>
      </c>
      <c r="J1319" s="6">
        <v>267288</v>
      </c>
      <c r="K1319" s="6">
        <v>503480</v>
      </c>
      <c r="L1319" s="6">
        <v>182346</v>
      </c>
      <c r="M1319" s="6">
        <v>2490047</v>
      </c>
      <c r="N1319" s="42">
        <v>1201484</v>
      </c>
      <c r="O1319" s="42"/>
      <c r="P1319" s="42">
        <v>97045</v>
      </c>
      <c r="Q1319" s="42">
        <v>245583</v>
      </c>
      <c r="R1319" s="42">
        <v>2613418</v>
      </c>
      <c r="S1319" s="39">
        <v>87749</v>
      </c>
      <c r="T1319" s="42">
        <v>566880</v>
      </c>
    </row>
    <row r="1320" spans="1:20" x14ac:dyDescent="0.3">
      <c r="A1320" s="7">
        <v>44238</v>
      </c>
      <c r="B1320" s="34"/>
      <c r="C1320" s="6">
        <v>141515</v>
      </c>
      <c r="D1320" s="6">
        <v>172796</v>
      </c>
      <c r="E1320" s="6">
        <v>156657</v>
      </c>
      <c r="F1320" s="14">
        <v>676423</v>
      </c>
      <c r="G1320" s="6">
        <v>180781</v>
      </c>
      <c r="H1320" s="6">
        <v>48381</v>
      </c>
      <c r="I1320" s="6">
        <v>47983</v>
      </c>
      <c r="J1320" s="6">
        <v>266317</v>
      </c>
      <c r="K1320" s="6">
        <v>507564</v>
      </c>
      <c r="L1320" s="6">
        <v>180631</v>
      </c>
      <c r="M1320" s="6">
        <v>2471472</v>
      </c>
      <c r="N1320" s="42">
        <v>1191884</v>
      </c>
      <c r="O1320" s="42"/>
      <c r="P1320" s="42">
        <v>96858</v>
      </c>
      <c r="Q1320" s="42">
        <v>241224</v>
      </c>
      <c r="R1320" s="42">
        <v>2616505</v>
      </c>
      <c r="S1320" s="39">
        <v>81286</v>
      </c>
      <c r="T1320" s="42">
        <v>565907</v>
      </c>
    </row>
    <row r="1321" spans="1:20" x14ac:dyDescent="0.3">
      <c r="A1321" s="7">
        <v>44237</v>
      </c>
      <c r="B1321" s="33"/>
      <c r="C1321" s="6">
        <v>140110</v>
      </c>
      <c r="D1321" s="6">
        <v>172670</v>
      </c>
      <c r="E1321" s="6">
        <v>157181</v>
      </c>
      <c r="F1321" s="14">
        <v>674871</v>
      </c>
      <c r="G1321" s="6">
        <v>180530</v>
      </c>
      <c r="H1321" s="6">
        <v>48474</v>
      </c>
      <c r="I1321" s="6">
        <v>47894</v>
      </c>
      <c r="J1321" s="6">
        <v>263092</v>
      </c>
      <c r="K1321" s="6">
        <v>507844</v>
      </c>
      <c r="L1321" s="6">
        <v>179347</v>
      </c>
      <c r="M1321" s="6">
        <v>2453084</v>
      </c>
      <c r="N1321" s="42">
        <v>1177587</v>
      </c>
      <c r="O1321" s="42"/>
      <c r="P1321" s="42">
        <v>98296</v>
      </c>
      <c r="Q1321" s="42">
        <v>238177</v>
      </c>
      <c r="R1321" s="42">
        <v>2618895</v>
      </c>
      <c r="S1321" s="39">
        <v>77709</v>
      </c>
      <c r="T1321" s="42">
        <v>569233</v>
      </c>
    </row>
    <row r="1322" spans="1:20" x14ac:dyDescent="0.3">
      <c r="A1322" s="7">
        <v>44236</v>
      </c>
      <c r="B1322" s="33"/>
      <c r="C1322" s="6">
        <v>140497</v>
      </c>
      <c r="D1322" s="6">
        <v>170161</v>
      </c>
      <c r="E1322" s="6">
        <v>158454</v>
      </c>
      <c r="F1322" s="14">
        <v>673116</v>
      </c>
      <c r="G1322" s="6">
        <v>183901</v>
      </c>
      <c r="H1322" s="6">
        <v>48655</v>
      </c>
      <c r="I1322" s="6">
        <v>48656</v>
      </c>
      <c r="J1322" s="6">
        <v>264096</v>
      </c>
      <c r="K1322" s="6">
        <v>506741</v>
      </c>
      <c r="L1322" s="6">
        <v>179288</v>
      </c>
      <c r="M1322" s="6">
        <v>2446808</v>
      </c>
      <c r="N1322" s="42">
        <v>1159552</v>
      </c>
      <c r="O1322" s="42"/>
      <c r="P1322" s="42">
        <v>99658</v>
      </c>
      <c r="Q1322" s="42">
        <v>234372</v>
      </c>
      <c r="R1322" s="42">
        <v>2619444</v>
      </c>
      <c r="S1322" s="39">
        <v>78874</v>
      </c>
      <c r="T1322" s="42">
        <v>568703</v>
      </c>
    </row>
    <row r="1323" spans="1:20" x14ac:dyDescent="0.3">
      <c r="A1323" s="7">
        <v>44235</v>
      </c>
      <c r="B1323" s="33"/>
      <c r="C1323" s="6">
        <v>139901</v>
      </c>
      <c r="D1323" s="6">
        <v>165800</v>
      </c>
      <c r="E1323" s="6">
        <v>157821</v>
      </c>
      <c r="F1323" s="14">
        <v>671755</v>
      </c>
      <c r="G1323" s="6">
        <v>186355</v>
      </c>
      <c r="H1323" s="6">
        <v>49466</v>
      </c>
      <c r="I1323" s="6">
        <v>50429</v>
      </c>
      <c r="J1323" s="6">
        <v>260770</v>
      </c>
      <c r="K1323" s="6">
        <v>507311</v>
      </c>
      <c r="L1323" s="6">
        <v>178809</v>
      </c>
      <c r="M1323" s="6">
        <v>2444704</v>
      </c>
      <c r="N1323" s="42">
        <v>1158189</v>
      </c>
      <c r="O1323" s="42"/>
      <c r="P1323" s="42">
        <v>98463</v>
      </c>
      <c r="Q1323" s="42">
        <v>232932</v>
      </c>
      <c r="R1323" s="42">
        <v>2651628</v>
      </c>
      <c r="S1323" s="39">
        <v>78834</v>
      </c>
      <c r="T1323" s="42">
        <v>560312</v>
      </c>
    </row>
    <row r="1324" spans="1:20" x14ac:dyDescent="0.3">
      <c r="A1324" s="7">
        <v>44232</v>
      </c>
      <c r="B1324" s="34"/>
      <c r="C1324" s="6">
        <v>140091</v>
      </c>
      <c r="D1324" s="6">
        <v>166426</v>
      </c>
      <c r="E1324" s="6">
        <v>157213</v>
      </c>
      <c r="F1324" s="14">
        <v>668805</v>
      </c>
      <c r="G1324" s="6">
        <v>189450</v>
      </c>
      <c r="H1324" s="6">
        <v>48889</v>
      </c>
      <c r="I1324" s="6">
        <v>51762</v>
      </c>
      <c r="J1324" s="6">
        <v>260338</v>
      </c>
      <c r="K1324" s="6">
        <v>509688</v>
      </c>
      <c r="L1324" s="6">
        <v>176180</v>
      </c>
      <c r="M1324" s="6">
        <v>2446654</v>
      </c>
      <c r="N1324" s="42">
        <v>1152360</v>
      </c>
      <c r="O1324" s="42"/>
      <c r="P1324" s="42">
        <v>98368</v>
      </c>
      <c r="Q1324" s="42">
        <v>231928</v>
      </c>
      <c r="R1324" s="42">
        <v>2628589</v>
      </c>
      <c r="S1324" s="39">
        <v>71576</v>
      </c>
      <c r="T1324" s="42">
        <v>562271</v>
      </c>
    </row>
    <row r="1325" spans="1:20" x14ac:dyDescent="0.3">
      <c r="A1325" s="7">
        <v>44231</v>
      </c>
      <c r="B1325" s="33"/>
      <c r="C1325" s="6">
        <v>140517</v>
      </c>
      <c r="D1325" s="6">
        <v>164246</v>
      </c>
      <c r="E1325" s="6">
        <v>156639</v>
      </c>
      <c r="F1325" s="14">
        <v>667113</v>
      </c>
      <c r="G1325" s="6">
        <v>190397</v>
      </c>
      <c r="H1325" s="6">
        <v>50562</v>
      </c>
      <c r="I1325" s="6">
        <v>50614</v>
      </c>
      <c r="J1325" s="6">
        <v>259084</v>
      </c>
      <c r="K1325" s="6">
        <v>517620</v>
      </c>
      <c r="L1325" s="6">
        <v>175077</v>
      </c>
      <c r="M1325" s="6">
        <v>2459265</v>
      </c>
      <c r="N1325" s="42">
        <v>1152990</v>
      </c>
      <c r="O1325" s="42"/>
      <c r="P1325" s="42">
        <v>97477</v>
      </c>
      <c r="Q1325" s="42">
        <v>233468</v>
      </c>
      <c r="R1325" s="42">
        <v>2618911</v>
      </c>
      <c r="S1325" s="39">
        <v>69269</v>
      </c>
      <c r="T1325" s="42">
        <v>556399</v>
      </c>
    </row>
    <row r="1326" spans="1:20" x14ac:dyDescent="0.3">
      <c r="A1326" s="7">
        <v>44230</v>
      </c>
      <c r="B1326" s="33"/>
      <c r="C1326" s="6">
        <v>141403</v>
      </c>
      <c r="D1326" s="6">
        <v>159769</v>
      </c>
      <c r="E1326" s="6">
        <v>155209</v>
      </c>
      <c r="F1326" s="14">
        <v>669837</v>
      </c>
      <c r="G1326" s="6">
        <v>190639</v>
      </c>
      <c r="H1326" s="6">
        <v>49797</v>
      </c>
      <c r="I1326" s="6">
        <v>50435</v>
      </c>
      <c r="J1326" s="6">
        <v>260878</v>
      </c>
      <c r="K1326" s="6">
        <v>517087</v>
      </c>
      <c r="L1326" s="6">
        <v>177422</v>
      </c>
      <c r="M1326" s="6">
        <v>2444027</v>
      </c>
      <c r="N1326" s="42">
        <v>1130536</v>
      </c>
      <c r="O1326" s="42"/>
      <c r="P1326" s="42">
        <v>93967</v>
      </c>
      <c r="Q1326" s="42">
        <v>232976</v>
      </c>
      <c r="R1326" s="42">
        <v>2626059</v>
      </c>
      <c r="S1326" s="39">
        <v>70590</v>
      </c>
      <c r="T1326" s="42">
        <v>556076</v>
      </c>
    </row>
    <row r="1327" spans="1:20" x14ac:dyDescent="0.3">
      <c r="A1327" s="7">
        <v>44229</v>
      </c>
      <c r="B1327" s="33"/>
      <c r="C1327" s="6">
        <v>142644</v>
      </c>
      <c r="D1327" s="6">
        <v>161100</v>
      </c>
      <c r="E1327" s="6">
        <v>158155</v>
      </c>
      <c r="F1327" s="14">
        <v>675520</v>
      </c>
      <c r="G1327" s="6">
        <v>190948</v>
      </c>
      <c r="H1327" s="6">
        <v>50685</v>
      </c>
      <c r="I1327" s="6">
        <v>50832</v>
      </c>
      <c r="J1327" s="6">
        <v>257036</v>
      </c>
      <c r="K1327" s="6">
        <v>520011</v>
      </c>
      <c r="L1327" s="6">
        <v>179786</v>
      </c>
      <c r="M1327" s="6">
        <v>2389677</v>
      </c>
      <c r="N1327" s="42">
        <v>1134240</v>
      </c>
      <c r="O1327" s="42"/>
      <c r="P1327" s="42">
        <v>99778</v>
      </c>
      <c r="Q1327" s="42">
        <v>234732</v>
      </c>
      <c r="R1327" s="42">
        <v>2640747</v>
      </c>
      <c r="S1327" s="39">
        <v>70590</v>
      </c>
      <c r="T1327" s="42">
        <v>557129</v>
      </c>
    </row>
    <row r="1328" spans="1:20" x14ac:dyDescent="0.3">
      <c r="A1328" s="7">
        <v>44228</v>
      </c>
      <c r="B1328" s="34"/>
      <c r="C1328" s="6">
        <v>140602</v>
      </c>
      <c r="D1328" s="6">
        <v>163626</v>
      </c>
      <c r="E1328" s="6">
        <v>161817</v>
      </c>
      <c r="F1328" s="14">
        <v>676150</v>
      </c>
      <c r="G1328" s="6">
        <v>192632</v>
      </c>
      <c r="H1328" s="6">
        <v>48666</v>
      </c>
      <c r="I1328" s="6">
        <v>50727</v>
      </c>
      <c r="J1328" s="6">
        <v>257105</v>
      </c>
      <c r="K1328" s="6">
        <v>528264</v>
      </c>
      <c r="L1328" s="6">
        <v>184832</v>
      </c>
      <c r="M1328" s="6">
        <v>2366919</v>
      </c>
      <c r="N1328" s="42">
        <v>1134253</v>
      </c>
      <c r="O1328" s="42"/>
      <c r="P1328" s="42">
        <v>97335</v>
      </c>
      <c r="Q1328" s="42">
        <v>228973</v>
      </c>
      <c r="R1328" s="42">
        <v>2660259</v>
      </c>
      <c r="S1328" s="39">
        <v>73387</v>
      </c>
      <c r="T1328" s="42">
        <v>559058</v>
      </c>
    </row>
    <row r="1329" spans="1:20" x14ac:dyDescent="0.3">
      <c r="A1329" s="7">
        <v>44225</v>
      </c>
      <c r="B1329" s="33"/>
      <c r="C1329" s="6">
        <v>140556</v>
      </c>
      <c r="D1329" s="6">
        <v>159027</v>
      </c>
      <c r="E1329" s="6">
        <v>162579</v>
      </c>
      <c r="F1329" s="14">
        <v>673813</v>
      </c>
      <c r="G1329" s="6">
        <v>197595</v>
      </c>
      <c r="H1329" s="6">
        <v>48822</v>
      </c>
      <c r="I1329" s="6">
        <v>48631</v>
      </c>
      <c r="J1329" s="6">
        <v>258220</v>
      </c>
      <c r="K1329" s="6">
        <v>520668</v>
      </c>
      <c r="L1329" s="6">
        <v>179138</v>
      </c>
      <c r="M1329" s="6">
        <v>2348413</v>
      </c>
      <c r="N1329" s="42">
        <v>1117622</v>
      </c>
      <c r="O1329" s="42"/>
      <c r="P1329" s="42">
        <v>96713</v>
      </c>
      <c r="Q1329" s="42">
        <v>224122</v>
      </c>
      <c r="R1329" s="42">
        <v>2670768</v>
      </c>
      <c r="S1329" s="39">
        <v>70560</v>
      </c>
      <c r="T1329" s="42">
        <v>557672</v>
      </c>
    </row>
    <row r="1330" spans="1:20" x14ac:dyDescent="0.3">
      <c r="A1330" s="7">
        <v>44224</v>
      </c>
      <c r="B1330" s="33"/>
      <c r="C1330" s="6">
        <v>141097</v>
      </c>
      <c r="D1330" s="6">
        <v>155860</v>
      </c>
      <c r="E1330" s="6">
        <v>168853</v>
      </c>
      <c r="F1330" s="14">
        <v>678293</v>
      </c>
      <c r="G1330" s="6">
        <v>200705</v>
      </c>
      <c r="H1330" s="6">
        <v>47948</v>
      </c>
      <c r="I1330" s="6">
        <v>48098</v>
      </c>
      <c r="J1330" s="6">
        <v>256353</v>
      </c>
      <c r="K1330" s="6">
        <v>536272</v>
      </c>
      <c r="L1330" s="6">
        <v>177333</v>
      </c>
      <c r="M1330" s="6">
        <v>2338824</v>
      </c>
      <c r="N1330" s="42">
        <v>1115767</v>
      </c>
      <c r="O1330" s="42"/>
      <c r="P1330" s="42">
        <v>96403</v>
      </c>
      <c r="Q1330" s="42">
        <v>224873</v>
      </c>
      <c r="R1330" s="42">
        <v>2646998</v>
      </c>
      <c r="S1330" s="39">
        <v>71496</v>
      </c>
      <c r="T1330" s="42">
        <v>559935</v>
      </c>
    </row>
    <row r="1331" spans="1:20" x14ac:dyDescent="0.3">
      <c r="A1331" s="7">
        <v>44223</v>
      </c>
      <c r="B1331" s="33"/>
      <c r="C1331" s="6">
        <v>142887</v>
      </c>
      <c r="D1331" s="6">
        <v>154740</v>
      </c>
      <c r="E1331" s="6">
        <v>165809</v>
      </c>
      <c r="F1331" s="14">
        <v>683137</v>
      </c>
      <c r="G1331" s="6">
        <v>195224</v>
      </c>
      <c r="H1331" s="6">
        <v>46445</v>
      </c>
      <c r="I1331" s="6">
        <v>48670</v>
      </c>
      <c r="J1331" s="6">
        <v>252355</v>
      </c>
      <c r="K1331" s="6">
        <v>533657</v>
      </c>
      <c r="L1331" s="6">
        <v>167853</v>
      </c>
      <c r="M1331" s="6">
        <v>2344277</v>
      </c>
      <c r="N1331" s="42">
        <v>1129359</v>
      </c>
      <c r="O1331" s="42"/>
      <c r="P1331" s="42">
        <v>96786</v>
      </c>
      <c r="Q1331" s="42">
        <v>226763</v>
      </c>
      <c r="R1331" s="42">
        <v>2646512</v>
      </c>
      <c r="S1331" s="39">
        <v>71888</v>
      </c>
      <c r="T1331" s="42">
        <v>556777</v>
      </c>
    </row>
    <row r="1332" spans="1:20" x14ac:dyDescent="0.3">
      <c r="A1332" s="7">
        <v>44222</v>
      </c>
      <c r="B1332" s="33"/>
      <c r="C1332" s="6">
        <v>143073</v>
      </c>
      <c r="D1332" s="6">
        <v>154558</v>
      </c>
      <c r="E1332" s="6">
        <v>168896</v>
      </c>
      <c r="F1332" s="14">
        <v>677432</v>
      </c>
      <c r="G1332" s="6">
        <v>193822</v>
      </c>
      <c r="H1332" s="6">
        <v>46804</v>
      </c>
      <c r="I1332" s="6">
        <v>48337</v>
      </c>
      <c r="J1332" s="6">
        <v>256365</v>
      </c>
      <c r="K1332" s="6">
        <v>534574</v>
      </c>
      <c r="L1332" s="6">
        <v>167880</v>
      </c>
      <c r="M1332" s="6">
        <v>2316660</v>
      </c>
      <c r="N1332" s="42">
        <v>1124803</v>
      </c>
      <c r="O1332" s="42"/>
      <c r="P1332" s="42">
        <v>89513</v>
      </c>
      <c r="Q1332" s="42">
        <v>232059</v>
      </c>
      <c r="R1332" s="42">
        <v>2617305</v>
      </c>
      <c r="S1332" s="39">
        <v>71439</v>
      </c>
      <c r="T1332" s="42">
        <v>558878</v>
      </c>
    </row>
    <row r="1333" spans="1:20" x14ac:dyDescent="0.3">
      <c r="A1333" s="7">
        <v>44221</v>
      </c>
      <c r="B1333" s="34"/>
      <c r="C1333" s="6">
        <v>141611</v>
      </c>
      <c r="D1333" s="6">
        <v>151289</v>
      </c>
      <c r="E1333" s="6">
        <v>167464</v>
      </c>
      <c r="F1333" s="14">
        <v>679454</v>
      </c>
      <c r="G1333" s="6">
        <v>193116</v>
      </c>
      <c r="H1333" s="6">
        <v>46436</v>
      </c>
      <c r="I1333" s="6">
        <v>48353</v>
      </c>
      <c r="J1333" s="6">
        <v>254801</v>
      </c>
      <c r="K1333" s="6">
        <v>551108</v>
      </c>
      <c r="L1333" s="6">
        <v>167748</v>
      </c>
      <c r="M1333" s="6">
        <v>2305820</v>
      </c>
      <c r="N1333" s="42">
        <v>1136423</v>
      </c>
      <c r="O1333" s="42"/>
      <c r="P1333" s="42">
        <v>89079</v>
      </c>
      <c r="Q1333" s="42">
        <v>231819</v>
      </c>
      <c r="R1333" s="42">
        <v>2620125</v>
      </c>
      <c r="S1333" s="39">
        <v>72376</v>
      </c>
      <c r="T1333" s="42">
        <v>559148</v>
      </c>
    </row>
    <row r="1334" spans="1:20" x14ac:dyDescent="0.3">
      <c r="A1334" s="7">
        <v>44218</v>
      </c>
      <c r="B1334" s="33"/>
      <c r="C1334" s="6">
        <v>140410</v>
      </c>
      <c r="D1334" s="6">
        <v>150490</v>
      </c>
      <c r="E1334" s="6">
        <v>162718</v>
      </c>
      <c r="F1334" s="14">
        <v>678426</v>
      </c>
      <c r="G1334" s="6">
        <v>194618</v>
      </c>
      <c r="H1334" s="6">
        <v>45253</v>
      </c>
      <c r="I1334" s="6">
        <v>48685</v>
      </c>
      <c r="J1334" s="6">
        <v>254517</v>
      </c>
      <c r="K1334" s="6">
        <v>550154</v>
      </c>
      <c r="L1334" s="6">
        <v>168235</v>
      </c>
      <c r="M1334" s="6">
        <v>2292559</v>
      </c>
      <c r="N1334" s="42">
        <v>1132824</v>
      </c>
      <c r="O1334" s="42"/>
      <c r="P1334" s="42">
        <v>89045</v>
      </c>
      <c r="Q1334" s="42">
        <v>233095</v>
      </c>
      <c r="R1334" s="42">
        <v>2606433</v>
      </c>
      <c r="S1334" s="39">
        <v>71030</v>
      </c>
      <c r="T1334" s="42">
        <v>558062</v>
      </c>
    </row>
    <row r="1335" spans="1:20" x14ac:dyDescent="0.3">
      <c r="A1335" s="7">
        <v>44217</v>
      </c>
      <c r="B1335" s="34"/>
      <c r="C1335" s="6">
        <v>141815</v>
      </c>
      <c r="D1335" s="6">
        <v>153203</v>
      </c>
      <c r="E1335" s="6">
        <v>162792</v>
      </c>
      <c r="F1335" s="14">
        <v>682718</v>
      </c>
      <c r="G1335" s="6">
        <v>193698</v>
      </c>
      <c r="H1335" s="6">
        <v>45636</v>
      </c>
      <c r="I1335" s="6">
        <v>48643</v>
      </c>
      <c r="J1335" s="6">
        <v>255539</v>
      </c>
      <c r="K1335" s="6">
        <v>545101</v>
      </c>
      <c r="L1335" s="6">
        <v>169897</v>
      </c>
      <c r="M1335" s="6">
        <v>2280577</v>
      </c>
      <c r="N1335" s="42">
        <v>1141825</v>
      </c>
      <c r="O1335" s="42"/>
      <c r="P1335" s="42">
        <v>90696</v>
      </c>
      <c r="Q1335" s="42">
        <v>236338</v>
      </c>
      <c r="R1335" s="42">
        <v>2616408</v>
      </c>
      <c r="S1335" s="39">
        <v>70610</v>
      </c>
      <c r="T1335" s="42">
        <v>554762</v>
      </c>
    </row>
    <row r="1336" spans="1:20" x14ac:dyDescent="0.3">
      <c r="A1336" s="7">
        <v>44216</v>
      </c>
      <c r="B1336" s="33"/>
      <c r="C1336" s="6">
        <v>142653</v>
      </c>
      <c r="D1336" s="6">
        <v>148976</v>
      </c>
      <c r="E1336" s="6">
        <v>163446</v>
      </c>
      <c r="F1336" s="14">
        <v>672752</v>
      </c>
      <c r="G1336" s="6">
        <v>195632</v>
      </c>
      <c r="H1336" s="6">
        <v>46231</v>
      </c>
      <c r="I1336" s="6">
        <v>48396</v>
      </c>
      <c r="J1336" s="6">
        <v>255150</v>
      </c>
      <c r="K1336" s="6">
        <v>549213</v>
      </c>
      <c r="L1336" s="6">
        <v>169107</v>
      </c>
      <c r="M1336" s="6">
        <v>2251603</v>
      </c>
      <c r="N1336" s="42">
        <v>1146749</v>
      </c>
      <c r="O1336" s="42"/>
      <c r="P1336" s="42">
        <v>88638</v>
      </c>
      <c r="Q1336" s="42">
        <v>238469</v>
      </c>
      <c r="R1336" s="42">
        <v>2603141</v>
      </c>
      <c r="S1336" s="39">
        <v>76965</v>
      </c>
      <c r="T1336" s="42">
        <v>555199</v>
      </c>
    </row>
    <row r="1337" spans="1:20" x14ac:dyDescent="0.3">
      <c r="A1337" s="7">
        <v>44215</v>
      </c>
      <c r="B1337" s="33"/>
      <c r="C1337" s="6">
        <v>144385</v>
      </c>
      <c r="D1337" s="6">
        <v>147549</v>
      </c>
      <c r="E1337" s="6">
        <v>154231</v>
      </c>
      <c r="F1337" s="14">
        <v>678080</v>
      </c>
      <c r="G1337" s="6">
        <v>192308</v>
      </c>
      <c r="H1337" s="6">
        <v>46244</v>
      </c>
      <c r="I1337" s="6">
        <v>48530</v>
      </c>
      <c r="J1337" s="6">
        <v>254998</v>
      </c>
      <c r="K1337" s="6">
        <v>541330</v>
      </c>
      <c r="L1337" s="6">
        <v>166896</v>
      </c>
      <c r="M1337" s="6">
        <v>2217037</v>
      </c>
      <c r="N1337" s="42">
        <v>1151501</v>
      </c>
      <c r="O1337" s="42"/>
      <c r="P1337" s="42">
        <v>86628</v>
      </c>
      <c r="Q1337" s="42">
        <v>235051</v>
      </c>
      <c r="R1337" s="42">
        <v>2599308</v>
      </c>
      <c r="S1337" s="39">
        <v>82185</v>
      </c>
      <c r="T1337" s="42">
        <v>556500</v>
      </c>
    </row>
    <row r="1338" spans="1:20" x14ac:dyDescent="0.3">
      <c r="A1338" s="7">
        <v>44211</v>
      </c>
      <c r="B1338" s="34"/>
      <c r="C1338" s="6">
        <v>145215</v>
      </c>
      <c r="D1338" s="6">
        <v>148968</v>
      </c>
      <c r="E1338" s="6">
        <v>158868</v>
      </c>
      <c r="F1338" s="14">
        <v>679973</v>
      </c>
      <c r="G1338" s="6">
        <v>195206</v>
      </c>
      <c r="H1338" s="6">
        <v>46120</v>
      </c>
      <c r="I1338" s="6">
        <v>48647</v>
      </c>
      <c r="J1338" s="6">
        <v>253121</v>
      </c>
      <c r="K1338" s="6">
        <v>545692</v>
      </c>
      <c r="L1338" s="6">
        <v>167614</v>
      </c>
      <c r="M1338" s="6">
        <v>2223929</v>
      </c>
      <c r="N1338" s="42">
        <v>1135405</v>
      </c>
      <c r="O1338" s="42"/>
      <c r="P1338" s="42">
        <v>86456</v>
      </c>
      <c r="Q1338" s="42">
        <v>237387</v>
      </c>
      <c r="R1338" s="42">
        <v>2588897</v>
      </c>
      <c r="S1338" s="39">
        <v>86649</v>
      </c>
      <c r="T1338" s="42">
        <v>551058</v>
      </c>
    </row>
    <row r="1339" spans="1:20" x14ac:dyDescent="0.3">
      <c r="A1339" s="7">
        <v>44210</v>
      </c>
      <c r="B1339" s="33"/>
      <c r="C1339" s="6">
        <v>146122</v>
      </c>
      <c r="D1339" s="6">
        <v>152662</v>
      </c>
      <c r="E1339" s="6">
        <v>160798</v>
      </c>
      <c r="F1339" s="14">
        <v>680174</v>
      </c>
      <c r="G1339" s="6">
        <v>192620</v>
      </c>
      <c r="H1339" s="6">
        <v>46017</v>
      </c>
      <c r="I1339" s="6">
        <v>49106</v>
      </c>
      <c r="J1339" s="6">
        <v>255548</v>
      </c>
      <c r="K1339" s="6">
        <v>550682</v>
      </c>
      <c r="L1339" s="6">
        <v>168918</v>
      </c>
      <c r="M1339" s="6">
        <v>2237970</v>
      </c>
      <c r="N1339" s="42">
        <v>1132523</v>
      </c>
      <c r="O1339" s="42"/>
      <c r="P1339" s="42">
        <v>86986</v>
      </c>
      <c r="Q1339" s="42">
        <v>235122</v>
      </c>
      <c r="R1339" s="42">
        <v>2606698</v>
      </c>
      <c r="S1339" s="39">
        <v>79875</v>
      </c>
      <c r="T1339" s="42">
        <v>542957</v>
      </c>
    </row>
    <row r="1340" spans="1:20" x14ac:dyDescent="0.3">
      <c r="A1340" s="7">
        <v>44209</v>
      </c>
      <c r="B1340" s="33"/>
      <c r="C1340" s="6">
        <v>144801</v>
      </c>
      <c r="D1340" s="6">
        <v>153970</v>
      </c>
      <c r="E1340" s="6">
        <v>157022</v>
      </c>
      <c r="F1340" s="14">
        <v>679110</v>
      </c>
      <c r="G1340" s="6">
        <v>192262</v>
      </c>
      <c r="H1340" s="6">
        <v>45221</v>
      </c>
      <c r="I1340" s="6">
        <v>49903</v>
      </c>
      <c r="J1340" s="6">
        <v>250426</v>
      </c>
      <c r="K1340" s="6">
        <v>549650</v>
      </c>
      <c r="L1340" s="6">
        <v>169262</v>
      </c>
      <c r="M1340" s="6">
        <v>2237743</v>
      </c>
      <c r="N1340" s="42">
        <v>1124684</v>
      </c>
      <c r="O1340" s="42"/>
      <c r="P1340" s="42">
        <v>84657</v>
      </c>
      <c r="Q1340" s="42">
        <v>235589</v>
      </c>
      <c r="R1340" s="42">
        <v>2601385</v>
      </c>
      <c r="S1340" s="39">
        <v>81601</v>
      </c>
      <c r="T1340" s="42">
        <v>552576</v>
      </c>
    </row>
    <row r="1341" spans="1:20" x14ac:dyDescent="0.3">
      <c r="A1341" s="7">
        <v>44208</v>
      </c>
      <c r="B1341" s="33"/>
      <c r="C1341" s="6">
        <v>144614</v>
      </c>
      <c r="D1341" s="6">
        <v>152924</v>
      </c>
      <c r="E1341" s="6">
        <v>156675</v>
      </c>
      <c r="F1341" s="14">
        <v>677952</v>
      </c>
      <c r="G1341" s="6">
        <v>190811</v>
      </c>
      <c r="H1341" s="6">
        <v>44757</v>
      </c>
      <c r="I1341" s="6">
        <v>50164</v>
      </c>
      <c r="J1341" s="6">
        <v>251140</v>
      </c>
      <c r="K1341" s="6">
        <v>555538</v>
      </c>
      <c r="L1341" s="6">
        <v>170033</v>
      </c>
      <c r="M1341" s="6">
        <v>2234696</v>
      </c>
      <c r="N1341" s="42">
        <v>1127069</v>
      </c>
      <c r="O1341" s="42"/>
      <c r="P1341" s="42">
        <v>84211</v>
      </c>
      <c r="Q1341" s="42">
        <v>232289</v>
      </c>
      <c r="R1341" s="42">
        <v>2578114</v>
      </c>
      <c r="S1341" s="39">
        <v>77012</v>
      </c>
      <c r="T1341" s="42">
        <v>547681</v>
      </c>
    </row>
    <row r="1342" spans="1:20" x14ac:dyDescent="0.3">
      <c r="A1342" s="7">
        <v>44207</v>
      </c>
      <c r="B1342" s="33"/>
      <c r="C1342" s="6">
        <v>145184</v>
      </c>
      <c r="D1342" s="6">
        <v>145717</v>
      </c>
      <c r="E1342" s="6">
        <v>156961</v>
      </c>
      <c r="F1342" s="14">
        <v>676157</v>
      </c>
      <c r="G1342" s="6">
        <v>191407</v>
      </c>
      <c r="H1342" s="6">
        <v>44347</v>
      </c>
      <c r="I1342" s="6">
        <v>49804</v>
      </c>
      <c r="J1342" s="6">
        <v>252290</v>
      </c>
      <c r="K1342" s="6">
        <v>552545</v>
      </c>
      <c r="L1342" s="6">
        <v>169662</v>
      </c>
      <c r="M1342" s="6">
        <v>2226452</v>
      </c>
      <c r="N1342" s="42">
        <v>1128583</v>
      </c>
      <c r="O1342" s="42"/>
      <c r="P1342" s="42">
        <v>84288</v>
      </c>
      <c r="Q1342" s="42">
        <v>229818</v>
      </c>
      <c r="R1342" s="42">
        <v>2575341</v>
      </c>
      <c r="S1342" s="39">
        <v>72586</v>
      </c>
      <c r="T1342" s="42">
        <v>540057</v>
      </c>
    </row>
    <row r="1343" spans="1:20" x14ac:dyDescent="0.3">
      <c r="A1343" s="7">
        <v>44204</v>
      </c>
      <c r="B1343" s="33"/>
      <c r="C1343" s="6">
        <v>146106</v>
      </c>
      <c r="D1343" s="6">
        <v>145004</v>
      </c>
      <c r="E1343" s="6">
        <v>160507</v>
      </c>
      <c r="F1343" s="14">
        <v>674504</v>
      </c>
      <c r="G1343" s="6">
        <v>194227</v>
      </c>
      <c r="H1343" s="6">
        <v>45264</v>
      </c>
      <c r="I1343" s="6">
        <v>50038</v>
      </c>
      <c r="J1343" s="6">
        <v>258118</v>
      </c>
      <c r="K1343" s="6">
        <v>552907</v>
      </c>
      <c r="L1343" s="6">
        <v>168816</v>
      </c>
      <c r="M1343" s="6">
        <v>2234242</v>
      </c>
      <c r="N1343" s="42">
        <v>1138324</v>
      </c>
      <c r="O1343" s="42"/>
      <c r="P1343" s="42">
        <v>84298</v>
      </c>
      <c r="Q1343" s="42">
        <v>231002</v>
      </c>
      <c r="R1343" s="42">
        <v>2566504</v>
      </c>
      <c r="S1343" s="39">
        <v>68950</v>
      </c>
      <c r="T1343" s="42">
        <v>542378</v>
      </c>
    </row>
    <row r="1344" spans="1:20" x14ac:dyDescent="0.3">
      <c r="A1344" s="7">
        <v>44203</v>
      </c>
      <c r="B1344" s="33"/>
      <c r="C1344" s="6">
        <v>146114</v>
      </c>
      <c r="D1344" s="6">
        <v>144265</v>
      </c>
      <c r="E1344" s="6">
        <v>159870</v>
      </c>
      <c r="F1344" s="14">
        <v>671714</v>
      </c>
      <c r="G1344" s="6">
        <v>198528</v>
      </c>
      <c r="H1344" s="6">
        <v>45675</v>
      </c>
      <c r="I1344" s="6">
        <v>50143</v>
      </c>
      <c r="J1344" s="6">
        <v>261256</v>
      </c>
      <c r="K1344" s="6">
        <v>567167</v>
      </c>
      <c r="L1344" s="6">
        <v>175191</v>
      </c>
      <c r="M1344" s="6">
        <v>2198732</v>
      </c>
      <c r="N1344" s="42">
        <v>1154534</v>
      </c>
      <c r="O1344" s="42"/>
      <c r="P1344" s="42">
        <v>88254</v>
      </c>
      <c r="Q1344" s="42">
        <v>230641</v>
      </c>
      <c r="R1344" s="42">
        <v>2567217</v>
      </c>
      <c r="S1344" s="39">
        <v>70382</v>
      </c>
      <c r="T1344" s="42">
        <v>540331</v>
      </c>
    </row>
    <row r="1345" spans="1:20" x14ac:dyDescent="0.3">
      <c r="A1345" s="7">
        <v>44202</v>
      </c>
      <c r="B1345" s="33"/>
      <c r="C1345" s="6">
        <v>143733</v>
      </c>
      <c r="D1345" s="6">
        <v>142868</v>
      </c>
      <c r="E1345" s="6">
        <v>157998</v>
      </c>
      <c r="F1345" s="14">
        <v>673626</v>
      </c>
      <c r="G1345" s="6">
        <v>200516</v>
      </c>
      <c r="H1345" s="6">
        <v>46176</v>
      </c>
      <c r="I1345" s="6">
        <v>49111</v>
      </c>
      <c r="J1345" s="6">
        <v>259494</v>
      </c>
      <c r="K1345" s="6">
        <v>569263</v>
      </c>
      <c r="L1345" s="6">
        <v>175160</v>
      </c>
      <c r="M1345" s="6">
        <v>2180304</v>
      </c>
      <c r="N1345" s="42">
        <v>1164143</v>
      </c>
      <c r="O1345" s="42"/>
      <c r="P1345" s="42">
        <v>88413</v>
      </c>
      <c r="Q1345" s="42">
        <v>228364</v>
      </c>
      <c r="R1345" s="42">
        <v>2572244</v>
      </c>
      <c r="S1345" s="39">
        <v>67122</v>
      </c>
      <c r="T1345" s="42">
        <v>526292</v>
      </c>
    </row>
    <row r="1346" spans="1:20" x14ac:dyDescent="0.3">
      <c r="A1346" s="7">
        <v>44201</v>
      </c>
      <c r="B1346" s="33"/>
      <c r="C1346" s="6">
        <v>146093</v>
      </c>
      <c r="D1346" s="6">
        <v>143209</v>
      </c>
      <c r="E1346" s="6">
        <v>156124</v>
      </c>
      <c r="F1346" s="14">
        <v>673532</v>
      </c>
      <c r="G1346" s="6">
        <v>206963</v>
      </c>
      <c r="H1346" s="6">
        <v>47194</v>
      </c>
      <c r="I1346" s="6">
        <v>49028</v>
      </c>
      <c r="J1346" s="6">
        <v>256942</v>
      </c>
      <c r="K1346" s="6">
        <v>568888</v>
      </c>
      <c r="L1346" s="6">
        <v>176005</v>
      </c>
      <c r="M1346" s="6">
        <v>2169541</v>
      </c>
      <c r="N1346" s="42">
        <v>1162745</v>
      </c>
      <c r="O1346" s="42"/>
      <c r="P1346" s="42">
        <v>81200</v>
      </c>
      <c r="Q1346" s="42">
        <v>220898</v>
      </c>
      <c r="R1346" s="42">
        <v>2553480</v>
      </c>
      <c r="S1346" s="39">
        <v>73769</v>
      </c>
      <c r="T1346" s="42">
        <v>529996</v>
      </c>
    </row>
    <row r="1347" spans="1:20" x14ac:dyDescent="0.3">
      <c r="A1347" s="7">
        <v>44200</v>
      </c>
      <c r="B1347" s="34"/>
      <c r="C1347" s="6">
        <v>144266</v>
      </c>
      <c r="D1347" s="6">
        <v>143832</v>
      </c>
      <c r="E1347" s="6">
        <v>155177</v>
      </c>
      <c r="F1347" s="14">
        <v>672113</v>
      </c>
      <c r="G1347" s="6">
        <v>205407</v>
      </c>
      <c r="H1347" s="6">
        <v>46703</v>
      </c>
      <c r="I1347" s="6">
        <v>48873</v>
      </c>
      <c r="J1347" s="6">
        <v>251563</v>
      </c>
      <c r="K1347" s="6">
        <v>567400</v>
      </c>
      <c r="L1347" s="6">
        <v>174707</v>
      </c>
      <c r="M1347" s="6">
        <v>2173097</v>
      </c>
      <c r="N1347" s="42">
        <v>1172115</v>
      </c>
      <c r="O1347" s="42"/>
      <c r="P1347" s="42">
        <v>81791</v>
      </c>
      <c r="Q1347" s="42">
        <v>220752</v>
      </c>
      <c r="R1347" s="42">
        <v>2542201</v>
      </c>
      <c r="S1347" s="39">
        <v>68234</v>
      </c>
      <c r="T1347" s="42">
        <v>532655</v>
      </c>
    </row>
    <row r="1348" spans="1:20" x14ac:dyDescent="0.3">
      <c r="A1348" s="7">
        <v>44196</v>
      </c>
      <c r="B1348" s="33"/>
      <c r="C1348" s="6">
        <v>139672</v>
      </c>
      <c r="D1348" s="6">
        <v>141841</v>
      </c>
      <c r="E1348" s="6">
        <v>152913</v>
      </c>
      <c r="F1348" s="14">
        <v>670003</v>
      </c>
      <c r="G1348" s="6">
        <v>206071</v>
      </c>
      <c r="H1348" s="6">
        <v>47018</v>
      </c>
      <c r="I1348" s="6">
        <v>48395</v>
      </c>
      <c r="J1348" s="6">
        <v>247548</v>
      </c>
      <c r="K1348" s="6">
        <v>559736</v>
      </c>
      <c r="L1348" s="6">
        <v>171369</v>
      </c>
      <c r="M1348" s="6">
        <v>2150297</v>
      </c>
      <c r="N1348" s="42">
        <v>1165953</v>
      </c>
      <c r="O1348" s="42"/>
      <c r="P1348" s="42">
        <v>85021</v>
      </c>
      <c r="Q1348" s="42">
        <v>219842</v>
      </c>
      <c r="R1348" s="42">
        <v>2536099</v>
      </c>
      <c r="S1348" s="39">
        <v>66947</v>
      </c>
      <c r="T1348" s="42">
        <v>534451</v>
      </c>
    </row>
    <row r="1349" spans="1:20" x14ac:dyDescent="0.3">
      <c r="A1349" s="7">
        <v>44195</v>
      </c>
      <c r="B1349" s="33"/>
      <c r="C1349" s="6">
        <v>140189</v>
      </c>
      <c r="D1349" s="6">
        <v>141823</v>
      </c>
      <c r="E1349" s="6">
        <v>154622</v>
      </c>
      <c r="F1349" s="14">
        <v>670796</v>
      </c>
      <c r="G1349" s="6">
        <v>207610</v>
      </c>
      <c r="H1349" s="6">
        <v>47445</v>
      </c>
      <c r="I1349" s="6">
        <v>51181</v>
      </c>
      <c r="J1349" s="6">
        <v>247539</v>
      </c>
      <c r="K1349" s="6">
        <v>560723</v>
      </c>
      <c r="L1349" s="6">
        <v>171795</v>
      </c>
      <c r="M1349" s="6">
        <v>2144206</v>
      </c>
      <c r="N1349" s="42">
        <v>1157988</v>
      </c>
      <c r="O1349" s="42"/>
      <c r="P1349" s="42">
        <v>83927</v>
      </c>
      <c r="Q1349" s="42">
        <v>217989</v>
      </c>
      <c r="R1349" s="42">
        <v>2510847</v>
      </c>
      <c r="S1349" s="39">
        <v>66406</v>
      </c>
      <c r="T1349" s="42">
        <v>531916</v>
      </c>
    </row>
    <row r="1350" spans="1:20" x14ac:dyDescent="0.3">
      <c r="A1350" s="7">
        <v>44194</v>
      </c>
      <c r="B1350" s="33"/>
      <c r="C1350" s="6">
        <v>138309</v>
      </c>
      <c r="D1350" s="6">
        <v>139870</v>
      </c>
      <c r="E1350" s="6">
        <v>154464</v>
      </c>
      <c r="F1350" s="14">
        <v>671643</v>
      </c>
      <c r="G1350" s="6">
        <v>194454</v>
      </c>
      <c r="H1350" s="6">
        <v>47915</v>
      </c>
      <c r="I1350" s="6">
        <v>52404</v>
      </c>
      <c r="J1350" s="6">
        <v>247232</v>
      </c>
      <c r="K1350" s="6">
        <v>556414</v>
      </c>
      <c r="L1350" s="6">
        <v>170057</v>
      </c>
      <c r="M1350" s="6">
        <v>2121502</v>
      </c>
      <c r="N1350" s="42">
        <v>1162374</v>
      </c>
      <c r="O1350" s="42"/>
      <c r="P1350" s="42">
        <v>81838</v>
      </c>
      <c r="Q1350" s="42">
        <v>216887</v>
      </c>
      <c r="R1350" s="42">
        <v>2498905</v>
      </c>
      <c r="S1350" s="39">
        <v>68154</v>
      </c>
      <c r="T1350" s="42">
        <v>533960</v>
      </c>
    </row>
    <row r="1351" spans="1:20" x14ac:dyDescent="0.3">
      <c r="A1351" s="7">
        <v>44193</v>
      </c>
      <c r="B1351" s="35"/>
      <c r="C1351" s="6">
        <v>137254</v>
      </c>
      <c r="D1351" s="6">
        <v>141259</v>
      </c>
      <c r="E1351" s="6">
        <v>157821</v>
      </c>
      <c r="F1351" s="14">
        <v>671681</v>
      </c>
      <c r="G1351" s="6">
        <v>194179</v>
      </c>
      <c r="H1351" s="6">
        <v>48693</v>
      </c>
      <c r="I1351" s="6">
        <v>52705</v>
      </c>
      <c r="J1351" s="6">
        <v>245429</v>
      </c>
      <c r="K1351" s="6">
        <v>553119</v>
      </c>
      <c r="L1351" s="6">
        <v>171483</v>
      </c>
      <c r="M1351" s="6">
        <v>2122201</v>
      </c>
      <c r="N1351" s="42">
        <v>1163164</v>
      </c>
      <c r="O1351" s="42"/>
      <c r="P1351" s="42">
        <v>83839</v>
      </c>
      <c r="Q1351" s="42">
        <v>213218</v>
      </c>
      <c r="R1351" s="42">
        <v>2482151</v>
      </c>
      <c r="S1351" s="39">
        <v>69630</v>
      </c>
      <c r="T1351" s="42">
        <v>527697</v>
      </c>
    </row>
    <row r="1352" spans="1:20" x14ac:dyDescent="0.3">
      <c r="A1352" s="7">
        <v>44189</v>
      </c>
      <c r="B1352" s="34"/>
      <c r="C1352" s="6">
        <v>136563</v>
      </c>
      <c r="D1352" s="6">
        <v>144011</v>
      </c>
      <c r="E1352" s="6">
        <v>157101</v>
      </c>
      <c r="F1352" s="14">
        <v>672492</v>
      </c>
      <c r="G1352" s="6">
        <v>195493</v>
      </c>
      <c r="H1352" s="6">
        <v>48080</v>
      </c>
      <c r="I1352" s="6">
        <v>52672</v>
      </c>
      <c r="J1352" s="6">
        <v>245071</v>
      </c>
      <c r="K1352" s="6">
        <v>563260</v>
      </c>
      <c r="L1352" s="6">
        <v>168654</v>
      </c>
      <c r="M1352" s="6">
        <v>2116035</v>
      </c>
      <c r="N1352" s="42">
        <v>1171287</v>
      </c>
      <c r="O1352" s="42"/>
      <c r="P1352" s="42">
        <v>82399</v>
      </c>
      <c r="Q1352" s="42">
        <v>210829</v>
      </c>
      <c r="R1352" s="42">
        <v>2467113</v>
      </c>
      <c r="S1352" s="39">
        <v>68192</v>
      </c>
      <c r="T1352" s="42">
        <v>527372</v>
      </c>
    </row>
    <row r="1353" spans="1:20" x14ac:dyDescent="0.3">
      <c r="A1353" s="7">
        <v>44188</v>
      </c>
      <c r="B1353" s="33"/>
      <c r="C1353" s="6">
        <v>134834</v>
      </c>
      <c r="D1353" s="6">
        <v>145648</v>
      </c>
      <c r="E1353" s="6">
        <v>157070</v>
      </c>
      <c r="F1353" s="14">
        <v>672853</v>
      </c>
      <c r="G1353" s="6">
        <v>198529</v>
      </c>
      <c r="H1353" s="6">
        <v>48029</v>
      </c>
      <c r="I1353" s="6">
        <v>53356</v>
      </c>
      <c r="J1353" s="6">
        <v>246267</v>
      </c>
      <c r="K1353" s="6">
        <v>561816</v>
      </c>
      <c r="L1353" s="6">
        <v>168844</v>
      </c>
      <c r="M1353" s="6">
        <v>2119676</v>
      </c>
      <c r="N1353" s="42">
        <v>1174249</v>
      </c>
      <c r="O1353" s="42"/>
      <c r="P1353" s="42">
        <v>83310</v>
      </c>
      <c r="Q1353" s="42">
        <v>209745</v>
      </c>
      <c r="R1353" s="42">
        <v>2462441</v>
      </c>
      <c r="S1353" s="39">
        <v>69053</v>
      </c>
      <c r="T1353" s="42">
        <v>526865</v>
      </c>
    </row>
    <row r="1354" spans="1:20" x14ac:dyDescent="0.3">
      <c r="A1354" s="7">
        <v>44187</v>
      </c>
      <c r="B1354" s="33"/>
      <c r="C1354" s="6">
        <v>134276</v>
      </c>
      <c r="D1354" s="6">
        <v>145994</v>
      </c>
      <c r="E1354" s="6">
        <v>155197</v>
      </c>
      <c r="F1354" s="14">
        <v>669083</v>
      </c>
      <c r="G1354" s="6">
        <v>198975</v>
      </c>
      <c r="H1354" s="6">
        <v>49206</v>
      </c>
      <c r="I1354" s="6">
        <v>52794</v>
      </c>
      <c r="J1354" s="6">
        <v>247527</v>
      </c>
      <c r="K1354" s="6">
        <v>558067</v>
      </c>
      <c r="L1354" s="6">
        <v>168926</v>
      </c>
      <c r="M1354" s="6">
        <v>2116836</v>
      </c>
      <c r="N1354" s="42">
        <v>1185311</v>
      </c>
      <c r="O1354" s="42"/>
      <c r="P1354" s="42">
        <v>79029</v>
      </c>
      <c r="Q1354" s="42">
        <v>210798</v>
      </c>
      <c r="R1354" s="42">
        <v>2464183</v>
      </c>
      <c r="S1354" s="39">
        <v>68397</v>
      </c>
      <c r="T1354" s="42">
        <v>524685</v>
      </c>
    </row>
    <row r="1355" spans="1:20" x14ac:dyDescent="0.3">
      <c r="A1355" s="7">
        <v>44186</v>
      </c>
      <c r="B1355" s="34"/>
      <c r="C1355" s="6">
        <v>136013</v>
      </c>
      <c r="D1355" s="6">
        <v>144606</v>
      </c>
      <c r="E1355" s="6">
        <v>156597</v>
      </c>
      <c r="F1355" s="14">
        <v>659499</v>
      </c>
      <c r="G1355" s="6">
        <v>196845</v>
      </c>
      <c r="H1355" s="6">
        <v>48309</v>
      </c>
      <c r="I1355" s="6">
        <v>53305</v>
      </c>
      <c r="J1355" s="6">
        <v>248003</v>
      </c>
      <c r="K1355" s="6">
        <v>560769</v>
      </c>
      <c r="L1355" s="6">
        <v>171398</v>
      </c>
      <c r="M1355" s="6">
        <v>2120797</v>
      </c>
      <c r="N1355" s="42">
        <v>1191197</v>
      </c>
      <c r="O1355" s="42"/>
      <c r="P1355" s="42">
        <v>81544</v>
      </c>
      <c r="Q1355" s="42">
        <v>212706</v>
      </c>
      <c r="R1355" s="42">
        <v>2475909</v>
      </c>
      <c r="S1355" s="39">
        <v>70444</v>
      </c>
      <c r="T1355" s="42">
        <v>631624</v>
      </c>
    </row>
    <row r="1356" spans="1:20" x14ac:dyDescent="0.3">
      <c r="A1356" s="7">
        <v>44183</v>
      </c>
      <c r="B1356" s="33"/>
      <c r="C1356" s="6">
        <v>131931</v>
      </c>
      <c r="D1356" s="6">
        <v>147197</v>
      </c>
      <c r="E1356" s="6">
        <v>158125</v>
      </c>
      <c r="F1356" s="14">
        <v>662405</v>
      </c>
      <c r="G1356" s="6">
        <v>197094</v>
      </c>
      <c r="H1356" s="6">
        <v>48614</v>
      </c>
      <c r="I1356" s="6">
        <v>51401</v>
      </c>
      <c r="J1356" s="6">
        <v>248569</v>
      </c>
      <c r="K1356" s="6">
        <v>562734</v>
      </c>
      <c r="L1356" s="6">
        <v>171999</v>
      </c>
      <c r="M1356" s="6">
        <v>2141726</v>
      </c>
      <c r="N1356" s="42">
        <v>1198204</v>
      </c>
      <c r="O1356" s="42"/>
      <c r="P1356" s="42">
        <v>106540</v>
      </c>
      <c r="Q1356" s="42">
        <v>270881</v>
      </c>
      <c r="R1356" s="42">
        <v>3016965</v>
      </c>
      <c r="S1356" s="39">
        <v>54137</v>
      </c>
      <c r="T1356" s="42">
        <v>629950</v>
      </c>
    </row>
    <row r="1357" spans="1:20" x14ac:dyDescent="0.3">
      <c r="A1357" s="7">
        <v>44182</v>
      </c>
      <c r="B1357" s="34"/>
      <c r="C1357" s="6">
        <v>133663</v>
      </c>
      <c r="D1357" s="6">
        <v>149484</v>
      </c>
      <c r="E1357" s="6">
        <v>157449</v>
      </c>
      <c r="F1357" s="14">
        <v>663002</v>
      </c>
      <c r="G1357" s="6">
        <v>204819</v>
      </c>
      <c r="H1357" s="6">
        <v>48643</v>
      </c>
      <c r="I1357" s="6">
        <v>52238</v>
      </c>
      <c r="J1357" s="6">
        <v>248915</v>
      </c>
      <c r="K1357" s="6">
        <v>562093</v>
      </c>
      <c r="L1357" s="6">
        <v>169980</v>
      </c>
      <c r="M1357" s="6">
        <v>2149551</v>
      </c>
      <c r="N1357" s="42">
        <v>1193122</v>
      </c>
      <c r="O1357" s="42"/>
      <c r="P1357" s="42">
        <v>106448</v>
      </c>
      <c r="Q1357" s="42">
        <v>270641</v>
      </c>
      <c r="R1357" s="42">
        <v>3039829</v>
      </c>
      <c r="S1357" s="39">
        <v>61467</v>
      </c>
      <c r="T1357" s="42">
        <v>632539</v>
      </c>
    </row>
    <row r="1358" spans="1:20" x14ac:dyDescent="0.3">
      <c r="A1358" s="7">
        <v>44181</v>
      </c>
      <c r="B1358" s="33"/>
      <c r="C1358" s="6">
        <v>128214</v>
      </c>
      <c r="D1358" s="6">
        <v>147322</v>
      </c>
      <c r="E1358" s="6">
        <v>156373</v>
      </c>
      <c r="F1358" s="14">
        <v>661920</v>
      </c>
      <c r="G1358" s="6">
        <v>196999</v>
      </c>
      <c r="H1358" s="6">
        <v>48489</v>
      </c>
      <c r="I1358" s="6">
        <v>49392</v>
      </c>
      <c r="J1358" s="6">
        <v>246747</v>
      </c>
      <c r="K1358" s="6">
        <v>553928</v>
      </c>
      <c r="L1358" s="6">
        <v>163433</v>
      </c>
      <c r="M1358" s="6">
        <v>2133376</v>
      </c>
      <c r="N1358" s="42">
        <v>1196294</v>
      </c>
      <c r="O1358" s="42"/>
      <c r="P1358" s="42">
        <v>108599</v>
      </c>
      <c r="Q1358" s="42">
        <v>274675</v>
      </c>
      <c r="R1358" s="42">
        <v>3069269</v>
      </c>
      <c r="S1358" s="39">
        <v>65667</v>
      </c>
      <c r="T1358" s="42">
        <v>632403</v>
      </c>
    </row>
    <row r="1359" spans="1:20" x14ac:dyDescent="0.3">
      <c r="A1359" s="7">
        <v>44180</v>
      </c>
      <c r="B1359" s="33"/>
      <c r="C1359" s="6">
        <v>163012</v>
      </c>
      <c r="D1359" s="6">
        <v>172773</v>
      </c>
      <c r="E1359" s="6">
        <v>196230</v>
      </c>
      <c r="F1359" s="14">
        <v>767386</v>
      </c>
      <c r="G1359" s="6">
        <v>267459</v>
      </c>
      <c r="H1359" s="6">
        <v>70201</v>
      </c>
      <c r="I1359" s="6">
        <v>60649</v>
      </c>
      <c r="J1359" s="6">
        <v>244491</v>
      </c>
      <c r="K1359" s="6">
        <v>550366</v>
      </c>
      <c r="L1359" s="6">
        <v>158268</v>
      </c>
      <c r="M1359" s="6">
        <v>2154618</v>
      </c>
      <c r="N1359" s="42">
        <v>1195295</v>
      </c>
      <c r="O1359" s="42"/>
      <c r="P1359" s="42">
        <v>107174</v>
      </c>
      <c r="Q1359" s="42">
        <v>276828</v>
      </c>
      <c r="R1359" s="42">
        <v>2999769</v>
      </c>
      <c r="S1359" s="39">
        <v>62369</v>
      </c>
      <c r="T1359" s="42">
        <v>616719</v>
      </c>
    </row>
    <row r="1360" spans="1:20" x14ac:dyDescent="0.3">
      <c r="A1360" s="7">
        <v>44179</v>
      </c>
      <c r="B1360" s="33"/>
      <c r="C1360" s="6">
        <v>161978</v>
      </c>
      <c r="D1360" s="6">
        <v>170147</v>
      </c>
      <c r="E1360" s="6">
        <v>198817</v>
      </c>
      <c r="F1360" s="14">
        <v>764971</v>
      </c>
      <c r="G1360" s="6">
        <v>267802</v>
      </c>
      <c r="H1360" s="6">
        <v>70106</v>
      </c>
      <c r="I1360" s="6">
        <v>61254</v>
      </c>
      <c r="J1360" s="6">
        <v>244352</v>
      </c>
      <c r="K1360" s="6">
        <v>545438</v>
      </c>
      <c r="L1360" s="6">
        <v>154589</v>
      </c>
      <c r="M1360" s="6">
        <v>2152658</v>
      </c>
      <c r="N1360" s="42">
        <v>1198814</v>
      </c>
      <c r="O1360" s="42"/>
      <c r="P1360" s="42">
        <v>107917</v>
      </c>
      <c r="Q1360" s="42">
        <v>264309</v>
      </c>
      <c r="R1360" s="42">
        <v>2937661</v>
      </c>
      <c r="S1360" s="5">
        <v>54067</v>
      </c>
      <c r="T1360" s="42">
        <v>591745</v>
      </c>
    </row>
    <row r="1361" spans="1:20" x14ac:dyDescent="0.3">
      <c r="A1361" s="7">
        <v>44176</v>
      </c>
      <c r="B1361" s="5"/>
      <c r="C1361" s="6">
        <v>158284</v>
      </c>
      <c r="D1361" s="6">
        <v>170403</v>
      </c>
      <c r="E1361" s="6">
        <v>187268</v>
      </c>
      <c r="F1361" s="14">
        <v>769235</v>
      </c>
      <c r="G1361" s="6">
        <v>267096</v>
      </c>
      <c r="H1361" s="6">
        <v>70229</v>
      </c>
      <c r="I1361" s="6">
        <v>60822</v>
      </c>
      <c r="J1361" s="6">
        <v>244655</v>
      </c>
      <c r="K1361" s="6">
        <v>546007</v>
      </c>
      <c r="L1361" s="6">
        <v>154857</v>
      </c>
      <c r="M1361" s="6">
        <v>2155425</v>
      </c>
      <c r="N1361" s="42">
        <v>1201367</v>
      </c>
      <c r="O1361" s="42"/>
      <c r="P1361" s="42">
        <v>106727</v>
      </c>
      <c r="Q1361" s="42">
        <v>256889</v>
      </c>
      <c r="R1361" s="42">
        <v>2811425</v>
      </c>
      <c r="S1361" s="5">
        <v>63459</v>
      </c>
      <c r="T1361" s="42">
        <v>564471</v>
      </c>
    </row>
    <row r="1362" spans="1:20" x14ac:dyDescent="0.3">
      <c r="A1362" s="7">
        <v>44175</v>
      </c>
      <c r="B1362" s="5"/>
      <c r="C1362" s="6">
        <v>158528</v>
      </c>
      <c r="D1362" s="6">
        <v>161337</v>
      </c>
      <c r="E1362" s="6">
        <v>180027</v>
      </c>
      <c r="F1362" s="14">
        <v>731658</v>
      </c>
      <c r="G1362" s="6">
        <v>265689</v>
      </c>
      <c r="H1362" s="6">
        <v>74132</v>
      </c>
      <c r="I1362" s="6">
        <v>61002</v>
      </c>
      <c r="J1362" s="6">
        <v>250054</v>
      </c>
      <c r="K1362" s="6">
        <v>542699</v>
      </c>
      <c r="L1362" s="6">
        <v>154297</v>
      </c>
      <c r="M1362" s="6">
        <v>2134492</v>
      </c>
      <c r="N1362" s="42">
        <v>1193215</v>
      </c>
      <c r="O1362" s="42"/>
      <c r="P1362" s="42">
        <v>101201</v>
      </c>
      <c r="Q1362" s="42">
        <v>244674</v>
      </c>
      <c r="R1362" s="42">
        <v>2750921</v>
      </c>
      <c r="S1362" s="5">
        <v>68216</v>
      </c>
      <c r="T1362" s="42">
        <v>557052</v>
      </c>
    </row>
    <row r="1363" spans="1:20" x14ac:dyDescent="0.3">
      <c r="A1363" s="7">
        <v>44174</v>
      </c>
      <c r="B1363" s="5"/>
      <c r="C1363" s="6">
        <v>159056</v>
      </c>
      <c r="D1363" s="6">
        <v>165941</v>
      </c>
      <c r="E1363" s="6">
        <v>165898</v>
      </c>
      <c r="F1363" s="14">
        <v>693457</v>
      </c>
      <c r="G1363" s="6">
        <v>231821</v>
      </c>
      <c r="H1363" s="6">
        <v>70293</v>
      </c>
      <c r="I1363" s="6">
        <v>55944</v>
      </c>
      <c r="J1363" s="6">
        <v>244828</v>
      </c>
      <c r="K1363" s="6">
        <v>544569</v>
      </c>
      <c r="L1363" s="6">
        <v>153833</v>
      </c>
      <c r="M1363" s="6">
        <v>2115098</v>
      </c>
      <c r="N1363" s="42">
        <v>1196073</v>
      </c>
      <c r="O1363" s="42"/>
      <c r="P1363" s="42">
        <v>101186</v>
      </c>
      <c r="Q1363" s="42">
        <v>238176</v>
      </c>
      <c r="R1363" s="42">
        <v>2697762</v>
      </c>
      <c r="S1363" s="5">
        <v>75582</v>
      </c>
      <c r="T1363" s="42">
        <v>558588</v>
      </c>
    </row>
    <row r="1364" spans="1:20" x14ac:dyDescent="0.3">
      <c r="A1364" s="7">
        <v>44173</v>
      </c>
      <c r="B1364" s="5"/>
      <c r="C1364" s="6">
        <v>160280</v>
      </c>
      <c r="D1364" s="6">
        <v>164184</v>
      </c>
      <c r="E1364" s="6">
        <v>163589</v>
      </c>
      <c r="F1364" s="14">
        <v>683351</v>
      </c>
      <c r="G1364" s="6">
        <v>193326</v>
      </c>
      <c r="H1364" s="6">
        <v>61261</v>
      </c>
      <c r="I1364" s="6">
        <v>54922</v>
      </c>
      <c r="J1364" s="6">
        <v>242850</v>
      </c>
      <c r="K1364" s="6">
        <v>549520</v>
      </c>
      <c r="L1364" s="6">
        <v>154821</v>
      </c>
      <c r="M1364" s="6">
        <v>2131913</v>
      </c>
      <c r="N1364" s="42">
        <v>1198018</v>
      </c>
      <c r="O1364" s="42"/>
      <c r="P1364" s="42">
        <v>102716</v>
      </c>
      <c r="Q1364" s="42">
        <v>244507</v>
      </c>
      <c r="R1364" s="42">
        <v>2715113</v>
      </c>
      <c r="S1364" s="5">
        <v>68357</v>
      </c>
      <c r="T1364" s="42">
        <v>551233</v>
      </c>
    </row>
    <row r="1365" spans="1:20" x14ac:dyDescent="0.3">
      <c r="A1365" s="7">
        <v>44172</v>
      </c>
      <c r="B1365" s="5"/>
      <c r="C1365" s="6">
        <v>152121</v>
      </c>
      <c r="D1365" s="6">
        <v>162789</v>
      </c>
      <c r="E1365" s="6">
        <v>157331</v>
      </c>
      <c r="F1365" s="14">
        <v>685319</v>
      </c>
      <c r="G1365" s="6">
        <v>193962</v>
      </c>
      <c r="H1365" s="6">
        <v>59586</v>
      </c>
      <c r="I1365" s="6">
        <v>54699</v>
      </c>
      <c r="J1365" s="6">
        <v>244520</v>
      </c>
      <c r="K1365" s="6">
        <v>547723</v>
      </c>
      <c r="L1365" s="6">
        <v>154580</v>
      </c>
      <c r="M1365" s="6">
        <v>2133246</v>
      </c>
      <c r="N1365" s="42">
        <v>1212005</v>
      </c>
      <c r="O1365" s="42"/>
      <c r="P1365" s="42">
        <v>99810</v>
      </c>
      <c r="Q1365" s="42">
        <v>244441</v>
      </c>
      <c r="R1365" s="42">
        <v>2686723</v>
      </c>
      <c r="S1365" s="5">
        <v>102037</v>
      </c>
      <c r="T1365" s="42">
        <v>554815</v>
      </c>
    </row>
    <row r="1366" spans="1:20" x14ac:dyDescent="0.3">
      <c r="A1366" s="7">
        <v>44169</v>
      </c>
      <c r="B1366" s="5"/>
      <c r="C1366" s="6">
        <v>150520</v>
      </c>
      <c r="D1366" s="6">
        <v>154717</v>
      </c>
      <c r="E1366" s="6">
        <v>149895</v>
      </c>
      <c r="F1366" s="14">
        <v>682760</v>
      </c>
      <c r="G1366" s="6">
        <v>190422</v>
      </c>
      <c r="H1366" s="6">
        <v>57605</v>
      </c>
      <c r="I1366" s="6">
        <v>53799</v>
      </c>
      <c r="J1366" s="6">
        <v>244478</v>
      </c>
      <c r="K1366" s="6">
        <v>539242</v>
      </c>
      <c r="L1366" s="6">
        <v>152295</v>
      </c>
      <c r="M1366" s="6">
        <v>2161628</v>
      </c>
      <c r="N1366" s="42">
        <v>1219580</v>
      </c>
      <c r="O1366" s="42"/>
      <c r="P1366" s="42">
        <v>102915</v>
      </c>
      <c r="Q1366" s="42">
        <v>243951</v>
      </c>
      <c r="R1366" s="42">
        <v>2659405</v>
      </c>
      <c r="S1366" s="5">
        <v>111584</v>
      </c>
      <c r="T1366" s="42">
        <v>550691</v>
      </c>
    </row>
    <row r="1367" spans="1:20" x14ac:dyDescent="0.3">
      <c r="A1367" s="7">
        <v>44168</v>
      </c>
      <c r="B1367" s="5"/>
      <c r="C1367" s="6">
        <v>135654</v>
      </c>
      <c r="D1367" s="6">
        <v>157414</v>
      </c>
      <c r="E1367" s="6">
        <v>151271</v>
      </c>
      <c r="F1367" s="14">
        <v>659899</v>
      </c>
      <c r="G1367" s="6">
        <v>191151</v>
      </c>
      <c r="H1367" s="6">
        <v>57964</v>
      </c>
      <c r="I1367" s="6">
        <v>53896</v>
      </c>
      <c r="J1367" s="6">
        <v>246091</v>
      </c>
      <c r="K1367" s="6">
        <v>540237</v>
      </c>
      <c r="L1367" s="6">
        <v>151397</v>
      </c>
      <c r="M1367" s="6">
        <v>2152736</v>
      </c>
      <c r="N1367" s="42">
        <v>1219575</v>
      </c>
      <c r="O1367" s="42"/>
      <c r="P1367" s="42">
        <v>98551</v>
      </c>
      <c r="Q1367" s="42">
        <v>246059</v>
      </c>
      <c r="R1367" s="42">
        <v>2643903</v>
      </c>
      <c r="S1367" s="5">
        <v>111304</v>
      </c>
      <c r="T1367" s="42">
        <v>552192</v>
      </c>
    </row>
    <row r="1368" spans="1:20" x14ac:dyDescent="0.3">
      <c r="A1368" s="7">
        <v>44167</v>
      </c>
      <c r="B1368" s="5"/>
      <c r="C1368" s="6">
        <v>133676</v>
      </c>
      <c r="D1368" s="6">
        <v>152487</v>
      </c>
      <c r="E1368" s="6">
        <v>147874</v>
      </c>
      <c r="F1368" s="14">
        <v>657301</v>
      </c>
      <c r="G1368" s="6">
        <v>186197</v>
      </c>
      <c r="H1368" s="6">
        <v>55744</v>
      </c>
      <c r="I1368" s="6">
        <v>52346</v>
      </c>
      <c r="J1368" s="6">
        <v>242502</v>
      </c>
      <c r="K1368" s="6">
        <v>538511</v>
      </c>
      <c r="L1368" s="6">
        <v>151687</v>
      </c>
      <c r="M1368" s="6">
        <v>2137707</v>
      </c>
      <c r="N1368" s="42">
        <v>1215222</v>
      </c>
      <c r="O1368" s="42"/>
      <c r="P1368" s="42">
        <v>96452</v>
      </c>
      <c r="Q1368" s="42">
        <v>245148</v>
      </c>
      <c r="R1368" s="42">
        <v>2629485</v>
      </c>
      <c r="S1368" s="5">
        <v>92093</v>
      </c>
      <c r="T1368" s="42">
        <v>553764</v>
      </c>
    </row>
    <row r="1369" spans="1:20" x14ac:dyDescent="0.3">
      <c r="A1369" s="7">
        <v>44166</v>
      </c>
      <c r="B1369" s="5"/>
      <c r="C1369" s="6">
        <v>130727</v>
      </c>
      <c r="D1369" s="6">
        <v>146966</v>
      </c>
      <c r="E1369" s="6">
        <v>147803</v>
      </c>
      <c r="F1369" s="14">
        <v>654257</v>
      </c>
      <c r="G1369" s="6">
        <v>185873</v>
      </c>
      <c r="H1369" s="6">
        <v>55345</v>
      </c>
      <c r="I1369" s="6">
        <v>51683</v>
      </c>
      <c r="J1369" s="6">
        <v>240738</v>
      </c>
      <c r="K1369" s="6">
        <v>538042</v>
      </c>
      <c r="L1369" s="6">
        <v>152372</v>
      </c>
      <c r="M1369" s="6">
        <v>2122605</v>
      </c>
      <c r="N1369" s="42">
        <v>1209723</v>
      </c>
      <c r="O1369" s="42"/>
      <c r="P1369" s="42">
        <v>94068</v>
      </c>
      <c r="Q1369" s="42">
        <v>245965</v>
      </c>
      <c r="R1369" s="42">
        <v>2617521</v>
      </c>
      <c r="S1369" s="5">
        <v>86629</v>
      </c>
      <c r="T1369" s="42">
        <v>550911</v>
      </c>
    </row>
    <row r="1370" spans="1:20" x14ac:dyDescent="0.3">
      <c r="A1370" s="7">
        <v>44165</v>
      </c>
      <c r="B1370" s="5"/>
      <c r="C1370" s="6">
        <v>131162</v>
      </c>
      <c r="D1370" s="6">
        <v>143758</v>
      </c>
      <c r="E1370" s="6">
        <v>143309</v>
      </c>
      <c r="F1370" s="14">
        <v>642434</v>
      </c>
      <c r="G1370" s="6">
        <v>190664</v>
      </c>
      <c r="H1370" s="6">
        <v>56472</v>
      </c>
      <c r="I1370" s="6">
        <v>50513</v>
      </c>
      <c r="J1370" s="6">
        <v>237890</v>
      </c>
      <c r="K1370" s="6">
        <v>541982</v>
      </c>
      <c r="L1370" s="6">
        <v>152747</v>
      </c>
      <c r="M1370" s="6">
        <v>2127463</v>
      </c>
      <c r="N1370" s="42">
        <v>1203173</v>
      </c>
      <c r="O1370" s="42"/>
      <c r="P1370" s="42">
        <v>93747</v>
      </c>
      <c r="Q1370" s="42">
        <v>245546</v>
      </c>
      <c r="R1370" s="42">
        <v>2608101</v>
      </c>
      <c r="S1370" s="5">
        <v>81847</v>
      </c>
      <c r="T1370" s="42">
        <v>558196</v>
      </c>
    </row>
    <row r="1371" spans="1:20" x14ac:dyDescent="0.3">
      <c r="A1371" s="7">
        <v>44162</v>
      </c>
      <c r="B1371" s="5"/>
      <c r="C1371" s="6">
        <v>128932</v>
      </c>
      <c r="D1371" s="6">
        <v>147839</v>
      </c>
      <c r="E1371" s="6">
        <v>144860</v>
      </c>
      <c r="F1371" s="14">
        <v>646293</v>
      </c>
      <c r="G1371" s="6">
        <v>191045</v>
      </c>
      <c r="H1371" s="6">
        <v>57283</v>
      </c>
      <c r="I1371" s="6">
        <v>50490</v>
      </c>
      <c r="J1371" s="6">
        <v>237430</v>
      </c>
      <c r="K1371" s="6">
        <v>545441</v>
      </c>
      <c r="L1371" s="6">
        <v>153348</v>
      </c>
      <c r="M1371" s="6">
        <v>2122040</v>
      </c>
      <c r="N1371" s="42">
        <v>1207958</v>
      </c>
      <c r="O1371" s="42"/>
      <c r="P1371" s="42">
        <v>95105</v>
      </c>
      <c r="Q1371" s="42">
        <v>246808</v>
      </c>
      <c r="R1371" s="42">
        <v>2565251</v>
      </c>
      <c r="S1371" s="5">
        <v>85523</v>
      </c>
      <c r="T1371" s="42">
        <v>562409</v>
      </c>
    </row>
    <row r="1372" spans="1:20" x14ac:dyDescent="0.3">
      <c r="A1372" s="7">
        <v>44160</v>
      </c>
      <c r="B1372" s="5"/>
      <c r="C1372" s="6">
        <v>131255</v>
      </c>
      <c r="D1372" s="6">
        <v>144851</v>
      </c>
      <c r="E1372" s="6">
        <v>143177</v>
      </c>
      <c r="F1372" s="14">
        <v>642020</v>
      </c>
      <c r="G1372" s="6">
        <v>186897</v>
      </c>
      <c r="H1372" s="6">
        <v>54999</v>
      </c>
      <c r="I1372" s="6">
        <v>50769</v>
      </c>
      <c r="J1372" s="6">
        <v>236089</v>
      </c>
      <c r="K1372" s="6">
        <v>544399</v>
      </c>
      <c r="L1372" s="6">
        <v>155435</v>
      </c>
      <c r="M1372" s="6">
        <v>2112146</v>
      </c>
      <c r="N1372" s="42">
        <v>1200880</v>
      </c>
      <c r="O1372" s="42"/>
      <c r="P1372" s="42">
        <v>94976</v>
      </c>
      <c r="Q1372" s="42">
        <v>248124</v>
      </c>
      <c r="R1372" s="42">
        <v>2549828</v>
      </c>
      <c r="S1372" s="5">
        <v>77318</v>
      </c>
      <c r="T1372" s="42">
        <v>560324</v>
      </c>
    </row>
    <row r="1373" spans="1:20" x14ac:dyDescent="0.3">
      <c r="A1373" s="7">
        <v>44159</v>
      </c>
      <c r="B1373" s="5"/>
      <c r="C1373" s="6">
        <v>131531</v>
      </c>
      <c r="D1373" s="6">
        <v>142958</v>
      </c>
      <c r="E1373" s="6">
        <v>140823</v>
      </c>
      <c r="F1373" s="14">
        <v>644566</v>
      </c>
      <c r="G1373" s="6">
        <v>179503</v>
      </c>
      <c r="H1373" s="6">
        <v>54640</v>
      </c>
      <c r="I1373" s="6">
        <v>50388</v>
      </c>
      <c r="J1373" s="6">
        <v>236644</v>
      </c>
      <c r="K1373" s="6">
        <v>555253</v>
      </c>
      <c r="L1373" s="6">
        <v>162092</v>
      </c>
      <c r="M1373" s="6">
        <v>2083018</v>
      </c>
      <c r="N1373" s="42">
        <v>1214677</v>
      </c>
      <c r="O1373" s="42"/>
      <c r="P1373" s="42">
        <v>98586</v>
      </c>
      <c r="Q1373" s="42">
        <v>247258</v>
      </c>
      <c r="R1373" s="42">
        <v>2549321</v>
      </c>
      <c r="S1373" s="5">
        <v>79060</v>
      </c>
      <c r="T1373" s="42">
        <v>554545</v>
      </c>
    </row>
    <row r="1374" spans="1:20" x14ac:dyDescent="0.3">
      <c r="A1374" s="7">
        <v>44158</v>
      </c>
      <c r="B1374" s="5"/>
      <c r="C1374" s="6">
        <v>131806</v>
      </c>
      <c r="D1374" s="6">
        <v>141123</v>
      </c>
      <c r="E1374" s="6">
        <v>138952</v>
      </c>
      <c r="F1374" s="14">
        <v>641086</v>
      </c>
      <c r="G1374" s="6">
        <v>177026</v>
      </c>
      <c r="H1374" s="6">
        <v>53669</v>
      </c>
      <c r="I1374" s="6">
        <v>51048</v>
      </c>
      <c r="J1374" s="6">
        <v>231810</v>
      </c>
      <c r="K1374" s="6">
        <v>563693</v>
      </c>
      <c r="L1374" s="6">
        <v>163416</v>
      </c>
      <c r="M1374" s="6">
        <v>2067058</v>
      </c>
      <c r="N1374" s="42">
        <v>1232691</v>
      </c>
      <c r="O1374" s="42"/>
      <c r="P1374" s="42">
        <v>94679</v>
      </c>
      <c r="Q1374" s="42">
        <v>240688</v>
      </c>
      <c r="R1374" s="42">
        <v>2531740</v>
      </c>
      <c r="S1374" s="5">
        <v>79232</v>
      </c>
      <c r="T1374" s="42">
        <v>549380</v>
      </c>
    </row>
    <row r="1375" spans="1:20" x14ac:dyDescent="0.3">
      <c r="A1375" s="7">
        <v>44155</v>
      </c>
      <c r="B1375" s="5"/>
      <c r="C1375" s="6">
        <v>130622</v>
      </c>
      <c r="D1375" s="6">
        <v>137299</v>
      </c>
      <c r="E1375" s="6">
        <v>137668</v>
      </c>
      <c r="F1375" s="14">
        <v>641086</v>
      </c>
      <c r="G1375" s="6">
        <v>175228</v>
      </c>
      <c r="H1375" s="6">
        <v>52973</v>
      </c>
      <c r="I1375" s="6">
        <v>51117</v>
      </c>
      <c r="J1375" s="6">
        <v>233426</v>
      </c>
      <c r="K1375" s="6">
        <v>558792</v>
      </c>
      <c r="L1375" s="6">
        <v>164985</v>
      </c>
      <c r="M1375" s="6">
        <v>2057394</v>
      </c>
      <c r="N1375" s="42">
        <v>1235214</v>
      </c>
      <c r="O1375" s="42"/>
      <c r="P1375" s="42">
        <v>93961</v>
      </c>
      <c r="Q1375" s="42">
        <v>239578</v>
      </c>
      <c r="R1375" s="42">
        <v>2513420</v>
      </c>
      <c r="S1375" s="5">
        <v>77238</v>
      </c>
      <c r="T1375" s="42">
        <v>552063</v>
      </c>
    </row>
    <row r="1376" spans="1:20" x14ac:dyDescent="0.3">
      <c r="A1376" s="7">
        <v>44154</v>
      </c>
      <c r="B1376" s="5"/>
      <c r="C1376" s="6">
        <v>130701</v>
      </c>
      <c r="D1376" s="6">
        <v>136718</v>
      </c>
      <c r="E1376" s="6">
        <v>137547</v>
      </c>
      <c r="F1376" s="14">
        <v>642127</v>
      </c>
      <c r="G1376" s="6">
        <v>170446</v>
      </c>
      <c r="H1376" s="6">
        <v>51856</v>
      </c>
      <c r="I1376" s="6">
        <v>50684</v>
      </c>
      <c r="J1376" s="6">
        <v>228236</v>
      </c>
      <c r="K1376" s="6">
        <v>554492</v>
      </c>
      <c r="L1376" s="6">
        <v>160360</v>
      </c>
      <c r="M1376" s="6">
        <v>2046206</v>
      </c>
      <c r="N1376" s="42">
        <v>1251689</v>
      </c>
      <c r="O1376" s="42"/>
      <c r="P1376" s="42">
        <v>93937</v>
      </c>
      <c r="Q1376" s="42">
        <v>240865</v>
      </c>
      <c r="R1376" s="42">
        <v>2554405</v>
      </c>
      <c r="S1376" s="5">
        <v>77650</v>
      </c>
      <c r="T1376" s="42">
        <v>550310</v>
      </c>
    </row>
    <row r="1377" spans="1:20" x14ac:dyDescent="0.3">
      <c r="A1377" s="7">
        <v>44153</v>
      </c>
      <c r="B1377" s="5"/>
      <c r="C1377" s="6">
        <v>129445</v>
      </c>
      <c r="D1377" s="6">
        <v>138497</v>
      </c>
      <c r="E1377" s="6">
        <v>138269</v>
      </c>
      <c r="F1377" s="14">
        <v>638698</v>
      </c>
      <c r="G1377" s="6">
        <v>168178</v>
      </c>
      <c r="H1377" s="6">
        <v>51549</v>
      </c>
      <c r="I1377" s="6">
        <v>50917</v>
      </c>
      <c r="J1377" s="6">
        <v>226857</v>
      </c>
      <c r="K1377" s="6">
        <v>553334</v>
      </c>
      <c r="L1377" s="6">
        <v>159991</v>
      </c>
      <c r="M1377" s="6">
        <v>2092268</v>
      </c>
      <c r="N1377" s="42">
        <v>1256695</v>
      </c>
      <c r="O1377" s="42"/>
      <c r="P1377" s="42">
        <v>94990</v>
      </c>
      <c r="Q1377" s="42">
        <v>237642</v>
      </c>
      <c r="R1377" s="42">
        <v>2532337</v>
      </c>
      <c r="S1377" s="5">
        <v>80713</v>
      </c>
      <c r="T1377" s="42">
        <v>551820</v>
      </c>
    </row>
    <row r="1378" spans="1:20" x14ac:dyDescent="0.3">
      <c r="A1378" s="7">
        <v>44152</v>
      </c>
      <c r="B1378" s="5"/>
      <c r="C1378" s="6">
        <v>129830</v>
      </c>
      <c r="D1378" s="6">
        <v>139423</v>
      </c>
      <c r="E1378" s="6">
        <v>136614</v>
      </c>
      <c r="F1378" s="14">
        <v>639092</v>
      </c>
      <c r="G1378" s="6">
        <v>165363</v>
      </c>
      <c r="H1378" s="6">
        <v>50687</v>
      </c>
      <c r="I1378" s="6">
        <v>50775</v>
      </c>
      <c r="J1378" s="6">
        <v>228338</v>
      </c>
      <c r="K1378" s="6">
        <v>557533</v>
      </c>
      <c r="L1378" s="6">
        <v>160972</v>
      </c>
      <c r="M1378" s="6">
        <v>2083804</v>
      </c>
      <c r="N1378" s="42">
        <v>1256371</v>
      </c>
      <c r="O1378" s="42"/>
      <c r="P1378" s="42">
        <v>95967</v>
      </c>
      <c r="Q1378" s="42">
        <v>238473</v>
      </c>
      <c r="R1378" s="42">
        <v>2534850</v>
      </c>
      <c r="S1378" s="5">
        <v>86032</v>
      </c>
      <c r="T1378" s="42">
        <v>552138</v>
      </c>
    </row>
    <row r="1379" spans="1:20" x14ac:dyDescent="0.3">
      <c r="A1379" s="7">
        <v>44151</v>
      </c>
      <c r="B1379" s="5"/>
      <c r="C1379" s="6">
        <v>129971</v>
      </c>
      <c r="D1379" s="6">
        <v>140529</v>
      </c>
      <c r="E1379" s="6">
        <v>135512</v>
      </c>
      <c r="F1379" s="14">
        <v>634262</v>
      </c>
      <c r="G1379" s="6">
        <v>163797</v>
      </c>
      <c r="H1379" s="6">
        <v>49128</v>
      </c>
      <c r="I1379" s="6">
        <v>51008</v>
      </c>
      <c r="J1379" s="6">
        <v>230360</v>
      </c>
      <c r="K1379" s="6">
        <v>554995</v>
      </c>
      <c r="L1379" s="6">
        <v>161019</v>
      </c>
      <c r="M1379" s="6">
        <v>2107670</v>
      </c>
      <c r="N1379" s="42">
        <v>1258956</v>
      </c>
      <c r="O1379" s="42"/>
      <c r="P1379" s="42">
        <v>98462</v>
      </c>
      <c r="Q1379" s="42">
        <v>235358</v>
      </c>
      <c r="R1379" s="42">
        <v>2507728</v>
      </c>
      <c r="S1379" s="5">
        <v>74831</v>
      </c>
      <c r="T1379" s="42">
        <v>542031</v>
      </c>
    </row>
    <row r="1380" spans="1:20" x14ac:dyDescent="0.3">
      <c r="A1380" s="7">
        <v>44148</v>
      </c>
      <c r="B1380" s="5"/>
      <c r="C1380" s="6">
        <v>127292</v>
      </c>
      <c r="D1380" s="6">
        <v>138749</v>
      </c>
      <c r="E1380" s="6">
        <v>136196</v>
      </c>
      <c r="F1380" s="14">
        <v>635811</v>
      </c>
      <c r="G1380" s="6">
        <v>166397</v>
      </c>
      <c r="H1380" s="6">
        <v>49112</v>
      </c>
      <c r="I1380" s="6">
        <v>52084</v>
      </c>
      <c r="J1380" s="6">
        <v>228169</v>
      </c>
      <c r="K1380" s="6">
        <v>556893</v>
      </c>
      <c r="L1380" s="6">
        <v>160648</v>
      </c>
      <c r="M1380" s="6">
        <v>2125233</v>
      </c>
      <c r="N1380" s="42">
        <v>1236440</v>
      </c>
      <c r="O1380" s="42"/>
      <c r="P1380" s="42">
        <v>97675</v>
      </c>
      <c r="Q1380" s="42">
        <v>233085</v>
      </c>
      <c r="R1380" s="42">
        <v>2495487</v>
      </c>
      <c r="S1380" s="5">
        <v>71961</v>
      </c>
      <c r="T1380" s="42">
        <v>530865</v>
      </c>
    </row>
    <row r="1381" spans="1:20" x14ac:dyDescent="0.3">
      <c r="A1381" s="7">
        <v>44147</v>
      </c>
      <c r="B1381" s="5"/>
      <c r="C1381" s="6">
        <v>127926</v>
      </c>
      <c r="D1381" s="6">
        <v>136732</v>
      </c>
      <c r="E1381" s="6">
        <v>137078</v>
      </c>
      <c r="F1381" s="14">
        <v>636614</v>
      </c>
      <c r="G1381" s="6">
        <v>174142</v>
      </c>
      <c r="H1381" s="6">
        <v>48580</v>
      </c>
      <c r="I1381" s="6">
        <v>52810</v>
      </c>
      <c r="J1381" s="6">
        <v>226099</v>
      </c>
      <c r="K1381" s="6">
        <v>554194</v>
      </c>
      <c r="L1381" s="6">
        <v>159218</v>
      </c>
      <c r="M1381" s="6">
        <v>2119387</v>
      </c>
      <c r="N1381" s="42">
        <v>1233233</v>
      </c>
      <c r="O1381" s="42"/>
      <c r="P1381" s="42">
        <v>95152</v>
      </c>
      <c r="Q1381" s="42">
        <v>232063</v>
      </c>
      <c r="R1381" s="42">
        <v>2498690</v>
      </c>
      <c r="S1381" s="5">
        <v>75645</v>
      </c>
      <c r="T1381" s="42">
        <v>529870</v>
      </c>
    </row>
    <row r="1382" spans="1:20" x14ac:dyDescent="0.3">
      <c r="A1382" s="7">
        <v>44146</v>
      </c>
      <c r="B1382" s="5"/>
      <c r="C1382" s="6">
        <v>129346</v>
      </c>
      <c r="D1382" s="6">
        <v>139852</v>
      </c>
      <c r="E1382" s="6">
        <v>138696</v>
      </c>
      <c r="F1382" s="14">
        <v>637639</v>
      </c>
      <c r="G1382" s="6">
        <v>181653</v>
      </c>
      <c r="H1382" s="6">
        <v>48143</v>
      </c>
      <c r="I1382" s="6">
        <v>53486</v>
      </c>
      <c r="J1382" s="6">
        <v>226225</v>
      </c>
      <c r="K1382" s="6">
        <v>548578</v>
      </c>
      <c r="L1382" s="6">
        <v>156293</v>
      </c>
      <c r="M1382" s="6">
        <v>2092928</v>
      </c>
      <c r="N1382" s="42">
        <v>1233034</v>
      </c>
      <c r="O1382" s="42"/>
      <c r="P1382" s="42">
        <v>95948</v>
      </c>
      <c r="Q1382" s="42">
        <v>234847</v>
      </c>
      <c r="R1382" s="42">
        <v>2487634</v>
      </c>
      <c r="S1382" s="5">
        <v>77159</v>
      </c>
      <c r="T1382" s="42">
        <v>528350</v>
      </c>
    </row>
    <row r="1383" spans="1:20" x14ac:dyDescent="0.3">
      <c r="A1383" s="7">
        <v>44145</v>
      </c>
      <c r="B1383" s="5"/>
      <c r="C1383" s="6">
        <v>130615</v>
      </c>
      <c r="D1383" s="6">
        <v>141346</v>
      </c>
      <c r="E1383" s="6">
        <v>136456</v>
      </c>
      <c r="F1383" s="14">
        <v>638993</v>
      </c>
      <c r="G1383" s="6">
        <v>183518</v>
      </c>
      <c r="H1383" s="6">
        <v>46065</v>
      </c>
      <c r="I1383" s="6">
        <v>52528</v>
      </c>
      <c r="J1383" s="6">
        <v>228128</v>
      </c>
      <c r="K1383" s="6">
        <v>547449</v>
      </c>
      <c r="L1383" s="6">
        <v>155011</v>
      </c>
      <c r="M1383" s="6">
        <v>2053450</v>
      </c>
      <c r="N1383" s="42">
        <v>1224327</v>
      </c>
      <c r="O1383" s="42"/>
      <c r="P1383" s="42">
        <v>93683</v>
      </c>
      <c r="Q1383" s="42">
        <v>238100</v>
      </c>
      <c r="R1383" s="42">
        <v>2460742</v>
      </c>
      <c r="S1383" s="5">
        <v>78059</v>
      </c>
      <c r="T1383" s="42">
        <v>519253</v>
      </c>
    </row>
    <row r="1384" spans="1:20" x14ac:dyDescent="0.3">
      <c r="A1384" s="7">
        <v>44144</v>
      </c>
      <c r="B1384" s="5"/>
      <c r="C1384" s="6">
        <v>129726</v>
      </c>
      <c r="D1384" s="6">
        <v>141353</v>
      </c>
      <c r="E1384" s="6">
        <v>134229</v>
      </c>
      <c r="F1384" s="14">
        <v>634812</v>
      </c>
      <c r="G1384" s="6">
        <v>186714</v>
      </c>
      <c r="H1384" s="6">
        <v>45602</v>
      </c>
      <c r="I1384" s="6">
        <v>50835</v>
      </c>
      <c r="J1384" s="6">
        <v>233753</v>
      </c>
      <c r="K1384" s="6">
        <v>556199</v>
      </c>
      <c r="L1384" s="6">
        <v>153391</v>
      </c>
      <c r="M1384" s="6">
        <v>2031547</v>
      </c>
      <c r="N1384" s="42">
        <v>1221352</v>
      </c>
      <c r="O1384" s="42"/>
      <c r="P1384" s="42">
        <v>92090</v>
      </c>
      <c r="Q1384" s="42">
        <v>229487</v>
      </c>
      <c r="R1384" s="42">
        <v>2434116</v>
      </c>
      <c r="S1384" s="5">
        <v>75892</v>
      </c>
      <c r="T1384" s="42">
        <v>524788</v>
      </c>
    </row>
    <row r="1385" spans="1:20" x14ac:dyDescent="0.3">
      <c r="A1385" s="7">
        <v>44141</v>
      </c>
      <c r="B1385" s="5"/>
      <c r="C1385" s="6">
        <v>130488</v>
      </c>
      <c r="D1385" s="6">
        <v>138208</v>
      </c>
      <c r="E1385" s="6">
        <v>132429</v>
      </c>
      <c r="F1385" s="14">
        <v>634059</v>
      </c>
      <c r="G1385" s="6">
        <v>191143</v>
      </c>
      <c r="H1385" s="6">
        <v>43095</v>
      </c>
      <c r="I1385" s="6">
        <v>53640</v>
      </c>
      <c r="J1385" s="6">
        <v>235025</v>
      </c>
      <c r="K1385" s="6">
        <v>570926</v>
      </c>
      <c r="L1385" s="6">
        <v>159521</v>
      </c>
      <c r="M1385" s="6">
        <v>2023362</v>
      </c>
      <c r="N1385" s="42">
        <v>1205396</v>
      </c>
      <c r="O1385" s="42"/>
      <c r="P1385" s="42">
        <v>90891</v>
      </c>
      <c r="Q1385" s="42">
        <v>227469</v>
      </c>
      <c r="R1385" s="42">
        <v>2406095</v>
      </c>
      <c r="S1385" s="5">
        <v>76733</v>
      </c>
      <c r="T1385" s="42">
        <v>520942</v>
      </c>
    </row>
    <row r="1386" spans="1:20" x14ac:dyDescent="0.3">
      <c r="A1386" s="7">
        <v>44140</v>
      </c>
      <c r="B1386" s="5"/>
      <c r="C1386" s="6">
        <v>133500</v>
      </c>
      <c r="D1386" s="6">
        <v>142183</v>
      </c>
      <c r="E1386" s="6">
        <v>130381</v>
      </c>
      <c r="F1386" s="14">
        <v>637074</v>
      </c>
      <c r="G1386" s="6">
        <v>193235</v>
      </c>
      <c r="H1386" s="6">
        <v>43041</v>
      </c>
      <c r="I1386" s="6">
        <v>52362</v>
      </c>
      <c r="J1386" s="6">
        <v>234872</v>
      </c>
      <c r="K1386" s="6">
        <v>568370</v>
      </c>
      <c r="L1386" s="6">
        <v>157951</v>
      </c>
      <c r="M1386" s="6">
        <v>2006941</v>
      </c>
      <c r="N1386" s="42">
        <v>1193288</v>
      </c>
      <c r="O1386" s="42"/>
      <c r="P1386" s="42">
        <v>90962</v>
      </c>
      <c r="Q1386" s="42">
        <v>229617</v>
      </c>
      <c r="R1386" s="42">
        <v>2402945</v>
      </c>
      <c r="S1386" s="5">
        <v>75147</v>
      </c>
      <c r="T1386" s="42">
        <v>520165</v>
      </c>
    </row>
    <row r="1387" spans="1:20" x14ac:dyDescent="0.3">
      <c r="A1387" s="7">
        <v>44139</v>
      </c>
      <c r="B1387" s="5"/>
      <c r="C1387" s="6">
        <v>134502</v>
      </c>
      <c r="D1387" s="6">
        <v>139051</v>
      </c>
      <c r="E1387" s="6">
        <v>126718</v>
      </c>
      <c r="F1387" s="14">
        <v>630901</v>
      </c>
      <c r="G1387" s="6">
        <v>183694</v>
      </c>
      <c r="H1387" s="6">
        <v>42020</v>
      </c>
      <c r="I1387" s="6">
        <v>51140</v>
      </c>
      <c r="J1387" s="6">
        <v>232771</v>
      </c>
      <c r="K1387" s="6">
        <v>548331</v>
      </c>
      <c r="L1387" s="6">
        <v>151363</v>
      </c>
      <c r="M1387" s="6">
        <v>2009791</v>
      </c>
      <c r="N1387" s="42">
        <v>1178278</v>
      </c>
      <c r="O1387" s="42"/>
      <c r="P1387" s="42">
        <v>89030</v>
      </c>
      <c r="Q1387" s="42">
        <v>225687</v>
      </c>
      <c r="R1387" s="42">
        <v>2383661</v>
      </c>
      <c r="S1387" s="5">
        <v>72851</v>
      </c>
      <c r="T1387" s="42">
        <v>529570</v>
      </c>
    </row>
    <row r="1388" spans="1:20" x14ac:dyDescent="0.3">
      <c r="A1388" s="7">
        <v>44138</v>
      </c>
      <c r="B1388" s="5"/>
      <c r="C1388" s="6">
        <v>134352</v>
      </c>
      <c r="D1388" s="6">
        <v>140437</v>
      </c>
      <c r="E1388" s="6">
        <v>124892</v>
      </c>
      <c r="F1388" s="14">
        <v>627754</v>
      </c>
      <c r="G1388" s="6">
        <v>184751</v>
      </c>
      <c r="H1388" s="6">
        <v>40400</v>
      </c>
      <c r="I1388" s="6">
        <v>51092</v>
      </c>
      <c r="J1388" s="6">
        <v>233351</v>
      </c>
      <c r="K1388" s="6">
        <v>544774</v>
      </c>
      <c r="L1388" s="6">
        <v>153267</v>
      </c>
      <c r="M1388" s="6">
        <v>2013491</v>
      </c>
      <c r="N1388" s="42">
        <v>1181478</v>
      </c>
      <c r="O1388" s="42"/>
      <c r="P1388" s="42">
        <v>89194</v>
      </c>
      <c r="Q1388" s="42">
        <v>222955</v>
      </c>
      <c r="R1388" s="42">
        <v>2410740</v>
      </c>
      <c r="S1388" s="5">
        <v>78751</v>
      </c>
      <c r="T1388" s="42">
        <v>522161</v>
      </c>
    </row>
    <row r="1389" spans="1:20" x14ac:dyDescent="0.3">
      <c r="A1389" s="7">
        <v>44137</v>
      </c>
      <c r="B1389" s="5"/>
      <c r="C1389" s="6">
        <v>135628</v>
      </c>
      <c r="D1389" s="6">
        <v>145673</v>
      </c>
      <c r="E1389" s="6">
        <v>121677</v>
      </c>
      <c r="F1389" s="14">
        <v>628747</v>
      </c>
      <c r="G1389" s="6">
        <v>184720</v>
      </c>
      <c r="H1389" s="6">
        <v>39335</v>
      </c>
      <c r="I1389" s="6">
        <v>51995</v>
      </c>
      <c r="J1389" s="6">
        <v>230148</v>
      </c>
      <c r="K1389" s="6">
        <v>541198</v>
      </c>
      <c r="L1389" s="6">
        <v>153850</v>
      </c>
      <c r="M1389" s="6">
        <v>2039335</v>
      </c>
      <c r="N1389" s="42">
        <v>1178673</v>
      </c>
      <c r="O1389" s="42"/>
      <c r="P1389" s="42">
        <v>91069</v>
      </c>
      <c r="Q1389" s="42">
        <v>220990</v>
      </c>
      <c r="R1389" s="42">
        <v>2416280</v>
      </c>
      <c r="S1389" s="5">
        <v>76214</v>
      </c>
      <c r="T1389" s="42">
        <v>520233</v>
      </c>
    </row>
    <row r="1390" spans="1:20" x14ac:dyDescent="0.3">
      <c r="A1390" s="7">
        <v>44134</v>
      </c>
      <c r="B1390" s="5"/>
      <c r="C1390" s="6">
        <v>136260</v>
      </c>
      <c r="D1390" s="6">
        <v>147689</v>
      </c>
      <c r="E1390" s="6">
        <v>121141</v>
      </c>
      <c r="F1390" s="14">
        <v>632770</v>
      </c>
      <c r="G1390" s="6">
        <v>187992</v>
      </c>
      <c r="H1390" s="6">
        <v>38454</v>
      </c>
      <c r="I1390" s="6">
        <v>50806</v>
      </c>
      <c r="J1390" s="6">
        <v>232502</v>
      </c>
      <c r="K1390" s="6">
        <v>542015</v>
      </c>
      <c r="L1390" s="6">
        <v>154235</v>
      </c>
      <c r="M1390" s="6">
        <v>2023400</v>
      </c>
      <c r="N1390" s="42">
        <v>1172915</v>
      </c>
      <c r="O1390" s="42"/>
      <c r="P1390" s="42">
        <v>94769</v>
      </c>
      <c r="Q1390" s="42">
        <v>218616</v>
      </c>
      <c r="R1390" s="42">
        <v>2430689</v>
      </c>
      <c r="S1390" s="5">
        <v>78086</v>
      </c>
      <c r="T1390" s="42">
        <v>526175</v>
      </c>
    </row>
    <row r="1391" spans="1:20" x14ac:dyDescent="0.3">
      <c r="A1391" s="7">
        <v>44133</v>
      </c>
      <c r="B1391" s="5"/>
      <c r="C1391" s="6">
        <v>138102</v>
      </c>
      <c r="D1391" s="6">
        <v>151827</v>
      </c>
      <c r="E1391" s="6">
        <v>119737</v>
      </c>
      <c r="F1391" s="14">
        <v>637809</v>
      </c>
      <c r="G1391" s="6">
        <v>186887</v>
      </c>
      <c r="H1391" s="6">
        <v>38529</v>
      </c>
      <c r="I1391" s="6">
        <v>51167</v>
      </c>
      <c r="J1391" s="6">
        <v>236196</v>
      </c>
      <c r="K1391" s="6">
        <v>545623</v>
      </c>
      <c r="L1391" s="6">
        <v>155764</v>
      </c>
      <c r="M1391" s="6">
        <v>2009386</v>
      </c>
      <c r="N1391" s="42">
        <v>1166018</v>
      </c>
      <c r="O1391" s="42"/>
      <c r="P1391" s="42">
        <v>97818</v>
      </c>
      <c r="Q1391" s="42">
        <v>219299</v>
      </c>
      <c r="R1391" s="42">
        <v>2437458</v>
      </c>
      <c r="S1391" s="5">
        <v>77026</v>
      </c>
      <c r="T1391" s="42">
        <v>534992</v>
      </c>
    </row>
    <row r="1392" spans="1:20" x14ac:dyDescent="0.3">
      <c r="A1392" s="7">
        <v>44132</v>
      </c>
      <c r="B1392" s="5"/>
      <c r="C1392" s="6">
        <v>134167</v>
      </c>
      <c r="D1392" s="6">
        <v>144184</v>
      </c>
      <c r="E1392" s="6">
        <v>121402</v>
      </c>
      <c r="F1392" s="14">
        <v>639642</v>
      </c>
      <c r="G1392" s="6">
        <v>186256</v>
      </c>
      <c r="H1392" s="6">
        <v>39596</v>
      </c>
      <c r="I1392" s="6">
        <v>50790</v>
      </c>
      <c r="J1392" s="6">
        <v>239448</v>
      </c>
      <c r="K1392" s="6">
        <v>549867</v>
      </c>
      <c r="L1392" s="6">
        <v>157041</v>
      </c>
      <c r="M1392" s="6">
        <v>2012012</v>
      </c>
      <c r="N1392" s="42">
        <v>1167833</v>
      </c>
      <c r="O1392" s="42"/>
      <c r="P1392" s="42">
        <v>98963</v>
      </c>
      <c r="Q1392" s="42">
        <v>223119</v>
      </c>
      <c r="R1392" s="42">
        <v>2464083</v>
      </c>
      <c r="S1392" s="5">
        <v>82927</v>
      </c>
      <c r="T1392" s="42">
        <v>539834</v>
      </c>
    </row>
    <row r="1393" spans="1:20" x14ac:dyDescent="0.3">
      <c r="A1393" s="7">
        <v>44131</v>
      </c>
      <c r="B1393" s="5"/>
      <c r="C1393" s="6">
        <v>130361</v>
      </c>
      <c r="D1393" s="6">
        <v>139984</v>
      </c>
      <c r="E1393" s="6">
        <v>122403</v>
      </c>
      <c r="F1393" s="14">
        <v>636778</v>
      </c>
      <c r="G1393" s="6">
        <v>177622</v>
      </c>
      <c r="H1393" s="6">
        <v>40388</v>
      </c>
      <c r="I1393" s="6">
        <v>52735</v>
      </c>
      <c r="J1393" s="6">
        <v>241268</v>
      </c>
      <c r="K1393" s="6">
        <v>560900</v>
      </c>
      <c r="L1393" s="6">
        <v>160550</v>
      </c>
      <c r="M1393" s="6">
        <v>2011744</v>
      </c>
      <c r="N1393" s="42">
        <v>1168122</v>
      </c>
      <c r="O1393" s="42"/>
      <c r="P1393" s="42">
        <v>97270</v>
      </c>
      <c r="Q1393" s="42">
        <v>227676</v>
      </c>
      <c r="R1393" s="42">
        <v>2436946</v>
      </c>
      <c r="S1393" s="5">
        <v>92667</v>
      </c>
      <c r="T1393" s="42">
        <v>536974</v>
      </c>
    </row>
    <row r="1394" spans="1:20" x14ac:dyDescent="0.3">
      <c r="A1394" s="7">
        <v>44130</v>
      </c>
      <c r="B1394" s="5"/>
      <c r="C1394" s="6">
        <v>131704</v>
      </c>
      <c r="D1394" s="6">
        <v>145816</v>
      </c>
      <c r="E1394" s="6">
        <v>124266</v>
      </c>
      <c r="F1394" s="14">
        <v>635211</v>
      </c>
      <c r="G1394" s="6">
        <v>174949</v>
      </c>
      <c r="H1394" s="6">
        <v>39714</v>
      </c>
      <c r="I1394" s="6">
        <v>52130</v>
      </c>
      <c r="J1394" s="6">
        <v>244768</v>
      </c>
      <c r="K1394" s="6">
        <v>557154</v>
      </c>
      <c r="L1394" s="6">
        <v>160083</v>
      </c>
      <c r="M1394" s="6">
        <v>2015221</v>
      </c>
      <c r="N1394" s="42">
        <v>1175134</v>
      </c>
      <c r="O1394" s="42"/>
      <c r="P1394" s="42">
        <v>96380</v>
      </c>
      <c r="Q1394" s="42">
        <v>226788</v>
      </c>
      <c r="R1394" s="42">
        <v>2415196</v>
      </c>
      <c r="S1394" s="5">
        <v>76069</v>
      </c>
      <c r="T1394" s="42">
        <v>538478</v>
      </c>
    </row>
    <row r="1395" spans="1:20" x14ac:dyDescent="0.3">
      <c r="A1395" s="7">
        <v>44127</v>
      </c>
      <c r="B1395" s="5"/>
      <c r="C1395" s="6">
        <v>130824</v>
      </c>
      <c r="D1395" s="6">
        <v>144338</v>
      </c>
      <c r="E1395" s="6">
        <v>125271</v>
      </c>
      <c r="F1395" s="14">
        <v>637797</v>
      </c>
      <c r="G1395" s="6">
        <v>175444</v>
      </c>
      <c r="H1395" s="6">
        <v>40065</v>
      </c>
      <c r="I1395" s="6">
        <v>52166</v>
      </c>
      <c r="J1395" s="6">
        <v>248228</v>
      </c>
      <c r="K1395" s="6">
        <v>557552</v>
      </c>
      <c r="L1395" s="6">
        <v>159221</v>
      </c>
      <c r="M1395" s="6">
        <v>2007603</v>
      </c>
      <c r="N1395" s="42">
        <v>1178396</v>
      </c>
      <c r="O1395" s="42"/>
      <c r="P1395" s="42">
        <v>96395</v>
      </c>
      <c r="Q1395" s="42">
        <v>223285</v>
      </c>
      <c r="R1395" s="42">
        <v>2419486</v>
      </c>
      <c r="S1395" s="5">
        <v>79884</v>
      </c>
      <c r="T1395" s="42">
        <v>540357</v>
      </c>
    </row>
    <row r="1396" spans="1:20" x14ac:dyDescent="0.3">
      <c r="A1396" s="7">
        <v>44126</v>
      </c>
      <c r="B1396" s="5"/>
      <c r="C1396" s="6">
        <v>131936</v>
      </c>
      <c r="D1396" s="6">
        <v>147146</v>
      </c>
      <c r="E1396" s="6">
        <v>123556</v>
      </c>
      <c r="F1396" s="14">
        <v>636397</v>
      </c>
      <c r="G1396" s="6">
        <v>177685</v>
      </c>
      <c r="H1396" s="6">
        <v>39374</v>
      </c>
      <c r="I1396" s="6">
        <v>52516</v>
      </c>
      <c r="J1396" s="6">
        <v>249408</v>
      </c>
      <c r="K1396" s="6">
        <v>561049</v>
      </c>
      <c r="L1396" s="6">
        <v>158749</v>
      </c>
      <c r="M1396" s="6">
        <v>2011507</v>
      </c>
      <c r="N1396" s="42">
        <v>1188852</v>
      </c>
      <c r="O1396" s="42"/>
      <c r="P1396" s="42">
        <v>97302</v>
      </c>
      <c r="Q1396" s="42">
        <v>222446</v>
      </c>
      <c r="R1396" s="42">
        <v>2446108</v>
      </c>
      <c r="S1396" s="5">
        <v>83864</v>
      </c>
      <c r="T1396" s="42">
        <v>539653</v>
      </c>
    </row>
    <row r="1397" spans="1:20" x14ac:dyDescent="0.3">
      <c r="A1397" s="7">
        <v>44125</v>
      </c>
      <c r="B1397" s="5"/>
      <c r="C1397" s="6">
        <v>131827</v>
      </c>
      <c r="D1397" s="6">
        <v>149788</v>
      </c>
      <c r="E1397" s="6">
        <v>124136</v>
      </c>
      <c r="F1397" s="14">
        <v>639847</v>
      </c>
      <c r="G1397" s="6">
        <v>182384</v>
      </c>
      <c r="H1397" s="6">
        <v>38738</v>
      </c>
      <c r="I1397" s="6">
        <v>53550</v>
      </c>
      <c r="J1397" s="6">
        <v>251155</v>
      </c>
      <c r="K1397" s="6">
        <v>572335</v>
      </c>
      <c r="L1397" s="6">
        <v>158396</v>
      </c>
      <c r="M1397" s="6">
        <v>2026780</v>
      </c>
      <c r="N1397" s="42">
        <v>1201731</v>
      </c>
      <c r="O1397" s="42"/>
      <c r="P1397" s="42">
        <v>95735</v>
      </c>
      <c r="Q1397" s="42">
        <v>219358</v>
      </c>
      <c r="R1397" s="42">
        <v>2438237</v>
      </c>
      <c r="S1397" s="5">
        <v>79000</v>
      </c>
      <c r="T1397" s="42">
        <v>545066</v>
      </c>
    </row>
    <row r="1398" spans="1:20" x14ac:dyDescent="0.3">
      <c r="A1398" s="7">
        <v>44124</v>
      </c>
      <c r="B1398" s="5"/>
      <c r="C1398" s="6">
        <v>134452</v>
      </c>
      <c r="D1398" s="6">
        <v>146665</v>
      </c>
      <c r="E1398" s="6">
        <v>123266</v>
      </c>
      <c r="F1398" s="14">
        <v>646704</v>
      </c>
      <c r="G1398" s="6">
        <v>166472</v>
      </c>
      <c r="H1398" s="6">
        <v>37295</v>
      </c>
      <c r="I1398" s="6">
        <v>52755</v>
      </c>
      <c r="J1398" s="6">
        <v>249001</v>
      </c>
      <c r="K1398" s="6">
        <v>562993</v>
      </c>
      <c r="L1398" s="6">
        <v>157845</v>
      </c>
      <c r="M1398" s="6">
        <v>2008815</v>
      </c>
      <c r="N1398" s="42">
        <v>1216395</v>
      </c>
      <c r="O1398" s="42"/>
      <c r="P1398" s="42">
        <v>95129</v>
      </c>
      <c r="Q1398" s="42">
        <v>219891</v>
      </c>
      <c r="R1398" s="42">
        <v>2435244</v>
      </c>
      <c r="S1398" s="5">
        <v>81577</v>
      </c>
      <c r="T1398" s="42">
        <v>543462</v>
      </c>
    </row>
    <row r="1399" spans="1:20" x14ac:dyDescent="0.3">
      <c r="A1399" s="7">
        <v>44123</v>
      </c>
      <c r="B1399" s="5"/>
      <c r="C1399" s="6">
        <v>135175</v>
      </c>
      <c r="D1399" s="6">
        <v>146280</v>
      </c>
      <c r="E1399" s="6">
        <v>118703</v>
      </c>
      <c r="F1399" s="14">
        <v>642273</v>
      </c>
      <c r="G1399" s="6">
        <v>169130</v>
      </c>
      <c r="H1399" s="6">
        <v>37521</v>
      </c>
      <c r="I1399" s="6">
        <v>50496</v>
      </c>
      <c r="J1399" s="6">
        <v>241687</v>
      </c>
      <c r="K1399" s="6">
        <v>562400</v>
      </c>
      <c r="L1399" s="6">
        <v>157162</v>
      </c>
      <c r="M1399" s="6">
        <v>2012982</v>
      </c>
      <c r="N1399" s="42">
        <v>1220513</v>
      </c>
      <c r="O1399" s="42"/>
      <c r="P1399" s="42">
        <v>93435</v>
      </c>
      <c r="Q1399" s="42">
        <v>218868</v>
      </c>
      <c r="R1399" s="42">
        <v>2429471</v>
      </c>
      <c r="S1399" s="5">
        <v>84076</v>
      </c>
      <c r="T1399" s="42">
        <v>541402</v>
      </c>
    </row>
    <row r="1400" spans="1:20" x14ac:dyDescent="0.3">
      <c r="A1400" s="7">
        <v>44120</v>
      </c>
      <c r="B1400" s="5"/>
      <c r="C1400" s="6">
        <v>136082</v>
      </c>
      <c r="D1400" s="6">
        <v>146986</v>
      </c>
      <c r="E1400" s="6">
        <v>118983</v>
      </c>
      <c r="F1400" s="14">
        <v>640602</v>
      </c>
      <c r="G1400" s="6">
        <v>170172</v>
      </c>
      <c r="H1400" s="6">
        <v>37071</v>
      </c>
      <c r="I1400" s="6">
        <v>48637</v>
      </c>
      <c r="J1400" s="6">
        <v>238877</v>
      </c>
      <c r="K1400" s="6">
        <v>557765</v>
      </c>
      <c r="L1400" s="6">
        <v>156806</v>
      </c>
      <c r="M1400" s="6">
        <v>2052868</v>
      </c>
      <c r="N1400" s="42">
        <v>1224073</v>
      </c>
      <c r="O1400" s="42"/>
      <c r="P1400" s="42">
        <v>93603</v>
      </c>
      <c r="Q1400" s="42">
        <v>218600</v>
      </c>
      <c r="R1400" s="42">
        <v>2426485</v>
      </c>
      <c r="S1400" s="5">
        <v>90433</v>
      </c>
      <c r="T1400" s="42">
        <v>542974</v>
      </c>
    </row>
    <row r="1401" spans="1:20" x14ac:dyDescent="0.3">
      <c r="A1401" s="7">
        <v>44119</v>
      </c>
      <c r="B1401" s="5"/>
      <c r="C1401" s="6">
        <v>135347</v>
      </c>
      <c r="D1401" s="6">
        <v>149541</v>
      </c>
      <c r="E1401" s="6">
        <v>121853</v>
      </c>
      <c r="F1401" s="14">
        <v>643951</v>
      </c>
      <c r="G1401" s="6">
        <v>169498</v>
      </c>
      <c r="H1401" s="6">
        <v>37713</v>
      </c>
      <c r="I1401" s="6">
        <v>47627</v>
      </c>
      <c r="J1401" s="6">
        <v>240207</v>
      </c>
      <c r="K1401" s="6">
        <v>556757</v>
      </c>
      <c r="L1401" s="6">
        <v>156465</v>
      </c>
      <c r="M1401" s="6">
        <v>2060209</v>
      </c>
      <c r="N1401" s="42">
        <v>1227000</v>
      </c>
      <c r="O1401" s="42"/>
      <c r="P1401" s="42">
        <v>92650</v>
      </c>
      <c r="Q1401" s="42">
        <v>215055</v>
      </c>
      <c r="R1401" s="42">
        <v>2458087</v>
      </c>
      <c r="S1401" s="5">
        <v>93165</v>
      </c>
      <c r="T1401" s="42">
        <v>536726</v>
      </c>
    </row>
    <row r="1402" spans="1:20" x14ac:dyDescent="0.3">
      <c r="A1402" s="7">
        <v>44118</v>
      </c>
      <c r="B1402" s="5"/>
      <c r="C1402" s="6">
        <v>135503</v>
      </c>
      <c r="D1402" s="6">
        <v>146710</v>
      </c>
      <c r="E1402" s="6">
        <v>121812</v>
      </c>
      <c r="F1402" s="14">
        <v>641549</v>
      </c>
      <c r="G1402" s="6">
        <v>170719</v>
      </c>
      <c r="H1402" s="6">
        <v>38907</v>
      </c>
      <c r="I1402" s="6">
        <v>47672</v>
      </c>
      <c r="J1402" s="6">
        <v>237763</v>
      </c>
      <c r="K1402" s="6">
        <v>549617</v>
      </c>
      <c r="L1402" s="6">
        <v>157636</v>
      </c>
      <c r="M1402" s="6">
        <v>2067726</v>
      </c>
      <c r="N1402" s="42">
        <v>1244473</v>
      </c>
      <c r="O1402" s="42"/>
      <c r="P1402" s="42">
        <v>88222</v>
      </c>
      <c r="Q1402" s="42">
        <v>221348</v>
      </c>
      <c r="R1402" s="42">
        <v>2448527</v>
      </c>
      <c r="S1402" s="5">
        <v>82459</v>
      </c>
      <c r="T1402" s="42">
        <v>539809</v>
      </c>
    </row>
    <row r="1403" spans="1:20" x14ac:dyDescent="0.3">
      <c r="A1403" s="7">
        <v>44117</v>
      </c>
      <c r="B1403" s="5"/>
      <c r="C1403" s="6">
        <v>137281</v>
      </c>
      <c r="D1403" s="6">
        <v>148279</v>
      </c>
      <c r="E1403" s="6">
        <v>121956</v>
      </c>
      <c r="F1403" s="14">
        <v>646165</v>
      </c>
      <c r="G1403" s="6">
        <v>165616</v>
      </c>
      <c r="H1403" s="6">
        <v>38209</v>
      </c>
      <c r="I1403" s="6">
        <v>47725</v>
      </c>
      <c r="J1403" s="6">
        <v>237283</v>
      </c>
      <c r="K1403" s="6">
        <v>553197</v>
      </c>
      <c r="L1403" s="6">
        <v>158203</v>
      </c>
      <c r="M1403" s="6">
        <v>2059382</v>
      </c>
      <c r="N1403" s="42">
        <v>1234445</v>
      </c>
      <c r="O1403" s="42"/>
      <c r="P1403" s="42">
        <v>89977</v>
      </c>
      <c r="Q1403" s="42">
        <v>226211</v>
      </c>
      <c r="R1403" s="42">
        <v>2471530</v>
      </c>
      <c r="S1403" s="5">
        <v>85676</v>
      </c>
      <c r="T1403" s="42">
        <v>537050</v>
      </c>
    </row>
    <row r="1404" spans="1:20" x14ac:dyDescent="0.3">
      <c r="A1404" s="7">
        <v>44116</v>
      </c>
      <c r="B1404" s="5"/>
      <c r="C1404" s="6">
        <v>137238</v>
      </c>
      <c r="D1404" s="6">
        <v>151557</v>
      </c>
      <c r="E1404" s="6">
        <v>120942</v>
      </c>
      <c r="F1404" s="14">
        <v>651311</v>
      </c>
      <c r="G1404" s="6">
        <v>167173</v>
      </c>
      <c r="H1404" s="6">
        <v>37000</v>
      </c>
      <c r="I1404" s="6">
        <v>47049</v>
      </c>
      <c r="J1404" s="6">
        <v>237111</v>
      </c>
      <c r="K1404" s="6">
        <v>558107</v>
      </c>
      <c r="L1404" s="6">
        <v>158679</v>
      </c>
      <c r="M1404" s="6">
        <v>2055902</v>
      </c>
      <c r="N1404" s="42">
        <v>1237239</v>
      </c>
      <c r="O1404" s="42"/>
      <c r="P1404" s="42">
        <v>92589</v>
      </c>
      <c r="Q1404" s="42">
        <v>243790</v>
      </c>
      <c r="R1404" s="42">
        <v>2466671</v>
      </c>
      <c r="S1404" s="5">
        <v>74656</v>
      </c>
      <c r="T1404" s="42">
        <v>541007</v>
      </c>
    </row>
    <row r="1405" spans="1:20" x14ac:dyDescent="0.3">
      <c r="A1405" s="7">
        <v>44113</v>
      </c>
      <c r="B1405" s="5"/>
      <c r="C1405" s="6">
        <v>134566</v>
      </c>
      <c r="D1405" s="6">
        <v>154297</v>
      </c>
      <c r="E1405" s="6">
        <v>118992</v>
      </c>
      <c r="F1405" s="14">
        <v>654518</v>
      </c>
      <c r="G1405" s="6">
        <v>161722</v>
      </c>
      <c r="H1405" s="6">
        <v>36432</v>
      </c>
      <c r="I1405" s="6">
        <v>46953</v>
      </c>
      <c r="J1405" s="6">
        <v>236455</v>
      </c>
      <c r="K1405" s="6">
        <v>558708</v>
      </c>
      <c r="L1405" s="6">
        <v>158991</v>
      </c>
      <c r="M1405" s="6">
        <v>2040747</v>
      </c>
      <c r="N1405" s="42">
        <v>1213316</v>
      </c>
      <c r="O1405" s="42"/>
      <c r="P1405" s="42">
        <v>65101</v>
      </c>
      <c r="Q1405" s="42">
        <v>180526</v>
      </c>
      <c r="R1405" s="42">
        <v>3361483</v>
      </c>
      <c r="S1405" s="5">
        <v>79201</v>
      </c>
      <c r="T1405" s="42">
        <v>531696</v>
      </c>
    </row>
    <row r="1406" spans="1:20" x14ac:dyDescent="0.3">
      <c r="A1406" s="7">
        <v>44112</v>
      </c>
      <c r="B1406" s="5"/>
      <c r="C1406" s="6">
        <v>132709</v>
      </c>
      <c r="D1406" s="6">
        <v>154704</v>
      </c>
      <c r="E1406" s="6">
        <v>113067</v>
      </c>
      <c r="F1406" s="14">
        <v>649624</v>
      </c>
      <c r="G1406" s="6">
        <v>162117</v>
      </c>
      <c r="H1406" s="6">
        <v>35067</v>
      </c>
      <c r="I1406" s="6">
        <v>45640</v>
      </c>
      <c r="J1406" s="6">
        <v>233737</v>
      </c>
      <c r="K1406" s="6">
        <v>548107</v>
      </c>
      <c r="L1406" s="6">
        <v>156809</v>
      </c>
      <c r="M1406" s="6">
        <v>2050021</v>
      </c>
      <c r="N1406" s="42">
        <v>1210880</v>
      </c>
      <c r="O1406" s="42"/>
      <c r="P1406" s="42">
        <v>68167</v>
      </c>
      <c r="Q1406" s="42">
        <v>177017</v>
      </c>
      <c r="R1406" s="42">
        <v>3376772</v>
      </c>
      <c r="S1406" s="5">
        <v>79066</v>
      </c>
      <c r="T1406" s="42">
        <v>523343</v>
      </c>
    </row>
    <row r="1407" spans="1:20" x14ac:dyDescent="0.3">
      <c r="A1407" s="7">
        <v>44111</v>
      </c>
      <c r="B1407" s="5"/>
      <c r="C1407" s="6">
        <v>131628</v>
      </c>
      <c r="D1407" s="6">
        <v>154080</v>
      </c>
      <c r="E1407" s="6">
        <v>113090</v>
      </c>
      <c r="F1407" s="14">
        <v>653297</v>
      </c>
      <c r="G1407" s="6">
        <v>162077</v>
      </c>
      <c r="H1407" s="6">
        <v>34876</v>
      </c>
      <c r="I1407" s="6">
        <v>45318</v>
      </c>
      <c r="J1407" s="6">
        <v>233122</v>
      </c>
      <c r="K1407" s="6">
        <v>550795</v>
      </c>
      <c r="L1407" s="6">
        <v>156398</v>
      </c>
      <c r="M1407" s="6">
        <v>2091860</v>
      </c>
      <c r="N1407" s="42">
        <v>1224789</v>
      </c>
      <c r="O1407" s="42"/>
      <c r="P1407" s="42">
        <v>62095</v>
      </c>
      <c r="Q1407" s="42">
        <v>176603</v>
      </c>
      <c r="R1407" s="42">
        <v>3392667</v>
      </c>
      <c r="S1407" s="5">
        <v>74430</v>
      </c>
      <c r="T1407" s="42">
        <v>514258</v>
      </c>
    </row>
    <row r="1408" spans="1:20" x14ac:dyDescent="0.3">
      <c r="A1408" s="7">
        <v>44110</v>
      </c>
      <c r="B1408" s="5"/>
      <c r="C1408" s="6">
        <v>132119</v>
      </c>
      <c r="D1408" s="6">
        <v>156467</v>
      </c>
      <c r="E1408" s="6">
        <v>113818</v>
      </c>
      <c r="F1408" s="14">
        <v>652135</v>
      </c>
      <c r="G1408" s="6">
        <v>163024</v>
      </c>
      <c r="H1408" s="6">
        <v>34612</v>
      </c>
      <c r="I1408" s="6">
        <v>45038</v>
      </c>
      <c r="J1408" s="6">
        <v>228717</v>
      </c>
      <c r="K1408" s="6">
        <v>555555</v>
      </c>
      <c r="L1408" s="6">
        <v>155484</v>
      </c>
      <c r="M1408" s="6">
        <v>2111762</v>
      </c>
      <c r="N1408" s="42">
        <v>1230358</v>
      </c>
      <c r="O1408" s="42"/>
      <c r="P1408" s="42">
        <v>61596</v>
      </c>
      <c r="Q1408" s="42">
        <v>179254</v>
      </c>
      <c r="R1408" s="42">
        <v>3389559</v>
      </c>
      <c r="S1408" s="5">
        <v>75564</v>
      </c>
      <c r="T1408" s="42">
        <v>501663</v>
      </c>
    </row>
    <row r="1409" spans="1:20" x14ac:dyDescent="0.3">
      <c r="A1409" s="7">
        <v>44109</v>
      </c>
      <c r="B1409" s="5"/>
      <c r="C1409" s="6">
        <v>129055</v>
      </c>
      <c r="D1409" s="6">
        <v>156932</v>
      </c>
      <c r="E1409" s="6">
        <v>112678</v>
      </c>
      <c r="F1409" s="14">
        <v>651281</v>
      </c>
      <c r="G1409" s="6">
        <v>160676</v>
      </c>
      <c r="H1409" s="6">
        <v>34050</v>
      </c>
      <c r="I1409" s="6">
        <v>45280</v>
      </c>
      <c r="J1409" s="6">
        <v>228600</v>
      </c>
      <c r="K1409" s="6">
        <v>554718</v>
      </c>
      <c r="L1409" s="6">
        <v>156914</v>
      </c>
      <c r="M1409" s="6">
        <v>2115213</v>
      </c>
      <c r="N1409" s="42">
        <v>1262845</v>
      </c>
      <c r="O1409" s="42"/>
      <c r="P1409" s="42">
        <v>62581</v>
      </c>
      <c r="Q1409" s="42">
        <v>176294</v>
      </c>
      <c r="R1409" s="42">
        <v>3393518</v>
      </c>
      <c r="S1409" s="5">
        <v>80803</v>
      </c>
      <c r="T1409" s="42">
        <v>501010</v>
      </c>
    </row>
    <row r="1410" spans="1:20" x14ac:dyDescent="0.3">
      <c r="A1410" s="7">
        <v>44106</v>
      </c>
      <c r="B1410" s="5"/>
      <c r="C1410" s="6">
        <v>129199</v>
      </c>
      <c r="D1410" s="6">
        <v>160941</v>
      </c>
      <c r="E1410" s="6">
        <v>112698</v>
      </c>
      <c r="F1410" s="14">
        <v>645576</v>
      </c>
      <c r="G1410" s="6">
        <v>162445</v>
      </c>
      <c r="H1410" s="6">
        <v>34439</v>
      </c>
      <c r="I1410" s="6">
        <v>44555</v>
      </c>
      <c r="J1410" s="6">
        <v>230829</v>
      </c>
      <c r="K1410" s="6">
        <v>552239</v>
      </c>
      <c r="L1410" s="6">
        <v>155241</v>
      </c>
      <c r="M1410" s="6">
        <v>2112306</v>
      </c>
      <c r="N1410" s="42">
        <v>1245650</v>
      </c>
      <c r="O1410" s="42"/>
      <c r="P1410" s="42">
        <v>61154</v>
      </c>
      <c r="Q1410" s="42">
        <v>175888</v>
      </c>
      <c r="R1410" s="42">
        <v>3400284</v>
      </c>
      <c r="S1410" s="5">
        <v>85015</v>
      </c>
      <c r="T1410" s="42">
        <v>504444</v>
      </c>
    </row>
    <row r="1411" spans="1:20" x14ac:dyDescent="0.3">
      <c r="A1411" s="7">
        <v>44105</v>
      </c>
      <c r="B1411" s="5"/>
      <c r="C1411" s="6">
        <v>129197</v>
      </c>
      <c r="D1411" s="6">
        <v>162366</v>
      </c>
      <c r="E1411" s="6">
        <v>112353</v>
      </c>
      <c r="F1411" s="14">
        <v>649503</v>
      </c>
      <c r="G1411" s="6">
        <v>160084</v>
      </c>
      <c r="H1411" s="6">
        <v>34833</v>
      </c>
      <c r="I1411" s="6">
        <v>44901</v>
      </c>
      <c r="J1411" s="6">
        <v>234984</v>
      </c>
      <c r="K1411" s="6">
        <v>555482</v>
      </c>
      <c r="L1411" s="6">
        <v>155402</v>
      </c>
      <c r="M1411" s="6">
        <v>2094917</v>
      </c>
      <c r="N1411" s="42">
        <v>1255241</v>
      </c>
      <c r="O1411" s="42"/>
      <c r="P1411" s="42">
        <v>60884</v>
      </c>
      <c r="Q1411" s="42">
        <v>179245</v>
      </c>
      <c r="R1411" s="42">
        <v>3434019</v>
      </c>
      <c r="S1411" s="5">
        <v>73750</v>
      </c>
      <c r="T1411" s="42">
        <v>496891</v>
      </c>
    </row>
    <row r="1412" spans="1:20" x14ac:dyDescent="0.3">
      <c r="A1412" s="7">
        <v>44104</v>
      </c>
      <c r="B1412" s="5"/>
      <c r="C1412" s="6">
        <v>127081</v>
      </c>
      <c r="D1412" s="6">
        <v>159335</v>
      </c>
      <c r="E1412" s="6">
        <v>111781</v>
      </c>
      <c r="F1412" s="14">
        <v>652188</v>
      </c>
      <c r="G1412" s="6">
        <v>159942</v>
      </c>
      <c r="H1412" s="6">
        <v>35466</v>
      </c>
      <c r="I1412" s="6">
        <v>46074</v>
      </c>
      <c r="J1412" s="6">
        <v>238885</v>
      </c>
      <c r="K1412" s="6">
        <v>555967</v>
      </c>
      <c r="L1412" s="6">
        <v>154828</v>
      </c>
      <c r="M1412" s="6">
        <v>2078629</v>
      </c>
      <c r="N1412" s="42">
        <v>1240173</v>
      </c>
      <c r="O1412" s="42"/>
      <c r="P1412" s="42">
        <v>62252</v>
      </c>
      <c r="Q1412" s="42">
        <v>179268</v>
      </c>
      <c r="R1412" s="42">
        <v>3436953</v>
      </c>
      <c r="S1412" s="5">
        <v>76216</v>
      </c>
      <c r="T1412" s="42">
        <v>497579</v>
      </c>
    </row>
    <row r="1413" spans="1:20" x14ac:dyDescent="0.3">
      <c r="A1413" s="7">
        <v>44103</v>
      </c>
      <c r="B1413" s="5"/>
      <c r="C1413" s="6">
        <v>128448</v>
      </c>
      <c r="D1413" s="6">
        <v>159049</v>
      </c>
      <c r="E1413" s="6">
        <v>113862</v>
      </c>
      <c r="F1413" s="14">
        <v>655912</v>
      </c>
      <c r="G1413" s="6">
        <v>158298</v>
      </c>
      <c r="H1413" s="6">
        <v>35923</v>
      </c>
      <c r="I1413" s="6">
        <v>47666</v>
      </c>
      <c r="J1413" s="6">
        <v>236095</v>
      </c>
      <c r="K1413" s="6">
        <v>562396</v>
      </c>
      <c r="L1413" s="6">
        <v>157308</v>
      </c>
      <c r="M1413" s="6">
        <v>2078331</v>
      </c>
      <c r="N1413" s="42">
        <v>1227791</v>
      </c>
      <c r="O1413" s="42"/>
      <c r="P1413" s="42">
        <v>60399</v>
      </c>
      <c r="Q1413" s="42">
        <v>177937</v>
      </c>
      <c r="R1413" s="42">
        <v>3434258</v>
      </c>
      <c r="S1413" s="5">
        <v>73008</v>
      </c>
      <c r="T1413" s="42">
        <v>498130</v>
      </c>
    </row>
    <row r="1414" spans="1:20" x14ac:dyDescent="0.3">
      <c r="A1414" s="7">
        <v>44102</v>
      </c>
      <c r="B1414" s="5"/>
      <c r="C1414" s="6">
        <v>131598</v>
      </c>
      <c r="D1414" s="6">
        <v>160585</v>
      </c>
      <c r="E1414" s="6">
        <v>112931</v>
      </c>
      <c r="F1414" s="14">
        <v>650697</v>
      </c>
      <c r="G1414" s="6">
        <v>157663</v>
      </c>
      <c r="H1414" s="6">
        <v>36626</v>
      </c>
      <c r="I1414" s="6">
        <v>48943</v>
      </c>
      <c r="J1414" s="6">
        <v>235340</v>
      </c>
      <c r="K1414" s="6">
        <v>562019</v>
      </c>
      <c r="L1414" s="6">
        <v>154491</v>
      </c>
      <c r="M1414" s="6">
        <v>2058364</v>
      </c>
      <c r="N1414" s="42">
        <v>1216672</v>
      </c>
      <c r="O1414" s="42"/>
      <c r="P1414" s="42">
        <v>56643</v>
      </c>
      <c r="Q1414" s="42">
        <v>180735</v>
      </c>
      <c r="R1414" s="42">
        <v>3450387</v>
      </c>
      <c r="S1414" s="5">
        <v>72840</v>
      </c>
      <c r="T1414" s="42">
        <v>502011</v>
      </c>
    </row>
    <row r="1415" spans="1:20" x14ac:dyDescent="0.3">
      <c r="A1415" s="7">
        <v>44099</v>
      </c>
      <c r="B1415" s="5"/>
      <c r="C1415" s="6">
        <v>133126</v>
      </c>
      <c r="D1415" s="6">
        <v>161055</v>
      </c>
      <c r="E1415" s="6">
        <v>111718</v>
      </c>
      <c r="F1415" s="14">
        <v>652631</v>
      </c>
      <c r="G1415" s="6">
        <v>157555</v>
      </c>
      <c r="H1415" s="6">
        <v>36307</v>
      </c>
      <c r="I1415" s="6">
        <v>48346</v>
      </c>
      <c r="J1415" s="6">
        <v>235284</v>
      </c>
      <c r="K1415" s="6">
        <v>559028</v>
      </c>
      <c r="L1415" s="6">
        <v>153293</v>
      </c>
      <c r="M1415" s="6">
        <v>2052097</v>
      </c>
      <c r="N1415" s="42">
        <v>1213525</v>
      </c>
      <c r="O1415" s="42"/>
      <c r="P1415" s="42">
        <v>58964</v>
      </c>
      <c r="Q1415" s="42">
        <v>180690</v>
      </c>
      <c r="R1415" s="42">
        <v>3447561</v>
      </c>
      <c r="S1415" s="5">
        <v>74475</v>
      </c>
      <c r="T1415" s="42">
        <v>503890</v>
      </c>
    </row>
    <row r="1416" spans="1:20" x14ac:dyDescent="0.3">
      <c r="A1416" s="7">
        <v>44098</v>
      </c>
      <c r="B1416" s="5"/>
      <c r="C1416" s="6">
        <v>135605</v>
      </c>
      <c r="D1416" s="6">
        <v>157856</v>
      </c>
      <c r="E1416" s="6">
        <v>111238</v>
      </c>
      <c r="F1416" s="14">
        <v>657167</v>
      </c>
      <c r="G1416" s="6">
        <v>160347</v>
      </c>
      <c r="H1416" s="6">
        <v>35301</v>
      </c>
      <c r="I1416" s="6">
        <v>48812</v>
      </c>
      <c r="J1416" s="6">
        <v>236889</v>
      </c>
      <c r="K1416" s="6">
        <v>561032</v>
      </c>
      <c r="L1416" s="6">
        <v>154863</v>
      </c>
      <c r="M1416" s="6">
        <v>2044780</v>
      </c>
      <c r="N1416" s="42">
        <v>1186021</v>
      </c>
      <c r="O1416" s="42"/>
      <c r="P1416" s="42">
        <v>56377</v>
      </c>
      <c r="Q1416" s="42">
        <v>179907</v>
      </c>
      <c r="R1416" s="42">
        <v>3452522</v>
      </c>
      <c r="S1416" s="5">
        <v>73282</v>
      </c>
      <c r="T1416" s="42">
        <v>503714</v>
      </c>
    </row>
    <row r="1417" spans="1:20" x14ac:dyDescent="0.3">
      <c r="A1417" s="7">
        <v>44097</v>
      </c>
      <c r="B1417" s="5"/>
      <c r="C1417" s="6">
        <v>134033</v>
      </c>
      <c r="D1417" s="6">
        <v>155194</v>
      </c>
      <c r="E1417" s="6">
        <v>115693</v>
      </c>
      <c r="F1417" s="14">
        <v>662279</v>
      </c>
      <c r="G1417" s="6">
        <v>162760</v>
      </c>
      <c r="H1417" s="6">
        <v>35408</v>
      </c>
      <c r="I1417" s="6">
        <v>50206</v>
      </c>
      <c r="J1417" s="6">
        <v>244381</v>
      </c>
      <c r="K1417" s="6">
        <v>579011</v>
      </c>
      <c r="L1417" s="6">
        <v>157071</v>
      </c>
      <c r="M1417" s="6">
        <v>2039602</v>
      </c>
      <c r="N1417" s="42">
        <v>1205583</v>
      </c>
      <c r="O1417" s="42"/>
      <c r="P1417" s="42">
        <v>53991</v>
      </c>
      <c r="Q1417" s="42">
        <v>183367</v>
      </c>
      <c r="R1417" s="42">
        <v>3447518</v>
      </c>
      <c r="S1417" s="5">
        <v>74611</v>
      </c>
      <c r="T1417" s="42">
        <v>506801</v>
      </c>
    </row>
    <row r="1418" spans="1:20" x14ac:dyDescent="0.3">
      <c r="A1418" s="7">
        <v>44096</v>
      </c>
      <c r="B1418" s="5"/>
      <c r="C1418" s="6">
        <v>133214</v>
      </c>
      <c r="D1418" s="6">
        <v>152613</v>
      </c>
      <c r="E1418" s="6">
        <v>117564</v>
      </c>
      <c r="F1418" s="14">
        <v>666412</v>
      </c>
      <c r="G1418" s="6">
        <v>169251</v>
      </c>
      <c r="H1418" s="6">
        <v>35216</v>
      </c>
      <c r="I1418" s="6">
        <v>51875</v>
      </c>
      <c r="J1418" s="6">
        <v>252360</v>
      </c>
      <c r="K1418" s="6">
        <v>575877</v>
      </c>
      <c r="L1418" s="6">
        <v>157908</v>
      </c>
      <c r="M1418" s="6">
        <v>2028620</v>
      </c>
      <c r="N1418" s="42">
        <v>1250595</v>
      </c>
      <c r="O1418" s="42"/>
      <c r="P1418" s="42">
        <v>55113</v>
      </c>
      <c r="Q1418" s="42">
        <v>186511</v>
      </c>
      <c r="R1418" s="42">
        <v>3493527</v>
      </c>
      <c r="S1418" s="5">
        <v>71962</v>
      </c>
      <c r="T1418" s="42">
        <v>514063</v>
      </c>
    </row>
    <row r="1419" spans="1:20" x14ac:dyDescent="0.3">
      <c r="A1419" s="7">
        <v>44095</v>
      </c>
      <c r="B1419" s="5"/>
      <c r="C1419" s="6">
        <v>135173</v>
      </c>
      <c r="D1419" s="6">
        <v>154570</v>
      </c>
      <c r="E1419" s="6">
        <v>123704</v>
      </c>
      <c r="F1419" s="14">
        <v>669087</v>
      </c>
      <c r="G1419" s="6">
        <v>169972</v>
      </c>
      <c r="H1419" s="6">
        <v>36793</v>
      </c>
      <c r="I1419" s="6">
        <v>51342</v>
      </c>
      <c r="J1419" s="6">
        <v>249571</v>
      </c>
      <c r="K1419" s="6">
        <v>574570</v>
      </c>
      <c r="L1419" s="6">
        <v>158526</v>
      </c>
      <c r="M1419" s="6">
        <v>2023457</v>
      </c>
      <c r="N1419" s="42">
        <v>1258021</v>
      </c>
      <c r="O1419" s="42"/>
      <c r="P1419" s="42">
        <v>54158</v>
      </c>
      <c r="Q1419" s="42">
        <v>183933</v>
      </c>
      <c r="R1419" s="42">
        <v>3519802</v>
      </c>
      <c r="S1419" s="5">
        <v>74697</v>
      </c>
      <c r="T1419" s="42">
        <v>589821</v>
      </c>
    </row>
    <row r="1420" spans="1:20" x14ac:dyDescent="0.3">
      <c r="A1420" s="7">
        <v>44092</v>
      </c>
      <c r="B1420" s="5"/>
      <c r="C1420" s="6">
        <v>130785</v>
      </c>
      <c r="D1420" s="6">
        <v>149619</v>
      </c>
      <c r="E1420" s="6">
        <v>123012</v>
      </c>
      <c r="F1420" s="14">
        <v>672867</v>
      </c>
      <c r="G1420" s="6">
        <v>167638</v>
      </c>
      <c r="H1420" s="6">
        <v>36290</v>
      </c>
      <c r="I1420" s="6">
        <v>53101</v>
      </c>
      <c r="J1420" s="6">
        <v>255062</v>
      </c>
      <c r="K1420" s="6">
        <v>579772</v>
      </c>
      <c r="L1420" s="6">
        <v>163839</v>
      </c>
      <c r="M1420" s="6">
        <v>2060694</v>
      </c>
      <c r="N1420" s="42">
        <v>1257703</v>
      </c>
      <c r="O1420" s="42"/>
      <c r="P1420" s="42">
        <v>55288</v>
      </c>
      <c r="Q1420" s="42">
        <v>190103</v>
      </c>
      <c r="R1420" s="42">
        <v>3532642</v>
      </c>
      <c r="S1420">
        <v>0</v>
      </c>
      <c r="T1420" s="42">
        <v>590665</v>
      </c>
    </row>
    <row r="1421" spans="1:20" x14ac:dyDescent="0.3">
      <c r="A1421" s="7">
        <v>44091</v>
      </c>
      <c r="B1421" s="5"/>
      <c r="C1421" s="6">
        <v>132104</v>
      </c>
      <c r="D1421" s="6">
        <v>149518</v>
      </c>
      <c r="E1421" s="6">
        <v>123768</v>
      </c>
      <c r="F1421" s="14">
        <v>672824</v>
      </c>
      <c r="G1421" s="6">
        <v>159861</v>
      </c>
      <c r="H1421" s="6">
        <v>35166</v>
      </c>
      <c r="I1421" s="6">
        <v>53810</v>
      </c>
      <c r="J1421" s="6">
        <v>246366</v>
      </c>
      <c r="K1421" s="6">
        <v>576899</v>
      </c>
      <c r="L1421" s="6">
        <v>163292</v>
      </c>
      <c r="M1421" s="6">
        <v>2059245</v>
      </c>
      <c r="N1421" s="42">
        <v>1240069</v>
      </c>
      <c r="O1421" s="42"/>
      <c r="P1421" s="42">
        <v>54276</v>
      </c>
      <c r="Q1421" s="42">
        <v>187369</v>
      </c>
      <c r="R1421" s="42">
        <v>3531357</v>
      </c>
      <c r="S1421" s="5">
        <v>76017</v>
      </c>
      <c r="T1421" s="42">
        <v>592764</v>
      </c>
    </row>
    <row r="1422" spans="1:20" x14ac:dyDescent="0.3">
      <c r="A1422" s="7">
        <v>44090</v>
      </c>
      <c r="B1422" s="5"/>
      <c r="C1422" s="6">
        <v>130291</v>
      </c>
      <c r="D1422" s="6">
        <v>148679</v>
      </c>
      <c r="E1422" s="6">
        <v>120241</v>
      </c>
      <c r="F1422" s="14">
        <v>668704</v>
      </c>
      <c r="G1422" s="6">
        <v>149960</v>
      </c>
      <c r="H1422" s="6">
        <v>35151</v>
      </c>
      <c r="I1422" s="6">
        <v>53359</v>
      </c>
      <c r="J1422" s="6">
        <v>246452</v>
      </c>
      <c r="K1422" s="6">
        <v>582353</v>
      </c>
      <c r="L1422" s="6">
        <v>162351</v>
      </c>
      <c r="M1422" s="6">
        <v>2090453</v>
      </c>
      <c r="N1422" s="42">
        <v>1224791</v>
      </c>
      <c r="O1422" s="42"/>
      <c r="P1422" s="42">
        <v>56387</v>
      </c>
      <c r="Q1422" s="42">
        <v>186519</v>
      </c>
      <c r="R1422" s="42">
        <v>3439568</v>
      </c>
      <c r="S1422" s="5">
        <v>74715</v>
      </c>
      <c r="T1422" s="42">
        <v>570721</v>
      </c>
    </row>
    <row r="1423" spans="1:20" x14ac:dyDescent="0.3">
      <c r="A1423" s="7">
        <v>44089</v>
      </c>
      <c r="B1423" s="5"/>
      <c r="C1423" s="6">
        <v>166466</v>
      </c>
      <c r="D1423" s="6">
        <v>197382</v>
      </c>
      <c r="E1423" s="6">
        <v>147273</v>
      </c>
      <c r="F1423" s="14">
        <v>827065</v>
      </c>
      <c r="G1423" s="6">
        <v>171134</v>
      </c>
      <c r="H1423" s="6">
        <v>47543</v>
      </c>
      <c r="I1423" s="6">
        <v>71092</v>
      </c>
      <c r="J1423" s="6">
        <v>244071</v>
      </c>
      <c r="K1423" s="6">
        <v>578925</v>
      </c>
      <c r="L1423" s="6">
        <v>162397</v>
      </c>
      <c r="M1423" s="6">
        <v>2108987</v>
      </c>
      <c r="N1423" s="42">
        <v>1216304</v>
      </c>
      <c r="O1423" s="42"/>
      <c r="P1423" s="42">
        <v>57060</v>
      </c>
      <c r="Q1423" s="42">
        <v>187172</v>
      </c>
      <c r="R1423" s="42">
        <v>3386086</v>
      </c>
      <c r="S1423" s="5">
        <v>80522</v>
      </c>
      <c r="T1423" s="42">
        <v>555244</v>
      </c>
    </row>
    <row r="1424" spans="1:20" x14ac:dyDescent="0.3">
      <c r="A1424" s="7">
        <v>44088</v>
      </c>
      <c r="B1424" s="5"/>
      <c r="C1424" s="6">
        <v>164083</v>
      </c>
      <c r="D1424" s="6">
        <v>198152</v>
      </c>
      <c r="E1424" s="6">
        <v>145866</v>
      </c>
      <c r="F1424" s="14">
        <v>828867</v>
      </c>
      <c r="G1424" s="6">
        <v>168594</v>
      </c>
      <c r="H1424" s="6">
        <v>46946</v>
      </c>
      <c r="I1424" s="6">
        <v>71281</v>
      </c>
      <c r="J1424" s="6">
        <v>241342</v>
      </c>
      <c r="K1424" s="6">
        <v>575432</v>
      </c>
      <c r="L1424" s="6">
        <v>161795</v>
      </c>
      <c r="M1424" s="6">
        <v>2108791</v>
      </c>
      <c r="N1424" s="42">
        <v>1210408</v>
      </c>
      <c r="O1424" s="42"/>
      <c r="P1424" s="42">
        <v>55806</v>
      </c>
      <c r="Q1424" s="42">
        <v>188374</v>
      </c>
      <c r="R1424" s="42">
        <v>3374593</v>
      </c>
      <c r="S1424" s="5">
        <v>80621</v>
      </c>
      <c r="T1424" s="42">
        <v>531388</v>
      </c>
    </row>
    <row r="1425" spans="1:20" x14ac:dyDescent="0.3">
      <c r="A1425" s="7">
        <v>44085</v>
      </c>
      <c r="B1425" s="5"/>
      <c r="C1425" s="6">
        <v>163842</v>
      </c>
      <c r="D1425" s="6">
        <v>203972</v>
      </c>
      <c r="E1425" s="6">
        <v>142436</v>
      </c>
      <c r="F1425" s="14">
        <v>822155</v>
      </c>
      <c r="G1425" s="6">
        <v>158938</v>
      </c>
      <c r="H1425" s="6">
        <v>46608</v>
      </c>
      <c r="I1425" s="6">
        <v>70050</v>
      </c>
      <c r="J1425" s="6">
        <v>237763</v>
      </c>
      <c r="K1425" s="6">
        <v>568244</v>
      </c>
      <c r="L1425" s="6">
        <v>161083</v>
      </c>
      <c r="M1425" s="6">
        <v>2098411</v>
      </c>
      <c r="N1425" s="42">
        <v>1209535</v>
      </c>
      <c r="O1425" s="42"/>
      <c r="P1425" s="42">
        <v>55947</v>
      </c>
      <c r="Q1425" s="42">
        <v>193146</v>
      </c>
      <c r="R1425" s="42">
        <v>3312120</v>
      </c>
      <c r="S1425" s="5">
        <v>80806</v>
      </c>
      <c r="T1425" s="42">
        <v>502479</v>
      </c>
    </row>
    <row r="1426" spans="1:20" x14ac:dyDescent="0.3">
      <c r="A1426" s="7">
        <v>44084</v>
      </c>
      <c r="B1426" s="5"/>
      <c r="C1426" s="6">
        <v>165557</v>
      </c>
      <c r="D1426" s="6">
        <v>206341</v>
      </c>
      <c r="E1426" s="6">
        <v>140455</v>
      </c>
      <c r="F1426" s="14">
        <v>789916</v>
      </c>
      <c r="G1426" s="6">
        <v>152950</v>
      </c>
      <c r="H1426" s="6">
        <v>46435</v>
      </c>
      <c r="I1426" s="6">
        <v>70317</v>
      </c>
      <c r="J1426" s="6">
        <v>237732</v>
      </c>
      <c r="K1426" s="6">
        <v>570048</v>
      </c>
      <c r="L1426" s="6">
        <v>160869</v>
      </c>
      <c r="M1426" s="6">
        <v>2084621</v>
      </c>
      <c r="N1426" s="42">
        <v>1215247</v>
      </c>
      <c r="O1426" s="42"/>
      <c r="P1426" s="42">
        <v>50066</v>
      </c>
      <c r="Q1426" s="42">
        <v>194753</v>
      </c>
      <c r="R1426" s="42">
        <v>3345366</v>
      </c>
      <c r="S1426" s="5">
        <v>79230</v>
      </c>
      <c r="T1426" s="42">
        <v>501198</v>
      </c>
    </row>
    <row r="1427" spans="1:20" x14ac:dyDescent="0.3">
      <c r="A1427" s="7">
        <v>44083</v>
      </c>
      <c r="B1427" s="5"/>
      <c r="C1427" s="6">
        <v>161307</v>
      </c>
      <c r="D1427" s="6">
        <v>193483</v>
      </c>
      <c r="E1427" s="6">
        <v>136701</v>
      </c>
      <c r="F1427" s="14">
        <v>680741</v>
      </c>
      <c r="G1427" s="6">
        <v>156037</v>
      </c>
      <c r="H1427" s="6">
        <v>50470</v>
      </c>
      <c r="I1427" s="6">
        <v>56951</v>
      </c>
      <c r="J1427" s="6">
        <v>238016</v>
      </c>
      <c r="K1427" s="6">
        <v>564459</v>
      </c>
      <c r="L1427" s="6">
        <v>159358</v>
      </c>
      <c r="M1427" s="6">
        <v>2064813</v>
      </c>
      <c r="N1427" s="42">
        <v>1221849</v>
      </c>
      <c r="O1427" s="42"/>
      <c r="P1427" s="42">
        <v>50161</v>
      </c>
      <c r="Q1427" s="42">
        <v>199882</v>
      </c>
      <c r="R1427" s="42">
        <v>3321819</v>
      </c>
      <c r="S1427" s="5">
        <v>80512</v>
      </c>
      <c r="T1427" s="42">
        <v>503285</v>
      </c>
    </row>
    <row r="1428" spans="1:20" x14ac:dyDescent="0.3">
      <c r="A1428" s="7">
        <v>44082</v>
      </c>
      <c r="B1428" s="5"/>
      <c r="C1428" s="6">
        <v>144091</v>
      </c>
      <c r="D1428" s="6">
        <v>197524</v>
      </c>
      <c r="E1428" s="6">
        <v>137618</v>
      </c>
      <c r="F1428" s="14">
        <v>690782</v>
      </c>
      <c r="G1428" s="6">
        <v>151546</v>
      </c>
      <c r="H1428" s="6">
        <v>44047</v>
      </c>
      <c r="I1428" s="6">
        <v>52562</v>
      </c>
      <c r="J1428" s="6">
        <v>236149</v>
      </c>
      <c r="K1428" s="6">
        <v>557457</v>
      </c>
      <c r="L1428" s="6">
        <v>158991</v>
      </c>
      <c r="M1428" s="6">
        <v>2046660</v>
      </c>
      <c r="N1428" s="42">
        <v>1230074</v>
      </c>
      <c r="O1428" s="42"/>
      <c r="P1428" s="42">
        <v>56395</v>
      </c>
      <c r="Q1428" s="42">
        <v>205172</v>
      </c>
      <c r="R1428" s="42">
        <v>3428681</v>
      </c>
      <c r="S1428" s="5">
        <v>88999</v>
      </c>
      <c r="T1428" s="42">
        <v>500452</v>
      </c>
    </row>
    <row r="1429" spans="1:20" x14ac:dyDescent="0.3">
      <c r="A1429" s="7">
        <v>44078</v>
      </c>
      <c r="B1429" s="5"/>
      <c r="C1429" s="6">
        <v>136516</v>
      </c>
      <c r="D1429" s="6">
        <v>188658</v>
      </c>
      <c r="E1429" s="6">
        <v>138619</v>
      </c>
      <c r="F1429" s="14">
        <v>690710</v>
      </c>
      <c r="G1429" s="6">
        <v>143933</v>
      </c>
      <c r="H1429" s="6">
        <v>40952</v>
      </c>
      <c r="I1429" s="6">
        <v>53243</v>
      </c>
      <c r="J1429" s="6">
        <v>236832</v>
      </c>
      <c r="K1429" s="6">
        <v>551271</v>
      </c>
      <c r="L1429" s="6">
        <v>158744</v>
      </c>
      <c r="M1429" s="6">
        <v>2058086</v>
      </c>
      <c r="N1429" s="42">
        <v>1257568</v>
      </c>
      <c r="O1429" s="42"/>
      <c r="P1429" s="42">
        <v>73138</v>
      </c>
      <c r="Q1429" s="42">
        <v>282295</v>
      </c>
      <c r="R1429" s="42">
        <v>4522531</v>
      </c>
      <c r="S1429" s="5">
        <v>71942</v>
      </c>
      <c r="T1429" s="42">
        <v>499528</v>
      </c>
    </row>
    <row r="1430" spans="1:20" x14ac:dyDescent="0.3">
      <c r="A1430" s="7">
        <v>44077</v>
      </c>
      <c r="B1430" s="5"/>
      <c r="C1430" s="6">
        <v>135658</v>
      </c>
      <c r="D1430" s="6">
        <v>188714</v>
      </c>
      <c r="E1430" s="6">
        <v>137933</v>
      </c>
      <c r="F1430" s="14">
        <v>697840</v>
      </c>
      <c r="G1430" s="6">
        <v>146010</v>
      </c>
      <c r="H1430" s="6">
        <v>39920</v>
      </c>
      <c r="I1430" s="6">
        <v>52344</v>
      </c>
      <c r="J1430" s="6">
        <v>229937</v>
      </c>
      <c r="K1430" s="6">
        <v>548934</v>
      </c>
      <c r="L1430" s="6">
        <v>161139</v>
      </c>
      <c r="M1430" s="6">
        <v>2054036</v>
      </c>
      <c r="N1430" s="42">
        <v>1280571</v>
      </c>
      <c r="O1430" s="42"/>
      <c r="P1430" s="42">
        <v>75640</v>
      </c>
      <c r="Q1430" s="42">
        <v>294275</v>
      </c>
      <c r="R1430" s="42">
        <v>4553389</v>
      </c>
      <c r="S1430" s="5">
        <v>99319</v>
      </c>
      <c r="T1430" s="42">
        <v>499985</v>
      </c>
    </row>
    <row r="1431" spans="1:20" x14ac:dyDescent="0.3">
      <c r="A1431" s="7">
        <v>44076</v>
      </c>
      <c r="B1431" s="5"/>
      <c r="C1431" s="6">
        <v>137853</v>
      </c>
      <c r="D1431" s="6">
        <v>189556</v>
      </c>
      <c r="E1431" s="6">
        <v>139959</v>
      </c>
      <c r="F1431" s="14">
        <v>701456</v>
      </c>
      <c r="G1431" s="6">
        <v>146056</v>
      </c>
      <c r="H1431" s="6">
        <v>40628</v>
      </c>
      <c r="I1431" s="6">
        <v>53380</v>
      </c>
      <c r="J1431" s="6">
        <v>232537</v>
      </c>
      <c r="K1431" s="6">
        <v>549415</v>
      </c>
      <c r="L1431" s="6">
        <v>163745</v>
      </c>
      <c r="M1431" s="6">
        <v>2069502</v>
      </c>
      <c r="N1431" s="42">
        <v>1314372</v>
      </c>
      <c r="O1431" s="42"/>
      <c r="P1431" s="42">
        <v>79850</v>
      </c>
      <c r="Q1431" s="42">
        <v>298329</v>
      </c>
      <c r="R1431" s="42">
        <v>4628490</v>
      </c>
      <c r="S1431" s="5">
        <v>102404</v>
      </c>
      <c r="T1431" s="42">
        <v>502015</v>
      </c>
    </row>
    <row r="1432" spans="1:20" x14ac:dyDescent="0.3">
      <c r="A1432" s="7">
        <v>44075</v>
      </c>
      <c r="B1432" s="5"/>
      <c r="C1432" s="6">
        <v>137131</v>
      </c>
      <c r="D1432" s="6">
        <v>186588</v>
      </c>
      <c r="E1432" s="6">
        <v>140520</v>
      </c>
      <c r="F1432" s="14">
        <v>698211</v>
      </c>
      <c r="G1432" s="6">
        <v>145922</v>
      </c>
      <c r="H1432" s="6">
        <v>40244</v>
      </c>
      <c r="I1432" s="6">
        <v>54037</v>
      </c>
      <c r="J1432" s="6">
        <v>233226</v>
      </c>
      <c r="K1432" s="6">
        <v>547704</v>
      </c>
      <c r="L1432" s="6">
        <v>166449</v>
      </c>
      <c r="M1432" s="6">
        <v>2064137</v>
      </c>
      <c r="N1432" s="42">
        <v>1319831</v>
      </c>
      <c r="O1432" s="42"/>
      <c r="P1432" s="42">
        <v>82681</v>
      </c>
      <c r="Q1432" s="42">
        <v>296271</v>
      </c>
      <c r="R1432" s="42">
        <v>4554164</v>
      </c>
      <c r="S1432" s="5">
        <v>117026</v>
      </c>
      <c r="T1432" s="42">
        <v>502221</v>
      </c>
    </row>
    <row r="1433" spans="1:20" x14ac:dyDescent="0.3">
      <c r="A1433" s="7">
        <v>44074</v>
      </c>
      <c r="B1433" s="5"/>
      <c r="C1433" s="6">
        <v>133907</v>
      </c>
      <c r="D1433" s="6">
        <v>181025</v>
      </c>
      <c r="E1433" s="6">
        <v>138701</v>
      </c>
      <c r="F1433" s="14">
        <v>702181</v>
      </c>
      <c r="G1433" s="6">
        <v>147160</v>
      </c>
      <c r="H1433" s="6">
        <v>39241</v>
      </c>
      <c r="I1433" s="6">
        <v>54393</v>
      </c>
      <c r="J1433" s="6">
        <v>231031</v>
      </c>
      <c r="K1433" s="6">
        <v>544006</v>
      </c>
      <c r="L1433" s="6">
        <v>165543</v>
      </c>
      <c r="M1433" s="6">
        <v>2061302</v>
      </c>
      <c r="N1433" s="42">
        <v>1346760</v>
      </c>
      <c r="O1433" s="42"/>
      <c r="P1433" s="42">
        <v>87581</v>
      </c>
      <c r="Q1433" s="42">
        <v>281570</v>
      </c>
      <c r="R1433" s="42">
        <v>4369655</v>
      </c>
      <c r="S1433" s="5">
        <v>97845</v>
      </c>
      <c r="T1433" s="42">
        <v>502932</v>
      </c>
    </row>
    <row r="1434" spans="1:20" x14ac:dyDescent="0.3">
      <c r="A1434" s="7">
        <v>44071</v>
      </c>
      <c r="B1434" s="5"/>
      <c r="C1434" s="6">
        <v>134861</v>
      </c>
      <c r="D1434" s="6">
        <v>186261</v>
      </c>
      <c r="E1434" s="6">
        <v>141734</v>
      </c>
      <c r="F1434" s="14">
        <v>703350</v>
      </c>
      <c r="G1434" s="6">
        <v>153993</v>
      </c>
      <c r="H1434" s="6">
        <v>40924</v>
      </c>
      <c r="I1434" s="6">
        <v>55000</v>
      </c>
      <c r="J1434" s="6">
        <v>228377</v>
      </c>
      <c r="K1434" s="6">
        <v>547812</v>
      </c>
      <c r="L1434" s="6">
        <v>168368</v>
      </c>
      <c r="M1434" s="6">
        <v>2061320</v>
      </c>
      <c r="N1434" s="42">
        <v>1371584</v>
      </c>
      <c r="O1434" s="42"/>
      <c r="P1434" s="42">
        <v>91774</v>
      </c>
      <c r="Q1434" s="42">
        <v>259732</v>
      </c>
      <c r="R1434" s="42">
        <v>4124655</v>
      </c>
      <c r="S1434" s="5">
        <v>85141</v>
      </c>
      <c r="T1434" s="42">
        <v>506051</v>
      </c>
    </row>
    <row r="1435" spans="1:20" x14ac:dyDescent="0.3">
      <c r="A1435" s="7">
        <v>44070</v>
      </c>
      <c r="B1435" s="5"/>
      <c r="C1435" s="6">
        <v>131448</v>
      </c>
      <c r="D1435" s="6">
        <v>183136</v>
      </c>
      <c r="E1435" s="6">
        <v>132539</v>
      </c>
      <c r="F1435" s="14">
        <v>706262</v>
      </c>
      <c r="G1435" s="6">
        <v>147168</v>
      </c>
      <c r="H1435" s="6">
        <v>38178</v>
      </c>
      <c r="I1435" s="6">
        <v>53592</v>
      </c>
      <c r="J1435" s="6">
        <v>224613</v>
      </c>
      <c r="K1435" s="6">
        <v>544096</v>
      </c>
      <c r="L1435" s="6">
        <v>169720</v>
      </c>
      <c r="M1435" s="6">
        <v>2065850</v>
      </c>
      <c r="N1435" s="42">
        <v>1400404</v>
      </c>
      <c r="O1435" s="42"/>
      <c r="P1435" s="42">
        <v>87816</v>
      </c>
      <c r="Q1435" s="42">
        <v>247504</v>
      </c>
      <c r="R1435" s="42">
        <v>3808849</v>
      </c>
      <c r="S1435" s="5">
        <v>86476</v>
      </c>
      <c r="T1435" s="42">
        <v>506817</v>
      </c>
    </row>
    <row r="1436" spans="1:20" x14ac:dyDescent="0.3">
      <c r="A1436" s="7">
        <v>44069</v>
      </c>
      <c r="B1436" s="5"/>
      <c r="C1436" s="6">
        <v>130443</v>
      </c>
      <c r="D1436" s="6">
        <v>181130</v>
      </c>
      <c r="E1436" s="6">
        <v>132683</v>
      </c>
      <c r="F1436" s="14">
        <v>704309</v>
      </c>
      <c r="G1436" s="6">
        <v>147073</v>
      </c>
      <c r="H1436" s="6">
        <v>37745</v>
      </c>
      <c r="I1436" s="6">
        <v>52996</v>
      </c>
      <c r="J1436" s="6">
        <v>223423</v>
      </c>
      <c r="K1436" s="6">
        <v>547275</v>
      </c>
      <c r="L1436" s="6">
        <v>182760</v>
      </c>
      <c r="M1436" s="6">
        <v>2060657</v>
      </c>
      <c r="N1436" s="42">
        <v>1411609</v>
      </c>
      <c r="O1436" s="42"/>
      <c r="P1436" s="42">
        <v>85851</v>
      </c>
      <c r="Q1436" s="42">
        <v>224250</v>
      </c>
      <c r="R1436" s="42">
        <v>3549782</v>
      </c>
      <c r="S1436" s="5">
        <v>85682</v>
      </c>
      <c r="T1436" s="42">
        <v>506799</v>
      </c>
    </row>
    <row r="1437" spans="1:20" x14ac:dyDescent="0.3">
      <c r="A1437" s="7">
        <v>44068</v>
      </c>
      <c r="B1437" s="5"/>
      <c r="C1437" s="6">
        <v>127505</v>
      </c>
      <c r="D1437" s="6">
        <v>175363</v>
      </c>
      <c r="E1437" s="6">
        <v>129557</v>
      </c>
      <c r="F1437" s="14">
        <v>704077</v>
      </c>
      <c r="G1437" s="6">
        <v>147553</v>
      </c>
      <c r="H1437" s="6">
        <v>36678</v>
      </c>
      <c r="I1437" s="6">
        <v>53085</v>
      </c>
      <c r="J1437" s="6">
        <v>227062</v>
      </c>
      <c r="K1437" s="6">
        <v>549282</v>
      </c>
      <c r="L1437" s="6">
        <v>187631</v>
      </c>
      <c r="M1437" s="6">
        <v>2052448</v>
      </c>
      <c r="N1437" s="42">
        <v>1435331</v>
      </c>
      <c r="O1437" s="42"/>
      <c r="P1437" s="42">
        <v>85485</v>
      </c>
      <c r="Q1437" s="42">
        <v>220158</v>
      </c>
      <c r="R1437" s="42">
        <v>3438566</v>
      </c>
      <c r="S1437" s="5">
        <v>84896</v>
      </c>
      <c r="T1437" s="42">
        <v>509818</v>
      </c>
    </row>
    <row r="1438" spans="1:20" x14ac:dyDescent="0.3">
      <c r="A1438" s="7">
        <v>44067</v>
      </c>
      <c r="B1438" s="5"/>
      <c r="C1438" s="6">
        <v>127585</v>
      </c>
      <c r="D1438" s="6">
        <v>174424</v>
      </c>
      <c r="E1438" s="6">
        <v>129368</v>
      </c>
      <c r="F1438" s="14">
        <v>701429</v>
      </c>
      <c r="G1438" s="6">
        <v>147689</v>
      </c>
      <c r="H1438" s="6">
        <v>35772</v>
      </c>
      <c r="I1438" s="6">
        <v>52823</v>
      </c>
      <c r="J1438" s="6">
        <v>227324</v>
      </c>
      <c r="K1438" s="6">
        <v>551649</v>
      </c>
      <c r="L1438" s="6">
        <v>188721</v>
      </c>
      <c r="M1438" s="6">
        <v>2034937</v>
      </c>
      <c r="N1438" s="42">
        <v>1438888</v>
      </c>
      <c r="O1438" s="42"/>
      <c r="P1438" s="42">
        <v>87755</v>
      </c>
      <c r="Q1438" s="42">
        <v>223640</v>
      </c>
      <c r="R1438" s="42">
        <v>3442316</v>
      </c>
      <c r="S1438" s="5">
        <v>78372</v>
      </c>
      <c r="T1438" s="42">
        <v>510089</v>
      </c>
    </row>
    <row r="1439" spans="1:20" x14ac:dyDescent="0.3">
      <c r="A1439" s="7">
        <v>44064</v>
      </c>
      <c r="B1439" s="5"/>
      <c r="C1439" s="6">
        <v>127406</v>
      </c>
      <c r="D1439" s="6">
        <v>174940</v>
      </c>
      <c r="E1439" s="6">
        <v>129401</v>
      </c>
      <c r="F1439" s="14">
        <v>705542</v>
      </c>
      <c r="G1439" s="6">
        <v>150268</v>
      </c>
      <c r="H1439" s="6">
        <v>36182</v>
      </c>
      <c r="I1439" s="6">
        <v>53084</v>
      </c>
      <c r="J1439" s="6">
        <v>228533</v>
      </c>
      <c r="K1439" s="6">
        <v>550110</v>
      </c>
      <c r="L1439" s="6">
        <v>191091</v>
      </c>
      <c r="M1439" s="6">
        <v>2043243</v>
      </c>
      <c r="N1439" s="42">
        <v>1426349</v>
      </c>
      <c r="O1439" s="42"/>
      <c r="P1439" s="42">
        <v>89366</v>
      </c>
      <c r="Q1439" s="42">
        <v>217502</v>
      </c>
      <c r="R1439" s="42">
        <v>3213065</v>
      </c>
      <c r="S1439" s="5">
        <v>84489</v>
      </c>
      <c r="T1439" s="42">
        <v>507713</v>
      </c>
    </row>
    <row r="1440" spans="1:20" x14ac:dyDescent="0.3">
      <c r="A1440" s="7">
        <v>44063</v>
      </c>
      <c r="B1440" s="5"/>
      <c r="C1440" s="6">
        <v>125037</v>
      </c>
      <c r="D1440" s="6">
        <v>177832</v>
      </c>
      <c r="E1440" s="6">
        <v>127097</v>
      </c>
      <c r="F1440" s="14">
        <v>703338</v>
      </c>
      <c r="G1440" s="6">
        <v>148770</v>
      </c>
      <c r="H1440" s="6">
        <v>37261</v>
      </c>
      <c r="I1440" s="6">
        <v>53187</v>
      </c>
      <c r="J1440" s="6">
        <v>235314</v>
      </c>
      <c r="K1440" s="6">
        <v>546461</v>
      </c>
      <c r="L1440" s="6">
        <v>191942</v>
      </c>
      <c r="M1440" s="6">
        <v>2036140</v>
      </c>
      <c r="N1440" s="42">
        <v>1440714</v>
      </c>
      <c r="O1440" s="42"/>
      <c r="P1440" s="42">
        <v>89839</v>
      </c>
      <c r="Q1440" s="42">
        <v>212633</v>
      </c>
      <c r="R1440" s="42">
        <v>3057789</v>
      </c>
      <c r="S1440" s="5">
        <v>88620</v>
      </c>
      <c r="T1440" s="42">
        <v>504348</v>
      </c>
    </row>
    <row r="1441" spans="1:20" x14ac:dyDescent="0.3">
      <c r="A1441" s="7">
        <v>44062</v>
      </c>
      <c r="B1441" s="5"/>
      <c r="C1441" s="6">
        <v>125605</v>
      </c>
      <c r="D1441" s="6">
        <v>179785</v>
      </c>
      <c r="E1441" s="6">
        <v>128920</v>
      </c>
      <c r="F1441" s="14">
        <v>705210</v>
      </c>
      <c r="G1441" s="6">
        <v>148848</v>
      </c>
      <c r="H1441" s="6">
        <v>37565</v>
      </c>
      <c r="I1441" s="6">
        <v>56000</v>
      </c>
      <c r="J1441" s="6">
        <v>238079</v>
      </c>
      <c r="K1441" s="6">
        <v>546694</v>
      </c>
      <c r="L1441" s="6">
        <v>192857</v>
      </c>
      <c r="M1441" s="6">
        <v>2031907</v>
      </c>
      <c r="N1441" s="42">
        <v>1433746</v>
      </c>
      <c r="O1441" s="42"/>
      <c r="P1441" s="42">
        <v>92493</v>
      </c>
      <c r="Q1441" s="42">
        <v>215848</v>
      </c>
      <c r="R1441" s="42">
        <v>3022306</v>
      </c>
      <c r="S1441" s="5">
        <v>89699</v>
      </c>
      <c r="T1441" s="42">
        <v>502672</v>
      </c>
    </row>
    <row r="1442" spans="1:20" x14ac:dyDescent="0.3">
      <c r="A1442" s="7">
        <v>44061</v>
      </c>
      <c r="B1442" s="5"/>
      <c r="C1442" s="6">
        <v>125162</v>
      </c>
      <c r="D1442" s="6">
        <v>187484</v>
      </c>
      <c r="E1442" s="6">
        <v>141600</v>
      </c>
      <c r="F1442" s="14">
        <v>705593</v>
      </c>
      <c r="G1442" s="6">
        <v>147734</v>
      </c>
      <c r="H1442" s="6">
        <v>38561</v>
      </c>
      <c r="I1442" s="6">
        <v>56114</v>
      </c>
      <c r="J1442" s="6">
        <v>232581</v>
      </c>
      <c r="K1442" s="6">
        <v>544010</v>
      </c>
      <c r="L1442" s="6">
        <v>194897</v>
      </c>
      <c r="M1442" s="6">
        <v>2044952</v>
      </c>
      <c r="N1442" s="42">
        <v>1443665</v>
      </c>
      <c r="O1442" s="42"/>
      <c r="P1442" s="42">
        <v>89696</v>
      </c>
      <c r="Q1442" s="42">
        <v>216843</v>
      </c>
      <c r="R1442" s="42">
        <v>3065867</v>
      </c>
      <c r="S1442" s="5">
        <v>81650</v>
      </c>
      <c r="T1442" s="42">
        <v>501652</v>
      </c>
    </row>
    <row r="1443" spans="1:20" x14ac:dyDescent="0.3">
      <c r="A1443" s="7">
        <v>44060</v>
      </c>
      <c r="B1443" s="5"/>
      <c r="C1443" s="6">
        <v>125325</v>
      </c>
      <c r="D1443" s="6">
        <v>182391</v>
      </c>
      <c r="E1443" s="6">
        <v>139508</v>
      </c>
      <c r="F1443" s="14">
        <v>705684</v>
      </c>
      <c r="G1443" s="6">
        <v>143497</v>
      </c>
      <c r="H1443" s="6">
        <v>38145</v>
      </c>
      <c r="I1443" s="6">
        <v>56575</v>
      </c>
      <c r="J1443" s="6">
        <v>223637</v>
      </c>
      <c r="K1443" s="6">
        <v>545667</v>
      </c>
      <c r="L1443" s="6">
        <v>195427</v>
      </c>
      <c r="M1443" s="6">
        <v>2052090</v>
      </c>
      <c r="N1443" s="42">
        <v>1458284</v>
      </c>
      <c r="O1443" s="42"/>
      <c r="P1443" s="42">
        <v>96461</v>
      </c>
      <c r="Q1443" s="42">
        <v>215952</v>
      </c>
      <c r="R1443" s="42">
        <v>3084286</v>
      </c>
      <c r="S1443" s="5">
        <v>77347</v>
      </c>
      <c r="T1443" s="42">
        <v>499254</v>
      </c>
    </row>
    <row r="1444" spans="1:20" x14ac:dyDescent="0.3">
      <c r="A1444" s="7">
        <v>44057</v>
      </c>
      <c r="B1444" s="5"/>
      <c r="C1444" s="6">
        <v>122359</v>
      </c>
      <c r="D1444" s="6">
        <v>182953</v>
      </c>
      <c r="E1444" s="6">
        <v>138900</v>
      </c>
      <c r="F1444" s="14">
        <v>705912</v>
      </c>
      <c r="G1444" s="6">
        <v>142033</v>
      </c>
      <c r="H1444" s="6">
        <v>39580</v>
      </c>
      <c r="I1444" s="6">
        <v>56143</v>
      </c>
      <c r="J1444" s="6">
        <v>219738</v>
      </c>
      <c r="K1444" s="6">
        <v>542368</v>
      </c>
      <c r="L1444" s="6">
        <v>193078</v>
      </c>
      <c r="M1444" s="6">
        <v>2060758</v>
      </c>
      <c r="N1444" s="42">
        <v>1451433</v>
      </c>
      <c r="O1444" s="42"/>
      <c r="P1444" s="42">
        <v>93054</v>
      </c>
      <c r="Q1444" s="42">
        <v>223496</v>
      </c>
      <c r="R1444" s="42">
        <v>3114090</v>
      </c>
      <c r="S1444" s="5">
        <v>77121</v>
      </c>
      <c r="T1444" s="42">
        <v>499940</v>
      </c>
    </row>
    <row r="1445" spans="1:20" x14ac:dyDescent="0.3">
      <c r="A1445" s="7">
        <v>44056</v>
      </c>
      <c r="B1445" s="5"/>
      <c r="C1445" s="6">
        <v>124294</v>
      </c>
      <c r="D1445" s="6">
        <v>181557</v>
      </c>
      <c r="E1445" s="6">
        <v>140083</v>
      </c>
      <c r="F1445" s="14">
        <v>708180</v>
      </c>
      <c r="G1445" s="6">
        <v>145400</v>
      </c>
      <c r="H1445" s="6">
        <v>39236</v>
      </c>
      <c r="I1445" s="6">
        <v>55803</v>
      </c>
      <c r="J1445" s="6">
        <v>222631</v>
      </c>
      <c r="K1445" s="6">
        <v>548726</v>
      </c>
      <c r="L1445" s="6">
        <v>197623</v>
      </c>
      <c r="M1445" s="6">
        <v>2060175</v>
      </c>
      <c r="N1445" s="42">
        <v>1434031</v>
      </c>
      <c r="O1445" s="42"/>
      <c r="P1445" s="42">
        <v>99387</v>
      </c>
      <c r="Q1445" s="42">
        <v>221046</v>
      </c>
      <c r="R1445" s="42">
        <v>2960029</v>
      </c>
      <c r="S1445" s="5">
        <v>78978</v>
      </c>
      <c r="T1445" s="42">
        <v>500933</v>
      </c>
    </row>
    <row r="1446" spans="1:20" x14ac:dyDescent="0.3">
      <c r="A1446" s="7">
        <v>44055</v>
      </c>
      <c r="B1446" s="5"/>
      <c r="C1446" s="6">
        <v>121725</v>
      </c>
      <c r="D1446" s="6">
        <v>180683</v>
      </c>
      <c r="E1446" s="6">
        <v>139360</v>
      </c>
      <c r="F1446" s="14">
        <v>707290</v>
      </c>
      <c r="G1446" s="6">
        <v>146554</v>
      </c>
      <c r="H1446" s="6">
        <v>38145</v>
      </c>
      <c r="I1446" s="6">
        <v>56379</v>
      </c>
      <c r="J1446" s="6">
        <v>230550</v>
      </c>
      <c r="K1446" s="6">
        <v>549494</v>
      </c>
      <c r="L1446" s="6">
        <v>196666</v>
      </c>
      <c r="M1446" s="6">
        <v>2038670</v>
      </c>
      <c r="N1446" s="42">
        <v>1405956</v>
      </c>
      <c r="O1446" s="42"/>
      <c r="P1446" s="42">
        <v>99814</v>
      </c>
      <c r="Q1446" s="42">
        <v>207027</v>
      </c>
      <c r="R1446" s="42">
        <v>2860252</v>
      </c>
      <c r="S1446" s="5">
        <v>76071</v>
      </c>
      <c r="T1446" s="42">
        <v>503384</v>
      </c>
    </row>
    <row r="1447" spans="1:20" x14ac:dyDescent="0.3">
      <c r="A1447" s="7">
        <v>44054</v>
      </c>
      <c r="B1447" s="5"/>
      <c r="C1447" s="6">
        <v>122210</v>
      </c>
      <c r="D1447" s="6">
        <v>179071</v>
      </c>
      <c r="E1447" s="6">
        <v>136885</v>
      </c>
      <c r="F1447" s="14">
        <v>706458</v>
      </c>
      <c r="G1447" s="6">
        <v>150149</v>
      </c>
      <c r="H1447" s="6">
        <v>37528</v>
      </c>
      <c r="I1447" s="6">
        <v>56592</v>
      </c>
      <c r="J1447" s="6">
        <v>227430</v>
      </c>
      <c r="K1447" s="6">
        <v>553345</v>
      </c>
      <c r="L1447" s="6">
        <v>198069</v>
      </c>
      <c r="M1447" s="6">
        <v>2060880</v>
      </c>
      <c r="N1447" s="42">
        <v>1406499</v>
      </c>
      <c r="O1447" s="42"/>
      <c r="P1447" s="42">
        <v>101468</v>
      </c>
      <c r="Q1447" s="42">
        <v>214665</v>
      </c>
      <c r="R1447" s="42">
        <v>2843780</v>
      </c>
      <c r="S1447" s="5">
        <v>80006</v>
      </c>
      <c r="T1447" s="42">
        <v>507876</v>
      </c>
    </row>
    <row r="1448" spans="1:20" x14ac:dyDescent="0.3">
      <c r="A1448" s="7">
        <v>44053</v>
      </c>
      <c r="B1448" s="5"/>
      <c r="C1448" s="6">
        <v>121722</v>
      </c>
      <c r="D1448" s="6">
        <v>179507</v>
      </c>
      <c r="E1448" s="6">
        <v>136073</v>
      </c>
      <c r="F1448" s="14">
        <v>706093</v>
      </c>
      <c r="G1448" s="6">
        <v>153434</v>
      </c>
      <c r="H1448" s="6">
        <v>37431</v>
      </c>
      <c r="I1448" s="6">
        <v>56244</v>
      </c>
      <c r="J1448" s="6">
        <v>227408</v>
      </c>
      <c r="K1448" s="6">
        <v>551018</v>
      </c>
      <c r="L1448" s="6">
        <v>205489</v>
      </c>
      <c r="M1448" s="6">
        <v>2053681</v>
      </c>
      <c r="N1448" s="42">
        <v>1405876</v>
      </c>
      <c r="O1448" s="42"/>
      <c r="P1448" s="42">
        <v>102621</v>
      </c>
      <c r="Q1448" s="42">
        <v>205693</v>
      </c>
      <c r="R1448" s="42">
        <v>2826399</v>
      </c>
      <c r="S1448" s="5">
        <v>82667</v>
      </c>
      <c r="T1448" s="42">
        <v>510185</v>
      </c>
    </row>
    <row r="1449" spans="1:20" x14ac:dyDescent="0.3">
      <c r="A1449" s="7">
        <v>44050</v>
      </c>
      <c r="B1449" s="5"/>
      <c r="C1449" s="6">
        <v>123557</v>
      </c>
      <c r="D1449" s="6">
        <v>178377</v>
      </c>
      <c r="E1449" s="6">
        <v>137015</v>
      </c>
      <c r="F1449" s="14">
        <v>708900</v>
      </c>
      <c r="G1449" s="6">
        <v>155341</v>
      </c>
      <c r="H1449" s="6">
        <v>38400</v>
      </c>
      <c r="I1449" s="6">
        <v>56139</v>
      </c>
      <c r="J1449" s="6">
        <v>230430</v>
      </c>
      <c r="K1449" s="6">
        <v>550509</v>
      </c>
      <c r="L1449" s="6">
        <v>207064</v>
      </c>
      <c r="M1449" s="6">
        <v>2053431</v>
      </c>
      <c r="N1449" s="42">
        <v>1405212</v>
      </c>
      <c r="O1449" s="42"/>
      <c r="P1449" s="42">
        <v>105912</v>
      </c>
      <c r="Q1449" s="42">
        <v>206795</v>
      </c>
      <c r="R1449" s="42">
        <v>2827657</v>
      </c>
      <c r="S1449" s="5">
        <v>78870</v>
      </c>
      <c r="T1449" s="42">
        <v>510279</v>
      </c>
    </row>
    <row r="1450" spans="1:20" x14ac:dyDescent="0.3">
      <c r="A1450" s="7">
        <v>44049</v>
      </c>
      <c r="B1450" s="5"/>
      <c r="C1450" s="6">
        <v>122681</v>
      </c>
      <c r="D1450" s="6">
        <v>183461</v>
      </c>
      <c r="E1450" s="6">
        <v>138565</v>
      </c>
      <c r="F1450" s="14">
        <v>707065</v>
      </c>
      <c r="G1450" s="6">
        <v>158052</v>
      </c>
      <c r="H1450" s="6">
        <v>38622</v>
      </c>
      <c r="I1450" s="6">
        <v>58929</v>
      </c>
      <c r="J1450" s="6">
        <v>239139</v>
      </c>
      <c r="K1450" s="6">
        <v>553130</v>
      </c>
      <c r="L1450" s="6">
        <v>207490</v>
      </c>
      <c r="M1450" s="6">
        <v>2068254</v>
      </c>
      <c r="N1450" s="42">
        <v>1411758</v>
      </c>
      <c r="O1450" s="42"/>
      <c r="P1450" s="42">
        <v>104789</v>
      </c>
      <c r="Q1450" s="42">
        <v>208455</v>
      </c>
      <c r="R1450" s="42">
        <v>2847170</v>
      </c>
      <c r="S1450" s="5">
        <v>76863</v>
      </c>
      <c r="T1450" s="42">
        <v>510769</v>
      </c>
    </row>
    <row r="1451" spans="1:20" x14ac:dyDescent="0.3">
      <c r="A1451" s="7">
        <v>44048</v>
      </c>
      <c r="B1451" s="5"/>
      <c r="C1451" s="6">
        <v>121799</v>
      </c>
      <c r="D1451" s="6">
        <v>178792</v>
      </c>
      <c r="E1451" s="6">
        <v>140524</v>
      </c>
      <c r="F1451" s="14">
        <v>711565</v>
      </c>
      <c r="G1451" s="6">
        <v>159114</v>
      </c>
      <c r="H1451" s="6">
        <v>38306</v>
      </c>
      <c r="I1451" s="6">
        <v>58492</v>
      </c>
      <c r="J1451" s="6">
        <v>234638</v>
      </c>
      <c r="K1451" s="6">
        <v>554825</v>
      </c>
      <c r="L1451" s="6">
        <v>205537</v>
      </c>
      <c r="M1451" s="6">
        <v>2063481</v>
      </c>
      <c r="N1451" s="42">
        <v>1447959</v>
      </c>
      <c r="O1451" s="42"/>
      <c r="P1451" s="42">
        <v>104040</v>
      </c>
      <c r="Q1451" s="42">
        <v>207916</v>
      </c>
      <c r="R1451" s="42">
        <v>2854538</v>
      </c>
      <c r="S1451" s="5">
        <v>73482</v>
      </c>
      <c r="T1451" s="42">
        <v>509290</v>
      </c>
    </row>
    <row r="1452" spans="1:20" x14ac:dyDescent="0.3">
      <c r="A1452" s="7">
        <v>44047</v>
      </c>
      <c r="B1452" s="5"/>
      <c r="C1452" s="6">
        <v>120274</v>
      </c>
      <c r="D1452" s="6">
        <v>176728</v>
      </c>
      <c r="E1452" s="6">
        <v>137101</v>
      </c>
      <c r="F1452" s="14">
        <v>704875</v>
      </c>
      <c r="G1452" s="6">
        <v>157968</v>
      </c>
      <c r="H1452" s="6">
        <v>38499</v>
      </c>
      <c r="I1452" s="6">
        <v>56772</v>
      </c>
      <c r="J1452" s="6">
        <v>232022</v>
      </c>
      <c r="K1452" s="6">
        <v>561837</v>
      </c>
      <c r="L1452" s="6">
        <v>205527</v>
      </c>
      <c r="M1452" s="6">
        <v>2032921</v>
      </c>
      <c r="N1452" s="42">
        <v>1448022</v>
      </c>
      <c r="O1452" s="42"/>
      <c r="P1452" s="42">
        <v>103471</v>
      </c>
      <c r="Q1452" s="42">
        <v>208321</v>
      </c>
      <c r="R1452" s="42">
        <v>2839347</v>
      </c>
      <c r="S1452" s="5">
        <v>77527</v>
      </c>
      <c r="T1452" s="42">
        <v>511007</v>
      </c>
    </row>
    <row r="1453" spans="1:20" x14ac:dyDescent="0.3">
      <c r="A1453" s="7">
        <v>44046</v>
      </c>
      <c r="B1453" s="5"/>
      <c r="C1453" s="6">
        <v>126627</v>
      </c>
      <c r="D1453" s="6">
        <v>176805</v>
      </c>
      <c r="E1453" s="6">
        <v>137920</v>
      </c>
      <c r="F1453" s="14">
        <v>701467</v>
      </c>
      <c r="G1453" s="6">
        <v>159131</v>
      </c>
      <c r="H1453" s="6">
        <v>37999</v>
      </c>
      <c r="I1453" s="6">
        <v>55474</v>
      </c>
      <c r="J1453" s="6">
        <v>233665</v>
      </c>
      <c r="K1453" s="6">
        <v>557933</v>
      </c>
      <c r="L1453" s="6">
        <v>199633</v>
      </c>
      <c r="M1453" s="6">
        <v>2003066</v>
      </c>
      <c r="N1453" s="42">
        <v>1454716</v>
      </c>
      <c r="O1453" s="42"/>
      <c r="P1453" s="42">
        <v>104804</v>
      </c>
      <c r="Q1453" s="42">
        <v>201229</v>
      </c>
      <c r="R1453" s="42">
        <v>2806586</v>
      </c>
      <c r="S1453" s="5">
        <v>69729</v>
      </c>
      <c r="T1453" s="42">
        <v>510022</v>
      </c>
    </row>
    <row r="1454" spans="1:20" x14ac:dyDescent="0.3">
      <c r="A1454" s="7">
        <v>44043</v>
      </c>
      <c r="B1454" s="5"/>
      <c r="C1454" s="6">
        <v>126778</v>
      </c>
      <c r="D1454" s="6">
        <v>175736</v>
      </c>
      <c r="E1454" s="6">
        <v>138417</v>
      </c>
      <c r="F1454" s="14">
        <v>693143</v>
      </c>
      <c r="G1454" s="6">
        <v>160812</v>
      </c>
      <c r="H1454" s="6">
        <v>37565</v>
      </c>
      <c r="I1454" s="6">
        <v>56884</v>
      </c>
      <c r="J1454" s="6">
        <v>229957</v>
      </c>
      <c r="K1454" s="6">
        <v>559609</v>
      </c>
      <c r="L1454" s="6">
        <v>193375</v>
      </c>
      <c r="M1454" s="6">
        <v>2006292</v>
      </c>
      <c r="N1454" s="42">
        <v>1450281</v>
      </c>
      <c r="O1454" s="42"/>
      <c r="P1454" s="42">
        <v>104814</v>
      </c>
      <c r="Q1454" s="42">
        <v>208064</v>
      </c>
      <c r="R1454" s="42">
        <v>2823919</v>
      </c>
      <c r="S1454" s="5">
        <v>73237</v>
      </c>
      <c r="T1454" s="42">
        <v>499498</v>
      </c>
    </row>
    <row r="1455" spans="1:20" x14ac:dyDescent="0.3">
      <c r="A1455" s="7">
        <v>44042</v>
      </c>
      <c r="B1455" s="5"/>
      <c r="C1455" s="6">
        <v>120806</v>
      </c>
      <c r="D1455" s="6">
        <v>178183</v>
      </c>
      <c r="E1455" s="6">
        <v>141067</v>
      </c>
      <c r="F1455" s="14">
        <v>688212</v>
      </c>
      <c r="G1455" s="6">
        <v>174182</v>
      </c>
      <c r="H1455" s="6">
        <v>38349</v>
      </c>
      <c r="I1455" s="6">
        <v>58011</v>
      </c>
      <c r="J1455" s="6">
        <v>233440</v>
      </c>
      <c r="K1455" s="6">
        <v>586484</v>
      </c>
      <c r="L1455" s="6">
        <v>187740</v>
      </c>
      <c r="M1455" s="6">
        <v>2013703</v>
      </c>
      <c r="N1455" s="42">
        <v>1450205</v>
      </c>
      <c r="O1455" s="42"/>
      <c r="P1455" s="42">
        <v>105330</v>
      </c>
      <c r="Q1455" s="42">
        <v>206834</v>
      </c>
      <c r="R1455" s="42">
        <v>2799178</v>
      </c>
      <c r="S1455" s="5">
        <v>73331</v>
      </c>
      <c r="T1455" s="42">
        <v>501398</v>
      </c>
    </row>
    <row r="1456" spans="1:20" x14ac:dyDescent="0.3">
      <c r="A1456" s="7">
        <v>44041</v>
      </c>
      <c r="B1456" s="5"/>
      <c r="C1456" s="6">
        <v>119088</v>
      </c>
      <c r="D1456" s="6">
        <v>176821</v>
      </c>
      <c r="E1456" s="6">
        <v>138757</v>
      </c>
      <c r="F1456" s="14">
        <v>684473</v>
      </c>
      <c r="G1456" s="6">
        <v>168531</v>
      </c>
      <c r="H1456" s="6">
        <v>36139</v>
      </c>
      <c r="I1456" s="6">
        <v>54405</v>
      </c>
      <c r="J1456" s="6">
        <v>234988</v>
      </c>
      <c r="K1456" s="6">
        <v>599330</v>
      </c>
      <c r="L1456" s="6">
        <v>184392</v>
      </c>
      <c r="M1456" s="6">
        <v>2000385</v>
      </c>
      <c r="N1456" s="42">
        <v>1476440</v>
      </c>
      <c r="O1456" s="42"/>
      <c r="P1456" s="42">
        <v>102421</v>
      </c>
      <c r="Q1456" s="42">
        <v>207829</v>
      </c>
      <c r="R1456" s="42">
        <v>2779131</v>
      </c>
      <c r="S1456" s="5">
        <v>73873</v>
      </c>
      <c r="T1456" s="42">
        <v>496125</v>
      </c>
    </row>
    <row r="1457" spans="1:20" x14ac:dyDescent="0.3">
      <c r="A1457" s="7">
        <v>44040</v>
      </c>
      <c r="B1457" s="5"/>
      <c r="C1457" s="6">
        <v>113682</v>
      </c>
      <c r="D1457" s="6">
        <v>178912</v>
      </c>
      <c r="E1457" s="6">
        <v>139397</v>
      </c>
      <c r="F1457" s="14">
        <v>678965</v>
      </c>
      <c r="G1457" s="6">
        <v>170269</v>
      </c>
      <c r="H1457" s="6">
        <v>36142</v>
      </c>
      <c r="I1457" s="6">
        <v>51799</v>
      </c>
      <c r="J1457" s="6">
        <v>234724</v>
      </c>
      <c r="K1457" s="6">
        <v>598629</v>
      </c>
      <c r="L1457" s="6">
        <v>184020</v>
      </c>
      <c r="M1457" s="6">
        <v>1992556</v>
      </c>
      <c r="N1457" s="42">
        <v>1478891</v>
      </c>
      <c r="O1457" s="42"/>
      <c r="P1457" s="42">
        <v>101218</v>
      </c>
      <c r="Q1457" s="42">
        <v>207772</v>
      </c>
      <c r="R1457" s="42">
        <v>2765263</v>
      </c>
      <c r="S1457" s="5">
        <v>66784</v>
      </c>
      <c r="T1457" s="42">
        <v>496970</v>
      </c>
    </row>
    <row r="1458" spans="1:20" x14ac:dyDescent="0.3">
      <c r="A1458" s="7">
        <v>44039</v>
      </c>
      <c r="B1458" s="5"/>
      <c r="C1458" s="6">
        <v>114886</v>
      </c>
      <c r="D1458" s="6">
        <v>178623</v>
      </c>
      <c r="E1458" s="6">
        <v>138438</v>
      </c>
      <c r="F1458" s="14">
        <v>675391</v>
      </c>
      <c r="G1458" s="6">
        <v>166557</v>
      </c>
      <c r="H1458" s="6">
        <v>35370</v>
      </c>
      <c r="I1458" s="6">
        <v>53465</v>
      </c>
      <c r="J1458" s="6">
        <v>233326</v>
      </c>
      <c r="K1458" s="6">
        <v>610722</v>
      </c>
      <c r="L1458" s="6">
        <v>186588</v>
      </c>
      <c r="M1458" s="6">
        <v>1987044</v>
      </c>
      <c r="N1458" s="42">
        <v>1498397</v>
      </c>
      <c r="O1458" s="42"/>
      <c r="P1458" s="42">
        <v>101300</v>
      </c>
      <c r="Q1458" s="42">
        <v>203234</v>
      </c>
      <c r="R1458" s="42">
        <v>2757020</v>
      </c>
      <c r="S1458" s="5">
        <v>77261</v>
      </c>
      <c r="T1458" s="42">
        <v>497679</v>
      </c>
    </row>
    <row r="1459" spans="1:20" x14ac:dyDescent="0.3">
      <c r="A1459" s="7">
        <v>44036</v>
      </c>
      <c r="B1459" s="5"/>
      <c r="C1459" s="6">
        <v>113356</v>
      </c>
      <c r="D1459" s="6">
        <v>173306</v>
      </c>
      <c r="E1459" s="6">
        <v>141590</v>
      </c>
      <c r="F1459" s="14">
        <v>665206</v>
      </c>
      <c r="G1459" s="6">
        <v>162547</v>
      </c>
      <c r="H1459" s="6">
        <v>34654</v>
      </c>
      <c r="I1459" s="6">
        <v>53625</v>
      </c>
      <c r="J1459" s="6">
        <v>231110</v>
      </c>
      <c r="K1459" s="6">
        <v>607335</v>
      </c>
      <c r="L1459" s="6">
        <v>186129</v>
      </c>
      <c r="M1459" s="6">
        <v>1973830</v>
      </c>
      <c r="N1459" s="42">
        <v>1539930</v>
      </c>
      <c r="O1459" s="42"/>
      <c r="P1459" s="42">
        <v>104903</v>
      </c>
      <c r="Q1459" s="42">
        <v>206243</v>
      </c>
      <c r="R1459" s="42">
        <v>2762774</v>
      </c>
      <c r="S1459" s="5">
        <v>76043</v>
      </c>
      <c r="T1459" s="42">
        <v>499916</v>
      </c>
    </row>
    <row r="1460" spans="1:20" x14ac:dyDescent="0.3">
      <c r="A1460" s="7">
        <v>44035</v>
      </c>
      <c r="B1460" s="5"/>
      <c r="C1460" s="6">
        <v>114414</v>
      </c>
      <c r="D1460" s="6">
        <v>172806</v>
      </c>
      <c r="E1460" s="6">
        <v>142331</v>
      </c>
      <c r="F1460" s="14">
        <v>658140</v>
      </c>
      <c r="G1460" s="6">
        <v>142745</v>
      </c>
      <c r="H1460" s="6">
        <v>35547</v>
      </c>
      <c r="I1460" s="6">
        <v>52964</v>
      </c>
      <c r="J1460" s="6">
        <v>229481</v>
      </c>
      <c r="K1460" s="6">
        <v>608445</v>
      </c>
      <c r="L1460" s="6">
        <v>185705</v>
      </c>
      <c r="M1460" s="6">
        <v>1960622</v>
      </c>
      <c r="N1460" s="42">
        <v>1535981</v>
      </c>
      <c r="O1460" s="42"/>
      <c r="P1460" s="42">
        <v>107560</v>
      </c>
      <c r="Q1460" s="42">
        <v>206759</v>
      </c>
      <c r="R1460" s="42">
        <v>2744636</v>
      </c>
      <c r="S1460" s="5">
        <v>81447</v>
      </c>
      <c r="T1460" s="42">
        <v>505745</v>
      </c>
    </row>
    <row r="1461" spans="1:20" x14ac:dyDescent="0.3">
      <c r="A1461" s="7">
        <v>44034</v>
      </c>
      <c r="B1461" s="5"/>
      <c r="C1461" s="6">
        <v>113158</v>
      </c>
      <c r="D1461" s="6">
        <v>172336</v>
      </c>
      <c r="E1461" s="6">
        <v>141197</v>
      </c>
      <c r="F1461" s="14">
        <v>649008</v>
      </c>
      <c r="G1461" s="6">
        <v>141031</v>
      </c>
      <c r="H1461" s="6">
        <v>34362</v>
      </c>
      <c r="I1461" s="6">
        <v>53271</v>
      </c>
      <c r="J1461" s="6">
        <v>226301</v>
      </c>
      <c r="K1461" s="6">
        <v>609737</v>
      </c>
      <c r="L1461" s="6">
        <v>184943</v>
      </c>
      <c r="M1461" s="6">
        <v>1965402</v>
      </c>
      <c r="N1461" s="42">
        <v>1530833</v>
      </c>
      <c r="O1461" s="42"/>
      <c r="P1461" s="42">
        <v>102581</v>
      </c>
      <c r="Q1461" s="42">
        <v>204786</v>
      </c>
      <c r="R1461" s="42">
        <v>2697443</v>
      </c>
      <c r="S1461" s="5">
        <v>79299</v>
      </c>
      <c r="T1461" s="42">
        <v>507976</v>
      </c>
    </row>
    <row r="1462" spans="1:20" x14ac:dyDescent="0.3">
      <c r="A1462" s="7">
        <v>44033</v>
      </c>
      <c r="B1462" s="5"/>
      <c r="C1462" s="6">
        <v>108952</v>
      </c>
      <c r="D1462" s="6">
        <v>180337</v>
      </c>
      <c r="E1462" s="6">
        <v>143606</v>
      </c>
      <c r="F1462" s="14">
        <v>636212</v>
      </c>
      <c r="G1462" s="6">
        <v>142686</v>
      </c>
      <c r="H1462" s="6">
        <v>36105</v>
      </c>
      <c r="I1462" s="6">
        <v>51006</v>
      </c>
      <c r="J1462" s="6">
        <v>227565</v>
      </c>
      <c r="K1462" s="6">
        <v>603138</v>
      </c>
      <c r="L1462" s="6">
        <v>185745</v>
      </c>
      <c r="M1462" s="6">
        <v>1956768</v>
      </c>
      <c r="N1462" s="42">
        <v>1524580</v>
      </c>
      <c r="O1462" s="42"/>
      <c r="P1462" s="42">
        <v>99809</v>
      </c>
      <c r="Q1462" s="42">
        <v>206089</v>
      </c>
      <c r="R1462" s="42">
        <v>2686523</v>
      </c>
      <c r="S1462" s="5">
        <v>82218</v>
      </c>
      <c r="T1462" s="42">
        <v>507304</v>
      </c>
    </row>
    <row r="1463" spans="1:20" x14ac:dyDescent="0.3">
      <c r="A1463" s="7">
        <v>44032</v>
      </c>
      <c r="B1463" s="5"/>
      <c r="C1463" s="6">
        <v>105245</v>
      </c>
      <c r="D1463" s="6">
        <v>179585</v>
      </c>
      <c r="E1463" s="6">
        <v>137883</v>
      </c>
      <c r="F1463" s="14">
        <v>623079</v>
      </c>
      <c r="G1463" s="6">
        <v>139268</v>
      </c>
      <c r="H1463" s="6">
        <v>33608</v>
      </c>
      <c r="I1463" s="6">
        <v>49363</v>
      </c>
      <c r="J1463" s="6">
        <v>226634</v>
      </c>
      <c r="K1463" s="6">
        <v>592122</v>
      </c>
      <c r="L1463" s="6">
        <v>184301</v>
      </c>
      <c r="M1463" s="6">
        <v>1967562</v>
      </c>
      <c r="N1463" s="42">
        <v>1512798</v>
      </c>
      <c r="O1463" s="42"/>
      <c r="P1463" s="42">
        <v>101436</v>
      </c>
      <c r="Q1463" s="42">
        <v>206705</v>
      </c>
      <c r="R1463" s="42">
        <v>2694535</v>
      </c>
      <c r="S1463" s="5">
        <v>81506</v>
      </c>
      <c r="T1463" s="42">
        <v>505972</v>
      </c>
    </row>
    <row r="1464" spans="1:20" x14ac:dyDescent="0.3">
      <c r="A1464" s="7">
        <v>44029</v>
      </c>
      <c r="B1464" s="5"/>
      <c r="C1464" s="6">
        <v>104946</v>
      </c>
      <c r="D1464" s="6">
        <v>173012</v>
      </c>
      <c r="E1464" s="6">
        <v>135720</v>
      </c>
      <c r="F1464" s="14">
        <v>621234</v>
      </c>
      <c r="G1464" s="6">
        <v>138024</v>
      </c>
      <c r="H1464" s="6">
        <v>33830</v>
      </c>
      <c r="I1464" s="6">
        <v>47340</v>
      </c>
      <c r="J1464" s="6">
        <v>222318</v>
      </c>
      <c r="K1464" s="6">
        <v>587244</v>
      </c>
      <c r="L1464" s="6">
        <v>179963</v>
      </c>
      <c r="M1464" s="6">
        <v>1984589</v>
      </c>
      <c r="N1464" s="42">
        <v>1491803</v>
      </c>
      <c r="O1464" s="42"/>
      <c r="P1464" s="42">
        <v>105447</v>
      </c>
      <c r="Q1464" s="42">
        <v>211516</v>
      </c>
      <c r="R1464" s="42">
        <v>2754107</v>
      </c>
      <c r="S1464" s="5">
        <v>84636</v>
      </c>
      <c r="T1464" s="42">
        <v>513763</v>
      </c>
    </row>
    <row r="1465" spans="1:20" x14ac:dyDescent="0.3">
      <c r="A1465" s="7">
        <v>44028</v>
      </c>
      <c r="B1465" s="5"/>
      <c r="C1465" s="6">
        <v>106652</v>
      </c>
      <c r="D1465" s="6">
        <v>174912</v>
      </c>
      <c r="E1465" s="6">
        <v>134882</v>
      </c>
      <c r="F1465" s="14">
        <v>617282</v>
      </c>
      <c r="G1465" s="6">
        <v>138670</v>
      </c>
      <c r="H1465" s="6">
        <v>33864</v>
      </c>
      <c r="I1465" s="6">
        <v>47531</v>
      </c>
      <c r="J1465" s="6">
        <v>221601</v>
      </c>
      <c r="K1465" s="6">
        <v>579074</v>
      </c>
      <c r="L1465" s="6">
        <v>178744</v>
      </c>
      <c r="M1465" s="6">
        <v>1994075</v>
      </c>
      <c r="N1465" s="42">
        <v>1468946</v>
      </c>
      <c r="O1465" s="42"/>
      <c r="P1465" s="42">
        <v>106780</v>
      </c>
      <c r="Q1465" s="42">
        <v>208714</v>
      </c>
      <c r="R1465" s="42">
        <v>2743359</v>
      </c>
      <c r="S1465" s="5">
        <v>92682</v>
      </c>
      <c r="T1465" s="42">
        <v>513633</v>
      </c>
    </row>
    <row r="1466" spans="1:20" x14ac:dyDescent="0.3">
      <c r="A1466" s="7">
        <v>44027</v>
      </c>
      <c r="B1466" s="5"/>
      <c r="C1466" s="6">
        <v>108461</v>
      </c>
      <c r="D1466" s="6">
        <v>176897</v>
      </c>
      <c r="E1466" s="6">
        <v>134988</v>
      </c>
      <c r="F1466" s="14">
        <v>612656</v>
      </c>
      <c r="G1466" s="6">
        <v>141750</v>
      </c>
      <c r="H1466" s="6">
        <v>33866</v>
      </c>
      <c r="I1466" s="6">
        <v>48031</v>
      </c>
      <c r="J1466" s="6">
        <v>220545</v>
      </c>
      <c r="K1466" s="6">
        <v>578853</v>
      </c>
      <c r="L1466" s="6">
        <v>178539</v>
      </c>
      <c r="M1466" s="6">
        <v>2018439</v>
      </c>
      <c r="N1466" s="42">
        <v>1465557</v>
      </c>
      <c r="O1466" s="42"/>
      <c r="P1466" s="42">
        <v>104839</v>
      </c>
      <c r="Q1466" s="42">
        <v>206168</v>
      </c>
      <c r="R1466" s="42">
        <v>2741743</v>
      </c>
      <c r="S1466" s="5">
        <v>75091</v>
      </c>
      <c r="T1466" s="42">
        <v>512060</v>
      </c>
    </row>
    <row r="1467" spans="1:20" x14ac:dyDescent="0.3">
      <c r="A1467" s="7">
        <v>44026</v>
      </c>
      <c r="B1467" s="5"/>
      <c r="C1467" s="6">
        <v>107496</v>
      </c>
      <c r="D1467" s="6">
        <v>179568</v>
      </c>
      <c r="E1467" s="6">
        <v>148003</v>
      </c>
      <c r="F1467" s="14">
        <v>615471</v>
      </c>
      <c r="G1467" s="6">
        <v>136078</v>
      </c>
      <c r="H1467" s="6">
        <v>33202</v>
      </c>
      <c r="I1467" s="6">
        <v>48430</v>
      </c>
      <c r="J1467" s="6">
        <v>221410</v>
      </c>
      <c r="K1467" s="6">
        <v>580175</v>
      </c>
      <c r="L1467" s="6">
        <v>178367</v>
      </c>
      <c r="M1467" s="6">
        <v>2019705</v>
      </c>
      <c r="N1467" s="42">
        <v>1479863</v>
      </c>
      <c r="O1467" s="42"/>
      <c r="P1467" s="42">
        <v>104348</v>
      </c>
      <c r="Q1467" s="42">
        <v>209437</v>
      </c>
      <c r="R1467" s="42">
        <v>2739343</v>
      </c>
      <c r="S1467" s="5">
        <v>79362</v>
      </c>
      <c r="T1467" s="42">
        <v>520260</v>
      </c>
    </row>
    <row r="1468" spans="1:20" x14ac:dyDescent="0.3">
      <c r="A1468" s="7">
        <v>44025</v>
      </c>
      <c r="B1468" s="5"/>
      <c r="C1468" s="6">
        <v>107834</v>
      </c>
      <c r="D1468" s="6">
        <v>179084</v>
      </c>
      <c r="E1468" s="6">
        <v>146683</v>
      </c>
      <c r="F1468" s="14">
        <v>608252</v>
      </c>
      <c r="G1468" s="6">
        <v>136091</v>
      </c>
      <c r="H1468" s="6">
        <v>33963</v>
      </c>
      <c r="I1468" s="6">
        <v>49278</v>
      </c>
      <c r="J1468" s="6">
        <v>220022</v>
      </c>
      <c r="K1468" s="6">
        <v>571683</v>
      </c>
      <c r="L1468" s="6">
        <v>178141</v>
      </c>
      <c r="M1468" s="6">
        <v>1975666</v>
      </c>
      <c r="N1468" s="42">
        <v>1490365</v>
      </c>
      <c r="O1468" s="42"/>
      <c r="P1468" s="42">
        <v>101139</v>
      </c>
      <c r="Q1468" s="42">
        <v>219704</v>
      </c>
      <c r="R1468" s="42">
        <v>2748251</v>
      </c>
      <c r="S1468" s="5">
        <v>78458</v>
      </c>
      <c r="T1468" s="42">
        <v>522496</v>
      </c>
    </row>
    <row r="1469" spans="1:20" x14ac:dyDescent="0.3">
      <c r="A1469" s="7">
        <v>44022</v>
      </c>
      <c r="B1469" s="5"/>
      <c r="C1469" s="6">
        <v>109442</v>
      </c>
      <c r="D1469" s="6">
        <v>181175</v>
      </c>
      <c r="E1469" s="6">
        <v>148440</v>
      </c>
      <c r="F1469" s="14">
        <v>599098</v>
      </c>
      <c r="G1469" s="6">
        <v>140877</v>
      </c>
      <c r="H1469" s="6">
        <v>33366</v>
      </c>
      <c r="I1469" s="6">
        <v>47260</v>
      </c>
      <c r="J1469" s="6">
        <v>218085</v>
      </c>
      <c r="K1469" s="6">
        <v>568421</v>
      </c>
      <c r="L1469" s="6">
        <v>175725</v>
      </c>
      <c r="M1469" s="6">
        <v>1970287</v>
      </c>
      <c r="N1469" s="42">
        <v>1495624</v>
      </c>
      <c r="O1469" s="42"/>
      <c r="P1469" s="42">
        <v>102673</v>
      </c>
      <c r="Q1469" s="42">
        <v>222378</v>
      </c>
      <c r="R1469" s="42">
        <v>2775728</v>
      </c>
      <c r="S1469" s="5">
        <v>83573</v>
      </c>
      <c r="T1469" s="42">
        <v>526149</v>
      </c>
    </row>
    <row r="1470" spans="1:20" x14ac:dyDescent="0.3">
      <c r="A1470" s="7">
        <v>44021</v>
      </c>
      <c r="B1470" s="5"/>
      <c r="C1470" s="6">
        <v>107755</v>
      </c>
      <c r="D1470" s="6">
        <v>179412</v>
      </c>
      <c r="E1470" s="6">
        <v>145246</v>
      </c>
      <c r="F1470" s="14">
        <v>599948</v>
      </c>
      <c r="G1470" s="6">
        <v>137605</v>
      </c>
      <c r="H1470" s="6">
        <v>33072</v>
      </c>
      <c r="I1470" s="6">
        <v>46878</v>
      </c>
      <c r="J1470" s="6">
        <v>215042</v>
      </c>
      <c r="K1470" s="6">
        <v>572332</v>
      </c>
      <c r="L1470" s="6">
        <v>175801</v>
      </c>
      <c r="M1470" s="6">
        <v>1980911</v>
      </c>
      <c r="N1470" s="42">
        <v>1507094</v>
      </c>
      <c r="O1470" s="42"/>
      <c r="P1470" s="42">
        <v>101403</v>
      </c>
      <c r="Q1470" s="42">
        <v>217113</v>
      </c>
      <c r="R1470" s="42">
        <v>2766138</v>
      </c>
      <c r="S1470" s="5">
        <v>81058</v>
      </c>
      <c r="T1470" s="42">
        <v>519605</v>
      </c>
    </row>
    <row r="1471" spans="1:20" x14ac:dyDescent="0.3">
      <c r="A1471" s="7">
        <v>44020</v>
      </c>
      <c r="B1471" s="5"/>
      <c r="C1471" s="6">
        <v>107065</v>
      </c>
      <c r="D1471" s="6">
        <v>179914</v>
      </c>
      <c r="E1471" s="6">
        <v>120025</v>
      </c>
      <c r="F1471" s="14">
        <v>601561</v>
      </c>
      <c r="G1471" s="6">
        <v>137848</v>
      </c>
      <c r="H1471" s="6">
        <v>32325</v>
      </c>
      <c r="I1471" s="6">
        <v>48029</v>
      </c>
      <c r="J1471" s="6">
        <v>212508</v>
      </c>
      <c r="K1471" s="6">
        <v>575872</v>
      </c>
      <c r="L1471" s="6">
        <v>176125</v>
      </c>
      <c r="M1471" s="6">
        <v>1978585</v>
      </c>
      <c r="N1471" s="42">
        <v>1516303</v>
      </c>
      <c r="O1471" s="42"/>
      <c r="P1471" s="42">
        <v>103776</v>
      </c>
      <c r="Q1471" s="42">
        <v>216925</v>
      </c>
      <c r="R1471" s="42">
        <v>2772927</v>
      </c>
      <c r="S1471" s="5">
        <v>80513</v>
      </c>
      <c r="T1471" s="42">
        <v>529222</v>
      </c>
    </row>
    <row r="1472" spans="1:20" x14ac:dyDescent="0.3">
      <c r="A1472" s="7">
        <v>44019</v>
      </c>
      <c r="B1472" s="5"/>
      <c r="C1472" s="6">
        <v>105115</v>
      </c>
      <c r="D1472" s="6">
        <v>180696</v>
      </c>
      <c r="E1472" s="6">
        <v>121226</v>
      </c>
      <c r="F1472" s="14">
        <v>593341</v>
      </c>
      <c r="G1472" s="6">
        <v>138313</v>
      </c>
      <c r="H1472" s="6">
        <v>31229</v>
      </c>
      <c r="I1472" s="6">
        <v>45115</v>
      </c>
      <c r="J1472" s="6">
        <v>206843</v>
      </c>
      <c r="K1472" s="6">
        <v>572776</v>
      </c>
      <c r="L1472" s="6">
        <v>169513</v>
      </c>
      <c r="M1472" s="6">
        <v>1972049</v>
      </c>
      <c r="N1472" s="42">
        <v>1510544</v>
      </c>
      <c r="O1472" s="42"/>
      <c r="P1472" s="42">
        <v>106803</v>
      </c>
      <c r="Q1472" s="42">
        <v>215649</v>
      </c>
      <c r="R1472" s="42">
        <v>2751451</v>
      </c>
      <c r="S1472" s="5">
        <v>86853</v>
      </c>
      <c r="T1472" s="42">
        <v>522639</v>
      </c>
    </row>
    <row r="1473" spans="1:20" x14ac:dyDescent="0.3">
      <c r="A1473" s="7">
        <v>44018</v>
      </c>
      <c r="B1473" s="5"/>
      <c r="C1473" s="6">
        <v>105809</v>
      </c>
      <c r="D1473" s="6">
        <v>178695</v>
      </c>
      <c r="E1473" s="6">
        <v>119750</v>
      </c>
      <c r="F1473" s="14">
        <v>595122</v>
      </c>
      <c r="G1473" s="6">
        <v>137995</v>
      </c>
      <c r="H1473" s="6">
        <v>31441</v>
      </c>
      <c r="I1473" s="6">
        <v>46599</v>
      </c>
      <c r="J1473" s="6">
        <v>203494</v>
      </c>
      <c r="K1473" s="6">
        <v>559370</v>
      </c>
      <c r="L1473" s="6">
        <v>169706</v>
      </c>
      <c r="M1473" s="6">
        <v>1975413</v>
      </c>
      <c r="N1473" s="42">
        <v>1506716</v>
      </c>
      <c r="O1473" s="42"/>
      <c r="P1473" s="42">
        <v>107023</v>
      </c>
      <c r="Q1473" s="42">
        <v>220109</v>
      </c>
      <c r="R1473" s="42">
        <v>2756760</v>
      </c>
      <c r="S1473" s="5">
        <v>88765</v>
      </c>
      <c r="T1473" s="42">
        <v>528262</v>
      </c>
    </row>
    <row r="1474" spans="1:20" x14ac:dyDescent="0.3">
      <c r="A1474" s="7">
        <v>44014</v>
      </c>
      <c r="B1474" s="5"/>
      <c r="C1474" s="6">
        <v>103225</v>
      </c>
      <c r="D1474" s="6">
        <v>179867</v>
      </c>
      <c r="E1474" s="6">
        <v>118514</v>
      </c>
      <c r="F1474" s="14">
        <v>582066</v>
      </c>
      <c r="G1474" s="6">
        <v>136680</v>
      </c>
      <c r="H1474" s="6">
        <v>30505</v>
      </c>
      <c r="I1474" s="6">
        <v>42447</v>
      </c>
      <c r="J1474" s="6">
        <v>195164</v>
      </c>
      <c r="K1474" s="6">
        <v>556748</v>
      </c>
      <c r="L1474" s="6">
        <v>167591</v>
      </c>
      <c r="M1474" s="6">
        <v>1977457</v>
      </c>
      <c r="N1474" s="42">
        <v>1485114</v>
      </c>
      <c r="O1474" s="42"/>
      <c r="P1474" s="42">
        <v>103768</v>
      </c>
      <c r="Q1474" s="42">
        <v>218699</v>
      </c>
      <c r="R1474" s="42">
        <v>2733583</v>
      </c>
      <c r="S1474" s="5">
        <v>81964</v>
      </c>
      <c r="T1474" s="42">
        <v>529863</v>
      </c>
    </row>
    <row r="1475" spans="1:20" x14ac:dyDescent="0.3">
      <c r="A1475" s="7">
        <v>44013</v>
      </c>
      <c r="B1475" s="5"/>
      <c r="C1475" s="6">
        <v>103834</v>
      </c>
      <c r="D1475" s="6">
        <v>185911</v>
      </c>
      <c r="E1475" s="6">
        <v>118792</v>
      </c>
      <c r="F1475" s="14">
        <v>584845</v>
      </c>
      <c r="G1475" s="6">
        <v>137736</v>
      </c>
      <c r="H1475" s="6">
        <v>30257</v>
      </c>
      <c r="I1475" s="6">
        <v>41859</v>
      </c>
      <c r="J1475" s="6">
        <v>194239</v>
      </c>
      <c r="K1475" s="6">
        <v>554173</v>
      </c>
      <c r="L1475" s="6">
        <v>167352</v>
      </c>
      <c r="M1475" s="6">
        <v>1994608</v>
      </c>
      <c r="N1475" s="42">
        <v>1460904</v>
      </c>
      <c r="O1475" s="42"/>
      <c r="P1475" s="42">
        <v>101986</v>
      </c>
      <c r="Q1475" s="42">
        <v>215871</v>
      </c>
      <c r="R1475" s="42">
        <v>2703002</v>
      </c>
      <c r="S1475" s="5">
        <v>84568</v>
      </c>
      <c r="T1475" s="42">
        <v>536422</v>
      </c>
    </row>
    <row r="1476" spans="1:20" x14ac:dyDescent="0.3">
      <c r="A1476" s="7">
        <v>44012</v>
      </c>
      <c r="B1476" s="5"/>
      <c r="C1476" s="6">
        <v>100658</v>
      </c>
      <c r="D1476" s="6">
        <v>186144</v>
      </c>
      <c r="E1476" s="6">
        <v>118197</v>
      </c>
      <c r="F1476" s="14">
        <v>579738</v>
      </c>
      <c r="G1476" s="6">
        <v>137362</v>
      </c>
      <c r="H1476" s="6">
        <v>30845</v>
      </c>
      <c r="I1476" s="6">
        <v>41400</v>
      </c>
      <c r="J1476" s="6">
        <v>193194</v>
      </c>
      <c r="K1476" s="6">
        <v>561628</v>
      </c>
      <c r="L1476" s="6">
        <v>169418</v>
      </c>
      <c r="M1476" s="6">
        <v>2008618</v>
      </c>
      <c r="N1476" s="42">
        <v>1424795</v>
      </c>
      <c r="O1476" s="42"/>
      <c r="P1476" s="42">
        <v>99143</v>
      </c>
      <c r="Q1476" s="42">
        <v>213893</v>
      </c>
      <c r="R1476" s="42">
        <v>2709797</v>
      </c>
      <c r="S1476" s="5">
        <v>88622</v>
      </c>
      <c r="T1476" s="42">
        <v>536008</v>
      </c>
    </row>
    <row r="1477" spans="1:20" x14ac:dyDescent="0.3">
      <c r="A1477" s="7">
        <v>44011</v>
      </c>
      <c r="B1477" s="5"/>
      <c r="C1477" s="6">
        <v>97201</v>
      </c>
      <c r="D1477" s="6">
        <v>187399</v>
      </c>
      <c r="E1477" s="6">
        <v>114252</v>
      </c>
      <c r="F1477" s="14">
        <v>579457</v>
      </c>
      <c r="G1477" s="6">
        <v>138480</v>
      </c>
      <c r="H1477" s="6">
        <v>31592</v>
      </c>
      <c r="I1477" s="6">
        <v>42934</v>
      </c>
      <c r="J1477" s="6">
        <v>191767</v>
      </c>
      <c r="K1477" s="6">
        <v>547785</v>
      </c>
      <c r="L1477" s="6">
        <v>171688</v>
      </c>
      <c r="M1477" s="6">
        <v>2011449</v>
      </c>
      <c r="N1477" s="42">
        <v>1406007</v>
      </c>
      <c r="O1477" s="42"/>
      <c r="P1477" s="42">
        <v>101323</v>
      </c>
      <c r="Q1477" s="42">
        <v>210559</v>
      </c>
      <c r="R1477" s="42">
        <v>2710644</v>
      </c>
      <c r="S1477" s="5">
        <v>84876</v>
      </c>
      <c r="T1477" s="42">
        <v>527663</v>
      </c>
    </row>
    <row r="1478" spans="1:20" x14ac:dyDescent="0.3">
      <c r="A1478" s="7">
        <v>44008</v>
      </c>
      <c r="B1478" s="5"/>
      <c r="C1478" s="6">
        <v>93599</v>
      </c>
      <c r="D1478" s="6">
        <v>185143</v>
      </c>
      <c r="E1478" s="6">
        <v>110320</v>
      </c>
      <c r="F1478" s="14">
        <v>577620</v>
      </c>
      <c r="G1478" s="6">
        <v>139214</v>
      </c>
      <c r="H1478" s="6">
        <v>29738</v>
      </c>
      <c r="I1478" s="6">
        <v>40995</v>
      </c>
      <c r="J1478" s="6">
        <v>191910</v>
      </c>
      <c r="K1478" s="6">
        <v>545770</v>
      </c>
      <c r="L1478" s="6">
        <v>176037</v>
      </c>
      <c r="M1478" s="6">
        <v>2017669</v>
      </c>
      <c r="N1478" s="42">
        <v>1386202</v>
      </c>
      <c r="O1478" s="42"/>
      <c r="P1478" s="42">
        <v>101246</v>
      </c>
      <c r="Q1478" s="42">
        <v>207099</v>
      </c>
      <c r="R1478" s="42">
        <v>2744895</v>
      </c>
      <c r="S1478" s="5">
        <v>85002</v>
      </c>
      <c r="T1478" s="42">
        <v>524594</v>
      </c>
    </row>
    <row r="1479" spans="1:20" x14ac:dyDescent="0.3">
      <c r="A1479" s="7">
        <v>44007</v>
      </c>
      <c r="B1479" s="5"/>
      <c r="C1479" s="6">
        <v>93296</v>
      </c>
      <c r="D1479" s="6">
        <v>180919</v>
      </c>
      <c r="E1479" s="6">
        <v>108251</v>
      </c>
      <c r="F1479" s="14">
        <v>579116</v>
      </c>
      <c r="G1479" s="6">
        <v>138893</v>
      </c>
      <c r="H1479" s="6">
        <v>29934</v>
      </c>
      <c r="I1479" s="6">
        <v>40772</v>
      </c>
      <c r="J1479" s="6">
        <v>191297</v>
      </c>
      <c r="K1479" s="6">
        <v>539287</v>
      </c>
      <c r="L1479" s="6">
        <v>177948</v>
      </c>
      <c r="M1479" s="6">
        <v>2011488</v>
      </c>
      <c r="N1479" s="42">
        <v>1366305</v>
      </c>
      <c r="O1479" s="42"/>
      <c r="P1479" s="42">
        <v>100523</v>
      </c>
      <c r="Q1479" s="42">
        <v>210199</v>
      </c>
      <c r="R1479" s="42">
        <v>2746023</v>
      </c>
      <c r="S1479" s="5">
        <v>85295</v>
      </c>
      <c r="T1479" s="42">
        <v>528651</v>
      </c>
    </row>
    <row r="1480" spans="1:20" x14ac:dyDescent="0.3">
      <c r="A1480" s="7">
        <v>44006</v>
      </c>
      <c r="B1480" s="5"/>
      <c r="C1480" s="6">
        <v>93678</v>
      </c>
      <c r="D1480" s="6">
        <v>173652</v>
      </c>
      <c r="E1480" s="6">
        <v>107479</v>
      </c>
      <c r="F1480" s="14">
        <v>581721</v>
      </c>
      <c r="G1480" s="6">
        <v>141203</v>
      </c>
      <c r="H1480" s="6">
        <v>30080</v>
      </c>
      <c r="I1480" s="6">
        <v>42088</v>
      </c>
      <c r="J1480" s="6">
        <v>193662</v>
      </c>
      <c r="K1480" s="6">
        <v>537260</v>
      </c>
      <c r="L1480" s="6">
        <v>180256</v>
      </c>
      <c r="M1480" s="6">
        <v>2000075</v>
      </c>
      <c r="N1480" s="42">
        <v>1344906</v>
      </c>
      <c r="O1480" s="42"/>
      <c r="P1480" s="42">
        <v>98155</v>
      </c>
      <c r="Q1480" s="42">
        <v>210289</v>
      </c>
      <c r="R1480" s="42">
        <v>2709583</v>
      </c>
      <c r="S1480" s="5">
        <v>87050</v>
      </c>
      <c r="T1480" s="42">
        <v>520992</v>
      </c>
    </row>
    <row r="1481" spans="1:20" x14ac:dyDescent="0.3">
      <c r="A1481" s="7">
        <v>44005</v>
      </c>
      <c r="B1481" s="5"/>
      <c r="C1481" s="6">
        <v>93782</v>
      </c>
      <c r="D1481" s="6">
        <v>170455</v>
      </c>
      <c r="E1481" s="6">
        <v>105412</v>
      </c>
      <c r="F1481" s="14">
        <v>585421</v>
      </c>
      <c r="G1481" s="6">
        <v>144549</v>
      </c>
      <c r="H1481" s="6">
        <v>29351</v>
      </c>
      <c r="I1481" s="6">
        <v>42299</v>
      </c>
      <c r="J1481" s="6">
        <v>190457</v>
      </c>
      <c r="K1481" s="6">
        <v>532101</v>
      </c>
      <c r="L1481" s="6">
        <v>183444</v>
      </c>
      <c r="M1481" s="6">
        <v>2003477</v>
      </c>
      <c r="N1481" s="42">
        <v>1330074</v>
      </c>
      <c r="O1481" s="42"/>
      <c r="P1481" s="42">
        <v>100533</v>
      </c>
      <c r="Q1481" s="42">
        <v>214046</v>
      </c>
      <c r="R1481" s="42">
        <v>2708017</v>
      </c>
      <c r="S1481" s="5">
        <v>87178</v>
      </c>
      <c r="T1481" s="42">
        <v>524011</v>
      </c>
    </row>
    <row r="1482" spans="1:20" x14ac:dyDescent="0.3">
      <c r="A1482" s="7">
        <v>44004</v>
      </c>
      <c r="B1482" s="36"/>
      <c r="C1482" s="6">
        <v>95318</v>
      </c>
      <c r="D1482" s="6">
        <v>171807</v>
      </c>
      <c r="E1482" s="6">
        <v>103485</v>
      </c>
      <c r="F1482" s="14">
        <v>581539</v>
      </c>
      <c r="G1482" s="6">
        <v>132418</v>
      </c>
      <c r="H1482" s="6">
        <v>29495</v>
      </c>
      <c r="I1482" s="6">
        <v>39277</v>
      </c>
      <c r="J1482" s="6">
        <v>188813</v>
      </c>
      <c r="K1482" s="6">
        <v>522913</v>
      </c>
      <c r="L1482" s="6">
        <v>181995</v>
      </c>
      <c r="M1482" s="6">
        <v>2007148</v>
      </c>
      <c r="N1482" s="42">
        <v>1328203</v>
      </c>
      <c r="O1482" s="42"/>
      <c r="P1482" s="42">
        <v>100349</v>
      </c>
      <c r="Q1482" s="42">
        <v>216148</v>
      </c>
      <c r="R1482" s="42">
        <v>2717061</v>
      </c>
      <c r="S1482" s="5">
        <v>86492</v>
      </c>
      <c r="T1482" s="42">
        <v>612935</v>
      </c>
    </row>
    <row r="1483" spans="1:20" x14ac:dyDescent="0.3">
      <c r="A1483" s="7">
        <v>44001</v>
      </c>
      <c r="B1483" s="36"/>
      <c r="C1483" s="6">
        <v>93331</v>
      </c>
      <c r="D1483" s="6">
        <v>171748</v>
      </c>
      <c r="E1483" s="6">
        <v>102750</v>
      </c>
      <c r="F1483" s="14">
        <v>579251</v>
      </c>
      <c r="G1483" s="6">
        <v>132156</v>
      </c>
      <c r="H1483" s="6">
        <v>29199</v>
      </c>
      <c r="I1483" s="6">
        <v>36883</v>
      </c>
      <c r="J1483" s="6">
        <v>185355</v>
      </c>
      <c r="K1483" s="6">
        <v>516472</v>
      </c>
      <c r="L1483" s="6">
        <v>181807</v>
      </c>
      <c r="M1483" s="6">
        <v>2017512</v>
      </c>
      <c r="N1483" s="42">
        <v>1319665</v>
      </c>
      <c r="O1483" s="42"/>
      <c r="P1483" s="42">
        <v>105919</v>
      </c>
      <c r="Q1483" s="42">
        <v>218476</v>
      </c>
      <c r="R1483" s="42">
        <v>2756856</v>
      </c>
      <c r="S1483" s="5">
        <v>87697</v>
      </c>
      <c r="T1483" s="42">
        <v>608541</v>
      </c>
    </row>
    <row r="1484" spans="1:20" x14ac:dyDescent="0.3">
      <c r="A1484" s="7">
        <v>44000</v>
      </c>
      <c r="B1484" s="36"/>
      <c r="C1484" s="6">
        <v>91568</v>
      </c>
      <c r="D1484" s="6">
        <v>173436</v>
      </c>
      <c r="E1484" s="6">
        <v>100921</v>
      </c>
      <c r="F1484" s="14">
        <v>578414</v>
      </c>
      <c r="G1484" s="6">
        <v>132469</v>
      </c>
      <c r="H1484" s="6">
        <v>26626</v>
      </c>
      <c r="I1484" s="6">
        <v>35910</v>
      </c>
      <c r="J1484" s="6">
        <v>184670</v>
      </c>
      <c r="K1484" s="6">
        <v>493240</v>
      </c>
      <c r="L1484" s="6">
        <v>177089</v>
      </c>
      <c r="M1484" s="6">
        <v>2035454</v>
      </c>
      <c r="N1484" s="42">
        <v>1291160</v>
      </c>
      <c r="O1484" s="42"/>
      <c r="P1484" s="42">
        <v>107231</v>
      </c>
      <c r="Q1484" s="42">
        <v>216734</v>
      </c>
      <c r="R1484" s="42">
        <v>2720284</v>
      </c>
      <c r="S1484" s="5">
        <v>82694</v>
      </c>
      <c r="T1484" s="42">
        <v>610340</v>
      </c>
    </row>
    <row r="1485" spans="1:20" x14ac:dyDescent="0.3">
      <c r="A1485" s="7">
        <v>43999</v>
      </c>
      <c r="B1485" s="5"/>
      <c r="C1485" s="6">
        <v>91353</v>
      </c>
      <c r="D1485" s="6">
        <v>169002</v>
      </c>
      <c r="E1485" s="6">
        <v>100138</v>
      </c>
      <c r="F1485" s="14">
        <v>578204</v>
      </c>
      <c r="G1485" s="6">
        <v>129684</v>
      </c>
      <c r="H1485" s="6">
        <v>27266</v>
      </c>
      <c r="I1485" s="6">
        <v>35939</v>
      </c>
      <c r="J1485" s="6">
        <v>182870</v>
      </c>
      <c r="K1485" s="6">
        <v>492123</v>
      </c>
      <c r="L1485" s="6">
        <v>177480</v>
      </c>
      <c r="M1485" s="6">
        <v>2060800</v>
      </c>
      <c r="N1485" s="42">
        <v>1276575</v>
      </c>
      <c r="O1485" s="42"/>
      <c r="P1485" s="42">
        <v>105677</v>
      </c>
      <c r="Q1485" s="42">
        <v>213719</v>
      </c>
      <c r="R1485" s="42">
        <v>2731671</v>
      </c>
      <c r="S1485" s="5">
        <v>88145</v>
      </c>
      <c r="T1485" s="42">
        <v>615671</v>
      </c>
    </row>
    <row r="1486" spans="1:20" x14ac:dyDescent="0.3">
      <c r="A1486" s="7">
        <v>43998</v>
      </c>
      <c r="B1486" s="5"/>
      <c r="C1486" s="6">
        <v>141012</v>
      </c>
      <c r="D1486" s="6">
        <v>215393</v>
      </c>
      <c r="E1486" s="6">
        <v>125654</v>
      </c>
      <c r="F1486" s="14">
        <v>673582</v>
      </c>
      <c r="G1486" s="6">
        <v>161934</v>
      </c>
      <c r="H1486" s="6">
        <v>44316</v>
      </c>
      <c r="I1486" s="6">
        <v>49109</v>
      </c>
      <c r="J1486" s="6">
        <v>180741</v>
      </c>
      <c r="K1486" s="6">
        <v>489563</v>
      </c>
      <c r="L1486" s="6">
        <v>174386</v>
      </c>
      <c r="M1486" s="6">
        <v>2076990</v>
      </c>
      <c r="N1486" s="42">
        <v>1274700</v>
      </c>
      <c r="O1486" s="42"/>
      <c r="P1486" s="42">
        <v>104540</v>
      </c>
      <c r="Q1486" s="42">
        <v>211469</v>
      </c>
      <c r="R1486" s="42">
        <v>2708295</v>
      </c>
      <c r="S1486" s="5">
        <v>89460</v>
      </c>
      <c r="T1486" s="42">
        <v>632077</v>
      </c>
    </row>
    <row r="1487" spans="1:20" x14ac:dyDescent="0.3">
      <c r="A1487" s="7">
        <v>43997</v>
      </c>
      <c r="B1487" s="5"/>
      <c r="C1487" s="6">
        <v>139566</v>
      </c>
      <c r="D1487" s="6">
        <v>215173</v>
      </c>
      <c r="E1487" s="6">
        <v>125488</v>
      </c>
      <c r="F1487" s="14">
        <v>671312</v>
      </c>
      <c r="G1487" s="6">
        <v>161704</v>
      </c>
      <c r="H1487" s="6">
        <v>43797</v>
      </c>
      <c r="I1487" s="6">
        <v>49334</v>
      </c>
      <c r="J1487" s="6">
        <v>183629</v>
      </c>
      <c r="K1487" s="6">
        <v>484295</v>
      </c>
      <c r="L1487" s="6">
        <v>172898</v>
      </c>
      <c r="M1487" s="6">
        <v>2095273</v>
      </c>
      <c r="N1487" s="42">
        <v>1270006</v>
      </c>
      <c r="O1487" s="42"/>
      <c r="P1487" s="42">
        <v>104466</v>
      </c>
      <c r="Q1487" s="42">
        <v>211537</v>
      </c>
      <c r="R1487" s="42">
        <v>2718162</v>
      </c>
      <c r="S1487" s="5">
        <v>86366</v>
      </c>
      <c r="T1487" s="42">
        <v>622994</v>
      </c>
    </row>
    <row r="1488" spans="1:20" x14ac:dyDescent="0.3">
      <c r="A1488" s="7">
        <v>43994</v>
      </c>
      <c r="B1488" s="5"/>
      <c r="C1488" s="6">
        <v>137986</v>
      </c>
      <c r="D1488" s="6">
        <v>213107</v>
      </c>
      <c r="E1488" s="6">
        <v>125319</v>
      </c>
      <c r="F1488" s="14">
        <v>666569</v>
      </c>
      <c r="G1488" s="6">
        <v>163837</v>
      </c>
      <c r="H1488" s="6">
        <v>43891</v>
      </c>
      <c r="I1488" s="6">
        <v>48931</v>
      </c>
      <c r="J1488" s="6">
        <v>185263</v>
      </c>
      <c r="K1488" s="6">
        <v>485517</v>
      </c>
      <c r="L1488" s="6">
        <v>175914</v>
      </c>
      <c r="M1488" s="6">
        <v>2101697</v>
      </c>
      <c r="N1488" s="42">
        <v>1274626</v>
      </c>
      <c r="O1488" s="42"/>
      <c r="P1488" s="42">
        <v>103035</v>
      </c>
      <c r="Q1488" s="42">
        <v>211094</v>
      </c>
      <c r="R1488" s="42">
        <v>2716155</v>
      </c>
      <c r="S1488" s="5">
        <v>89182</v>
      </c>
      <c r="T1488" s="42">
        <v>591336</v>
      </c>
    </row>
    <row r="1489" spans="1:20" x14ac:dyDescent="0.3">
      <c r="A1489" s="7">
        <v>43993</v>
      </c>
      <c r="B1489" s="5"/>
      <c r="C1489" s="6">
        <v>135801</v>
      </c>
      <c r="D1489" s="6">
        <v>204030</v>
      </c>
      <c r="E1489" s="6">
        <v>125733</v>
      </c>
      <c r="F1489" s="14">
        <v>646570</v>
      </c>
      <c r="G1489" s="6">
        <v>160082</v>
      </c>
      <c r="H1489" s="6">
        <v>43150</v>
      </c>
      <c r="I1489" s="6">
        <v>48093</v>
      </c>
      <c r="J1489" s="6">
        <v>186035</v>
      </c>
      <c r="K1489" s="6">
        <v>484398</v>
      </c>
      <c r="L1489" s="6">
        <v>178901</v>
      </c>
      <c r="M1489" s="6">
        <v>2124099</v>
      </c>
      <c r="N1489" s="42">
        <v>1272031</v>
      </c>
      <c r="O1489" s="42"/>
      <c r="P1489" s="42">
        <v>103436</v>
      </c>
      <c r="Q1489" s="42">
        <v>210755</v>
      </c>
      <c r="R1489" s="42">
        <v>2721084</v>
      </c>
      <c r="S1489" s="5">
        <v>89364</v>
      </c>
      <c r="T1489" s="42">
        <v>583483</v>
      </c>
    </row>
    <row r="1490" spans="1:20" x14ac:dyDescent="0.3">
      <c r="A1490" s="7">
        <v>43992</v>
      </c>
      <c r="B1490" s="5"/>
      <c r="C1490" s="6">
        <v>135003</v>
      </c>
      <c r="D1490" s="6">
        <v>196325</v>
      </c>
      <c r="E1490" s="6">
        <v>125745</v>
      </c>
      <c r="F1490" s="14">
        <v>629411</v>
      </c>
      <c r="G1490" s="6">
        <v>160197</v>
      </c>
      <c r="H1490" s="6">
        <v>46631</v>
      </c>
      <c r="I1490" s="6">
        <v>47154</v>
      </c>
      <c r="J1490" s="6">
        <v>186277</v>
      </c>
      <c r="K1490" s="6">
        <v>480645</v>
      </c>
      <c r="L1490" s="6">
        <v>177739</v>
      </c>
      <c r="M1490" s="6">
        <v>2123604</v>
      </c>
      <c r="N1490" s="42">
        <v>1288324</v>
      </c>
      <c r="O1490" s="42"/>
      <c r="P1490" s="42">
        <v>123945</v>
      </c>
      <c r="Q1490" s="42">
        <v>266630</v>
      </c>
      <c r="R1490" s="42">
        <v>3344072</v>
      </c>
      <c r="S1490" s="5">
        <v>91495</v>
      </c>
      <c r="T1490" s="42">
        <v>577962</v>
      </c>
    </row>
    <row r="1491" spans="1:20" x14ac:dyDescent="0.3">
      <c r="A1491" s="7">
        <v>43991</v>
      </c>
      <c r="B1491" s="5"/>
      <c r="C1491" s="6">
        <v>138936</v>
      </c>
      <c r="D1491" s="6">
        <v>185606</v>
      </c>
      <c r="E1491" s="6">
        <v>120459</v>
      </c>
      <c r="F1491" s="14">
        <v>592915</v>
      </c>
      <c r="G1491" s="6">
        <v>155159</v>
      </c>
      <c r="H1491" s="6">
        <v>46711</v>
      </c>
      <c r="I1491" s="6">
        <v>41580</v>
      </c>
      <c r="J1491" s="6">
        <v>181310</v>
      </c>
      <c r="K1491" s="6">
        <v>475661</v>
      </c>
      <c r="L1491" s="6">
        <v>175240</v>
      </c>
      <c r="M1491" s="6">
        <v>2126629</v>
      </c>
      <c r="N1491" s="42">
        <v>1294237</v>
      </c>
      <c r="O1491" s="42"/>
      <c r="P1491" s="42">
        <v>123511</v>
      </c>
      <c r="Q1491" s="42">
        <v>269234</v>
      </c>
      <c r="R1491" s="42">
        <v>3333799</v>
      </c>
      <c r="S1491" s="5">
        <v>93865</v>
      </c>
      <c r="T1491" s="42">
        <v>572727</v>
      </c>
    </row>
    <row r="1492" spans="1:20" x14ac:dyDescent="0.3">
      <c r="A1492" s="7">
        <v>43990</v>
      </c>
      <c r="B1492" s="5"/>
      <c r="C1492" s="6">
        <v>130664</v>
      </c>
      <c r="D1492" s="6">
        <v>182539</v>
      </c>
      <c r="E1492" s="6">
        <v>122683</v>
      </c>
      <c r="F1492" s="14">
        <v>598534</v>
      </c>
      <c r="G1492" s="6">
        <v>154901</v>
      </c>
      <c r="H1492" s="6">
        <v>46658</v>
      </c>
      <c r="I1492" s="6">
        <v>42042</v>
      </c>
      <c r="J1492" s="6">
        <v>181156</v>
      </c>
      <c r="K1492" s="6">
        <v>469893</v>
      </c>
      <c r="L1492" s="6">
        <v>171452</v>
      </c>
      <c r="M1492" s="6">
        <v>2134818</v>
      </c>
      <c r="N1492" s="42">
        <v>1315672</v>
      </c>
      <c r="O1492" s="42"/>
      <c r="P1492" s="42">
        <v>123807</v>
      </c>
      <c r="Q1492" s="42">
        <v>273825</v>
      </c>
      <c r="R1492" s="42">
        <v>3208952</v>
      </c>
      <c r="S1492" s="5">
        <v>89725</v>
      </c>
      <c r="T1492" s="42">
        <v>576329</v>
      </c>
    </row>
    <row r="1493" spans="1:20" x14ac:dyDescent="0.3">
      <c r="A1493" s="7">
        <v>43987</v>
      </c>
      <c r="B1493" s="5"/>
      <c r="C1493" s="6">
        <v>131073</v>
      </c>
      <c r="D1493" s="6">
        <v>180022</v>
      </c>
      <c r="E1493" s="6">
        <v>123221</v>
      </c>
      <c r="F1493" s="14">
        <v>599012</v>
      </c>
      <c r="G1493" s="6">
        <v>157303</v>
      </c>
      <c r="H1493" s="6">
        <v>46722</v>
      </c>
      <c r="I1493" s="6">
        <v>42061</v>
      </c>
      <c r="J1493" s="6">
        <v>185576</v>
      </c>
      <c r="K1493" s="6">
        <v>471145</v>
      </c>
      <c r="L1493" s="6">
        <v>169232</v>
      </c>
      <c r="M1493" s="6">
        <v>2132269</v>
      </c>
      <c r="N1493" s="42">
        <v>1311660</v>
      </c>
      <c r="O1493" s="42"/>
      <c r="P1493" s="42">
        <v>121558</v>
      </c>
      <c r="Q1493" s="42">
        <v>276325</v>
      </c>
      <c r="R1493" s="42">
        <v>3199738</v>
      </c>
      <c r="S1493" s="5">
        <v>89600</v>
      </c>
      <c r="T1493" s="42">
        <v>572336</v>
      </c>
    </row>
    <row r="1494" spans="1:20" x14ac:dyDescent="0.3">
      <c r="A1494" s="7">
        <v>43986</v>
      </c>
      <c r="B1494" s="5"/>
      <c r="C1494" s="6">
        <v>134419</v>
      </c>
      <c r="D1494" s="6">
        <v>187073</v>
      </c>
      <c r="E1494" s="6">
        <v>125816</v>
      </c>
      <c r="F1494" s="14">
        <v>596090</v>
      </c>
      <c r="G1494" s="6">
        <v>154612</v>
      </c>
      <c r="H1494" s="6">
        <v>46832</v>
      </c>
      <c r="I1494" s="6">
        <v>41725</v>
      </c>
      <c r="J1494" s="6">
        <v>184556</v>
      </c>
      <c r="K1494" s="6">
        <v>471358</v>
      </c>
      <c r="L1494" s="6">
        <v>170820</v>
      </c>
      <c r="M1494" s="6">
        <v>2126519</v>
      </c>
      <c r="N1494" s="42">
        <v>1319098</v>
      </c>
      <c r="O1494" s="42"/>
      <c r="P1494" s="42">
        <v>119713</v>
      </c>
      <c r="Q1494" s="42">
        <v>259402</v>
      </c>
      <c r="R1494" s="42">
        <v>3215193</v>
      </c>
      <c r="S1494" s="5">
        <v>85571</v>
      </c>
      <c r="T1494" s="42">
        <v>571968</v>
      </c>
    </row>
    <row r="1495" spans="1:20" x14ac:dyDescent="0.3">
      <c r="A1495" s="7">
        <v>43985</v>
      </c>
      <c r="B1495" s="5"/>
      <c r="C1495" s="6">
        <v>133428</v>
      </c>
      <c r="D1495" s="6">
        <v>189190</v>
      </c>
      <c r="E1495" s="6">
        <v>127196</v>
      </c>
      <c r="F1495" s="14">
        <v>590997</v>
      </c>
      <c r="G1495" s="6">
        <v>153397</v>
      </c>
      <c r="H1495" s="6">
        <v>46447</v>
      </c>
      <c r="I1495" s="6">
        <v>41644</v>
      </c>
      <c r="J1495" s="6">
        <v>183486</v>
      </c>
      <c r="K1495" s="6">
        <v>473069</v>
      </c>
      <c r="L1495" s="6">
        <v>168156</v>
      </c>
      <c r="M1495" s="6">
        <v>2136175</v>
      </c>
      <c r="N1495" s="42">
        <v>1314496</v>
      </c>
      <c r="O1495" s="42"/>
      <c r="P1495" s="42">
        <v>112833</v>
      </c>
      <c r="Q1495" s="42">
        <v>241675</v>
      </c>
      <c r="R1495" s="42">
        <v>3196579</v>
      </c>
      <c r="S1495" s="5">
        <v>137114</v>
      </c>
      <c r="T1495" s="42">
        <v>570574</v>
      </c>
    </row>
    <row r="1496" spans="1:20" x14ac:dyDescent="0.3">
      <c r="A1496" s="7">
        <v>43984</v>
      </c>
      <c r="B1496" s="5"/>
      <c r="C1496" s="6">
        <v>135378</v>
      </c>
      <c r="D1496" s="6">
        <v>190138</v>
      </c>
      <c r="E1496" s="6">
        <v>128476</v>
      </c>
      <c r="F1496" s="14">
        <v>583384</v>
      </c>
      <c r="G1496" s="6">
        <v>158743</v>
      </c>
      <c r="H1496" s="6">
        <v>46537</v>
      </c>
      <c r="I1496" s="6">
        <v>40352</v>
      </c>
      <c r="J1496" s="6">
        <v>182043</v>
      </c>
      <c r="K1496" s="6">
        <v>475745</v>
      </c>
      <c r="L1496" s="6">
        <v>169670</v>
      </c>
      <c r="M1496" s="6">
        <v>2127664</v>
      </c>
      <c r="N1496" s="42">
        <v>1321753</v>
      </c>
      <c r="O1496" s="42"/>
      <c r="P1496" s="42">
        <v>109773</v>
      </c>
      <c r="Q1496" s="42">
        <v>221563</v>
      </c>
      <c r="R1496" s="42">
        <v>3092345</v>
      </c>
      <c r="S1496" s="5">
        <v>127948</v>
      </c>
      <c r="T1496" s="42">
        <v>571062</v>
      </c>
    </row>
    <row r="1497" spans="1:20" x14ac:dyDescent="0.3">
      <c r="A1497" s="7">
        <v>43983</v>
      </c>
      <c r="B1497" s="5"/>
      <c r="C1497" s="6">
        <v>135582</v>
      </c>
      <c r="D1497" s="6">
        <v>195193</v>
      </c>
      <c r="E1497" s="6">
        <v>126370</v>
      </c>
      <c r="F1497" s="14">
        <v>574855</v>
      </c>
      <c r="G1497" s="6">
        <v>157581</v>
      </c>
      <c r="H1497" s="6">
        <v>47140</v>
      </c>
      <c r="I1497" s="6">
        <v>40180</v>
      </c>
      <c r="J1497" s="6">
        <v>181509</v>
      </c>
      <c r="K1497" s="6">
        <v>482179</v>
      </c>
      <c r="L1497" s="6">
        <v>170099</v>
      </c>
      <c r="M1497" s="6">
        <v>2129139</v>
      </c>
      <c r="N1497" s="42">
        <v>1312193</v>
      </c>
      <c r="O1497" s="42"/>
      <c r="P1497" s="42">
        <v>107844</v>
      </c>
      <c r="Q1497" s="42">
        <v>217769</v>
      </c>
      <c r="R1497" s="42">
        <v>3012718</v>
      </c>
      <c r="S1497" s="5">
        <v>146326</v>
      </c>
      <c r="T1497" s="42">
        <v>563860</v>
      </c>
    </row>
    <row r="1498" spans="1:20" x14ac:dyDescent="0.3">
      <c r="A1498" s="7">
        <v>43980</v>
      </c>
      <c r="B1498" s="5"/>
      <c r="C1498" s="6">
        <v>133986</v>
      </c>
      <c r="D1498" s="6">
        <v>193648</v>
      </c>
      <c r="E1498" s="6">
        <v>125875</v>
      </c>
      <c r="F1498" s="14">
        <v>576738</v>
      </c>
      <c r="G1498" s="6">
        <v>160359</v>
      </c>
      <c r="H1498" s="6">
        <v>45758</v>
      </c>
      <c r="I1498" s="6">
        <v>40028</v>
      </c>
      <c r="J1498" s="6">
        <v>179233</v>
      </c>
      <c r="K1498" s="6">
        <v>487490</v>
      </c>
      <c r="L1498" s="6">
        <v>166345</v>
      </c>
      <c r="M1498" s="6">
        <v>2142743</v>
      </c>
      <c r="N1498" s="42">
        <v>1300276</v>
      </c>
      <c r="O1498" s="42"/>
      <c r="P1498" s="42">
        <v>107805</v>
      </c>
      <c r="Q1498" s="42">
        <v>213003</v>
      </c>
      <c r="R1498" s="42">
        <v>2963845</v>
      </c>
      <c r="S1498" s="5">
        <v>122589</v>
      </c>
      <c r="T1498" s="42">
        <v>574201</v>
      </c>
    </row>
    <row r="1499" spans="1:20" x14ac:dyDescent="0.3">
      <c r="A1499" s="7">
        <v>43979</v>
      </c>
      <c r="B1499" s="5"/>
      <c r="C1499" s="6">
        <v>133859</v>
      </c>
      <c r="D1499" s="6">
        <v>189112</v>
      </c>
      <c r="E1499" s="6">
        <v>127895</v>
      </c>
      <c r="F1499" s="14">
        <v>575185</v>
      </c>
      <c r="G1499" s="6">
        <v>156604</v>
      </c>
      <c r="H1499" s="6">
        <v>46394</v>
      </c>
      <c r="I1499" s="6">
        <v>41040</v>
      </c>
      <c r="J1499" s="6">
        <v>176989</v>
      </c>
      <c r="K1499" s="6">
        <v>510656</v>
      </c>
      <c r="L1499" s="6">
        <v>163038</v>
      </c>
      <c r="M1499" s="6">
        <v>2129715</v>
      </c>
      <c r="N1499" s="42">
        <v>1299363</v>
      </c>
      <c r="O1499" s="42"/>
      <c r="P1499" s="42">
        <v>106326</v>
      </c>
      <c r="Q1499" s="42">
        <v>210908</v>
      </c>
      <c r="R1499" s="42">
        <v>2940769</v>
      </c>
      <c r="S1499" s="5">
        <v>108376</v>
      </c>
      <c r="T1499" s="42">
        <v>570168</v>
      </c>
    </row>
    <row r="1500" spans="1:20" x14ac:dyDescent="0.3">
      <c r="A1500" s="7">
        <v>43978</v>
      </c>
      <c r="B1500" s="5"/>
      <c r="C1500" s="6">
        <v>133080</v>
      </c>
      <c r="D1500" s="6">
        <v>187998</v>
      </c>
      <c r="E1500" s="6">
        <v>128820</v>
      </c>
      <c r="F1500" s="14">
        <v>567144</v>
      </c>
      <c r="G1500" s="6">
        <v>155341</v>
      </c>
      <c r="H1500" s="6">
        <v>44442</v>
      </c>
      <c r="I1500" s="6">
        <v>39461</v>
      </c>
      <c r="J1500" s="6">
        <v>176147</v>
      </c>
      <c r="K1500" s="6">
        <v>512185</v>
      </c>
      <c r="L1500" s="6">
        <v>159031</v>
      </c>
      <c r="M1500" s="6">
        <v>2125629</v>
      </c>
      <c r="N1500" s="42">
        <v>1300465</v>
      </c>
      <c r="O1500" s="42"/>
      <c r="P1500" s="42">
        <v>105335</v>
      </c>
      <c r="Q1500" s="42">
        <v>208805</v>
      </c>
      <c r="R1500" s="42">
        <v>2921886</v>
      </c>
      <c r="S1500" s="5">
        <v>107422</v>
      </c>
      <c r="T1500" s="42">
        <v>563594</v>
      </c>
    </row>
    <row r="1501" spans="1:20" x14ac:dyDescent="0.3">
      <c r="A1501" s="7">
        <v>43977</v>
      </c>
      <c r="B1501" s="5"/>
      <c r="C1501" s="6">
        <v>136920</v>
      </c>
      <c r="D1501" s="6">
        <v>188650</v>
      </c>
      <c r="E1501" s="6">
        <v>129849</v>
      </c>
      <c r="F1501" s="14">
        <v>556749</v>
      </c>
      <c r="G1501" s="6">
        <v>156827</v>
      </c>
      <c r="H1501" s="6">
        <v>45668</v>
      </c>
      <c r="I1501" s="6">
        <v>39072</v>
      </c>
      <c r="J1501" s="6">
        <v>175499</v>
      </c>
      <c r="K1501" s="6">
        <v>519374</v>
      </c>
      <c r="L1501" s="6">
        <v>158185</v>
      </c>
      <c r="M1501" s="6">
        <v>2135678</v>
      </c>
      <c r="N1501" s="42">
        <v>1307835</v>
      </c>
      <c r="O1501" s="42"/>
      <c r="P1501" s="42">
        <v>100918</v>
      </c>
      <c r="Q1501" s="42">
        <v>208187</v>
      </c>
      <c r="R1501" s="42">
        <v>2899775</v>
      </c>
      <c r="S1501" s="5">
        <v>102080</v>
      </c>
      <c r="T1501" s="42">
        <v>556435</v>
      </c>
    </row>
    <row r="1502" spans="1:20" x14ac:dyDescent="0.3">
      <c r="A1502" s="7">
        <v>43973</v>
      </c>
      <c r="B1502" s="5"/>
      <c r="C1502" s="6">
        <v>132789</v>
      </c>
      <c r="D1502" s="6">
        <v>187337</v>
      </c>
      <c r="E1502" s="6">
        <v>131560</v>
      </c>
      <c r="F1502" s="14">
        <v>551741</v>
      </c>
      <c r="G1502" s="6">
        <v>154275</v>
      </c>
      <c r="H1502" s="6">
        <v>43905</v>
      </c>
      <c r="I1502" s="6">
        <v>39040</v>
      </c>
      <c r="J1502" s="6">
        <v>174886</v>
      </c>
      <c r="K1502" s="6">
        <v>528291</v>
      </c>
      <c r="L1502" s="6">
        <v>156870</v>
      </c>
      <c r="M1502" s="6">
        <v>2141181</v>
      </c>
      <c r="N1502" s="42">
        <v>1300662</v>
      </c>
      <c r="O1502" s="42"/>
      <c r="P1502" s="42">
        <v>100771</v>
      </c>
      <c r="Q1502" s="42">
        <v>207781</v>
      </c>
      <c r="R1502" s="42">
        <v>2886488</v>
      </c>
      <c r="S1502" s="5">
        <v>109176</v>
      </c>
      <c r="T1502" s="42">
        <v>557631</v>
      </c>
    </row>
    <row r="1503" spans="1:20" x14ac:dyDescent="0.3">
      <c r="A1503" s="7">
        <v>43971</v>
      </c>
      <c r="B1503" s="5"/>
      <c r="C1503" s="6">
        <v>133493</v>
      </c>
      <c r="D1503" s="6">
        <v>180144</v>
      </c>
      <c r="E1503" s="6">
        <v>129002</v>
      </c>
      <c r="F1503" s="14">
        <v>552146</v>
      </c>
      <c r="G1503" s="6">
        <v>150466</v>
      </c>
      <c r="H1503" s="6">
        <v>43247</v>
      </c>
      <c r="I1503" s="6">
        <v>39920</v>
      </c>
      <c r="J1503" s="6">
        <v>173207</v>
      </c>
      <c r="K1503" s="6">
        <v>532709</v>
      </c>
      <c r="L1503" s="6">
        <v>155360</v>
      </c>
      <c r="M1503" s="6">
        <v>2152105</v>
      </c>
      <c r="N1503" s="42">
        <v>1304990</v>
      </c>
      <c r="O1503" s="42"/>
      <c r="P1503" s="42">
        <v>101933</v>
      </c>
      <c r="Q1503" s="42">
        <v>210730</v>
      </c>
      <c r="R1503" s="42">
        <v>2893602</v>
      </c>
      <c r="S1503" s="5">
        <v>107413</v>
      </c>
      <c r="T1503" s="42">
        <v>552726</v>
      </c>
    </row>
    <row r="1504" spans="1:20" x14ac:dyDescent="0.3">
      <c r="A1504" s="7">
        <v>43970</v>
      </c>
      <c r="B1504" s="5"/>
      <c r="C1504" s="6">
        <v>133126</v>
      </c>
      <c r="D1504" s="6">
        <v>181452</v>
      </c>
      <c r="E1504" s="6">
        <v>130099</v>
      </c>
      <c r="F1504" s="14">
        <v>549006</v>
      </c>
      <c r="G1504" s="6">
        <v>148668</v>
      </c>
      <c r="H1504" s="6">
        <v>44143</v>
      </c>
      <c r="I1504" s="6">
        <v>38746</v>
      </c>
      <c r="J1504" s="6">
        <v>171040</v>
      </c>
      <c r="K1504" s="6">
        <v>528205</v>
      </c>
      <c r="L1504" s="6">
        <v>151890</v>
      </c>
      <c r="M1504" s="6">
        <v>2158749</v>
      </c>
      <c r="N1504" s="42">
        <v>1286544</v>
      </c>
      <c r="O1504" s="42"/>
      <c r="P1504" s="42">
        <v>104714</v>
      </c>
      <c r="Q1504" s="42">
        <v>215643</v>
      </c>
      <c r="R1504" s="42">
        <v>2913395</v>
      </c>
      <c r="S1504" s="5">
        <v>112424</v>
      </c>
      <c r="T1504" s="42">
        <v>552883</v>
      </c>
    </row>
    <row r="1505" spans="1:20" x14ac:dyDescent="0.3">
      <c r="A1505" s="7">
        <v>43969</v>
      </c>
      <c r="B1505" s="5"/>
      <c r="C1505" s="6">
        <v>131638</v>
      </c>
      <c r="D1505" s="6">
        <v>181531</v>
      </c>
      <c r="E1505" s="6">
        <v>127753</v>
      </c>
      <c r="F1505" s="14">
        <v>549410</v>
      </c>
      <c r="G1505" s="6">
        <v>156456</v>
      </c>
      <c r="H1505" s="6">
        <v>44462</v>
      </c>
      <c r="I1505" s="6">
        <v>39104</v>
      </c>
      <c r="J1505" s="6">
        <v>170837</v>
      </c>
      <c r="K1505" s="6">
        <v>524184</v>
      </c>
      <c r="L1505" s="6">
        <v>147978</v>
      </c>
      <c r="M1505" s="6">
        <v>2196268</v>
      </c>
      <c r="N1505" s="42">
        <v>1264051</v>
      </c>
      <c r="O1505" s="42"/>
      <c r="P1505" s="42">
        <v>106628</v>
      </c>
      <c r="Q1505" s="42">
        <v>223005</v>
      </c>
      <c r="R1505" s="42">
        <v>2899321</v>
      </c>
      <c r="S1505" s="5">
        <v>112849</v>
      </c>
      <c r="T1505" s="42">
        <v>554986</v>
      </c>
    </row>
    <row r="1506" spans="1:20" x14ac:dyDescent="0.3">
      <c r="A1506" s="7">
        <v>43966</v>
      </c>
      <c r="B1506" s="5"/>
      <c r="C1506" s="6">
        <v>133662</v>
      </c>
      <c r="D1506" s="6">
        <v>177837</v>
      </c>
      <c r="E1506" s="6">
        <v>127042</v>
      </c>
      <c r="F1506" s="14">
        <v>550081</v>
      </c>
      <c r="G1506" s="6">
        <v>158372</v>
      </c>
      <c r="H1506" s="6">
        <v>44941</v>
      </c>
      <c r="I1506" s="6">
        <v>42703</v>
      </c>
      <c r="J1506" s="6">
        <v>167656</v>
      </c>
      <c r="K1506" s="6">
        <v>525368</v>
      </c>
      <c r="L1506" s="6">
        <v>146319</v>
      </c>
      <c r="M1506" s="6">
        <v>2221978</v>
      </c>
      <c r="N1506" s="42">
        <v>1244798</v>
      </c>
      <c r="O1506" s="42"/>
      <c r="P1506" s="42">
        <v>106840</v>
      </c>
      <c r="Q1506" s="42">
        <v>225744</v>
      </c>
      <c r="R1506" s="42">
        <v>2908031</v>
      </c>
      <c r="S1506" s="5">
        <v>116942</v>
      </c>
      <c r="T1506" s="42">
        <v>552485</v>
      </c>
    </row>
    <row r="1507" spans="1:20" x14ac:dyDescent="0.3">
      <c r="A1507" s="7">
        <v>43965</v>
      </c>
      <c r="B1507" s="5"/>
      <c r="C1507" s="6">
        <v>134389</v>
      </c>
      <c r="D1507" s="6">
        <v>175437</v>
      </c>
      <c r="E1507" s="6">
        <v>127071</v>
      </c>
      <c r="F1507" s="14">
        <v>550617</v>
      </c>
      <c r="G1507" s="6">
        <v>155779</v>
      </c>
      <c r="H1507" s="6">
        <v>44826</v>
      </c>
      <c r="I1507" s="6">
        <v>42669</v>
      </c>
      <c r="J1507" s="6">
        <v>167632</v>
      </c>
      <c r="K1507" s="6">
        <v>521493</v>
      </c>
      <c r="L1507" s="6">
        <v>141211</v>
      </c>
      <c r="M1507" s="6">
        <v>2228390</v>
      </c>
      <c r="N1507" s="42">
        <v>1233792</v>
      </c>
      <c r="O1507" s="42"/>
      <c r="P1507" s="42">
        <v>107317</v>
      </c>
      <c r="Q1507" s="42">
        <v>224422</v>
      </c>
      <c r="R1507" s="42">
        <v>2887170</v>
      </c>
      <c r="S1507" s="5">
        <v>112693</v>
      </c>
      <c r="T1507" s="42">
        <v>550826</v>
      </c>
    </row>
    <row r="1508" spans="1:20" x14ac:dyDescent="0.3">
      <c r="A1508" s="7">
        <v>43964</v>
      </c>
      <c r="B1508" s="5"/>
      <c r="C1508" s="6">
        <v>133772</v>
      </c>
      <c r="D1508" s="6">
        <v>173139</v>
      </c>
      <c r="E1508" s="6">
        <v>122878</v>
      </c>
      <c r="F1508" s="14">
        <v>549501</v>
      </c>
      <c r="G1508" s="6">
        <v>155003</v>
      </c>
      <c r="H1508" s="6">
        <v>46328</v>
      </c>
      <c r="I1508" s="6">
        <v>40513</v>
      </c>
      <c r="J1508" s="6">
        <v>167666</v>
      </c>
      <c r="K1508" s="6">
        <v>511060</v>
      </c>
      <c r="L1508" s="6">
        <v>136495</v>
      </c>
      <c r="M1508" s="6">
        <v>2287017</v>
      </c>
      <c r="N1508" s="42">
        <v>1199314</v>
      </c>
      <c r="O1508" s="42"/>
      <c r="P1508" s="42">
        <v>110941</v>
      </c>
      <c r="Q1508" s="42">
        <v>222567</v>
      </c>
      <c r="R1508" s="42">
        <v>2854384</v>
      </c>
      <c r="S1508" s="5">
        <v>104761</v>
      </c>
      <c r="T1508" s="42">
        <v>539549</v>
      </c>
    </row>
    <row r="1509" spans="1:20" x14ac:dyDescent="0.3">
      <c r="A1509" s="7">
        <v>43963</v>
      </c>
      <c r="B1509" s="5"/>
      <c r="C1509" s="6">
        <v>129264</v>
      </c>
      <c r="D1509" s="6">
        <v>166568</v>
      </c>
      <c r="E1509" s="6">
        <v>120453</v>
      </c>
      <c r="F1509" s="14">
        <v>547329</v>
      </c>
      <c r="G1509" s="6">
        <v>153370</v>
      </c>
      <c r="H1509" s="6">
        <v>45368</v>
      </c>
      <c r="I1509" s="6">
        <v>40469</v>
      </c>
      <c r="J1509" s="6">
        <v>168470</v>
      </c>
      <c r="K1509" s="6">
        <v>496739</v>
      </c>
      <c r="L1509" s="6">
        <v>135987</v>
      </c>
      <c r="M1509" s="6">
        <v>2248020</v>
      </c>
      <c r="N1509" s="42">
        <v>1185698</v>
      </c>
      <c r="O1509" s="42"/>
      <c r="P1509" s="42">
        <v>109977</v>
      </c>
      <c r="Q1509" s="42">
        <v>221390</v>
      </c>
      <c r="R1509" s="42">
        <v>2809377</v>
      </c>
      <c r="S1509" s="5">
        <v>110041</v>
      </c>
      <c r="T1509" s="42">
        <v>527900</v>
      </c>
    </row>
    <row r="1510" spans="1:20" x14ac:dyDescent="0.3">
      <c r="A1510" s="7">
        <v>43962</v>
      </c>
      <c r="B1510" s="5"/>
      <c r="C1510" s="6">
        <v>126801</v>
      </c>
      <c r="D1510" s="6">
        <v>165562</v>
      </c>
      <c r="E1510" s="6">
        <v>119112</v>
      </c>
      <c r="F1510" s="14">
        <v>546753</v>
      </c>
      <c r="G1510" s="6">
        <v>152551</v>
      </c>
      <c r="H1510" s="6">
        <v>45709</v>
      </c>
      <c r="I1510" s="6">
        <v>40257</v>
      </c>
      <c r="J1510" s="6">
        <v>166747</v>
      </c>
      <c r="K1510" s="6">
        <v>495185</v>
      </c>
      <c r="L1510" s="6">
        <v>135057</v>
      </c>
      <c r="M1510" s="6">
        <v>2256430</v>
      </c>
      <c r="N1510" s="42">
        <v>1176072</v>
      </c>
      <c r="O1510" s="42"/>
      <c r="P1510" s="42">
        <v>108015</v>
      </c>
      <c r="Q1510" s="42">
        <v>222043</v>
      </c>
      <c r="R1510" s="42">
        <v>2811022</v>
      </c>
      <c r="S1510" s="5">
        <v>110452</v>
      </c>
      <c r="T1510" s="42">
        <v>523458</v>
      </c>
    </row>
    <row r="1511" spans="1:20" x14ac:dyDescent="0.3">
      <c r="A1511" s="7">
        <v>43959</v>
      </c>
      <c r="B1511" s="5"/>
      <c r="C1511" s="6">
        <v>126945</v>
      </c>
      <c r="D1511" s="6">
        <v>161839</v>
      </c>
      <c r="E1511" s="6">
        <v>119122</v>
      </c>
      <c r="F1511" s="14">
        <v>539928</v>
      </c>
      <c r="G1511" s="6">
        <v>157260</v>
      </c>
      <c r="H1511" s="6">
        <v>44679</v>
      </c>
      <c r="I1511" s="6">
        <v>38111</v>
      </c>
      <c r="J1511" s="6">
        <v>166271</v>
      </c>
      <c r="K1511" s="6">
        <v>500798</v>
      </c>
      <c r="L1511" s="6">
        <v>137969</v>
      </c>
      <c r="M1511" s="6">
        <v>2253072</v>
      </c>
      <c r="N1511" s="42">
        <v>1180788</v>
      </c>
      <c r="O1511" s="42"/>
      <c r="P1511" s="42">
        <v>108256</v>
      </c>
      <c r="Q1511" s="42">
        <v>224406</v>
      </c>
      <c r="R1511" s="42">
        <v>2800460</v>
      </c>
      <c r="S1511" s="5">
        <v>115206</v>
      </c>
      <c r="T1511" s="42">
        <v>520008</v>
      </c>
    </row>
    <row r="1512" spans="1:20" x14ac:dyDescent="0.3">
      <c r="A1512" s="7">
        <v>43958</v>
      </c>
      <c r="B1512" s="5"/>
      <c r="C1512" s="6">
        <v>128406</v>
      </c>
      <c r="D1512" s="6">
        <v>165474</v>
      </c>
      <c r="E1512" s="6">
        <v>118922</v>
      </c>
      <c r="F1512" s="14">
        <v>542495</v>
      </c>
      <c r="G1512" s="6">
        <v>156505</v>
      </c>
      <c r="H1512" s="6">
        <v>44871</v>
      </c>
      <c r="I1512" s="6">
        <v>37957</v>
      </c>
      <c r="J1512" s="6">
        <v>165947</v>
      </c>
      <c r="K1512" s="6">
        <v>504036</v>
      </c>
      <c r="L1512" s="6">
        <v>136678</v>
      </c>
      <c r="M1512" s="6">
        <v>2223754</v>
      </c>
      <c r="N1512" s="42">
        <v>1181076</v>
      </c>
      <c r="O1512" s="42"/>
      <c r="P1512" s="42">
        <v>110167</v>
      </c>
      <c r="Q1512" s="42">
        <v>232945</v>
      </c>
      <c r="R1512" s="42">
        <v>2794058</v>
      </c>
      <c r="S1512" s="5">
        <v>110994</v>
      </c>
      <c r="T1512" s="42">
        <v>522869</v>
      </c>
    </row>
    <row r="1513" spans="1:20" x14ac:dyDescent="0.3">
      <c r="A1513" s="7">
        <v>43957</v>
      </c>
      <c r="B1513" s="5"/>
      <c r="C1513" s="6">
        <v>128282</v>
      </c>
      <c r="D1513" s="6">
        <v>165974</v>
      </c>
      <c r="E1513" s="6">
        <v>121586</v>
      </c>
      <c r="F1513" s="14">
        <v>541728</v>
      </c>
      <c r="G1513" s="6">
        <v>155591</v>
      </c>
      <c r="H1513" s="6">
        <v>45079</v>
      </c>
      <c r="I1513" s="6">
        <v>37389</v>
      </c>
      <c r="J1513" s="6">
        <v>163909</v>
      </c>
      <c r="K1513" s="6">
        <v>493628</v>
      </c>
      <c r="L1513" s="6">
        <v>132725</v>
      </c>
      <c r="M1513" s="6">
        <v>2235023</v>
      </c>
      <c r="N1513" s="42">
        <v>1178947</v>
      </c>
      <c r="O1513" s="42"/>
      <c r="P1513" s="42">
        <v>113290</v>
      </c>
      <c r="Q1513" s="42">
        <v>233005</v>
      </c>
      <c r="R1513" s="42">
        <v>2780479</v>
      </c>
      <c r="S1513" s="5">
        <v>106585</v>
      </c>
      <c r="T1513" s="42">
        <v>519296</v>
      </c>
    </row>
    <row r="1514" spans="1:20" x14ac:dyDescent="0.3">
      <c r="A1514" s="7">
        <v>43956</v>
      </c>
      <c r="B1514" s="5"/>
      <c r="C1514" s="6">
        <v>129293</v>
      </c>
      <c r="D1514" s="6">
        <v>161083</v>
      </c>
      <c r="E1514" s="6">
        <v>119300</v>
      </c>
      <c r="F1514" s="14">
        <v>541624</v>
      </c>
      <c r="G1514" s="6">
        <v>152042</v>
      </c>
      <c r="H1514" s="6">
        <v>44372</v>
      </c>
      <c r="I1514" s="6">
        <v>36257</v>
      </c>
      <c r="J1514" s="6">
        <v>162899</v>
      </c>
      <c r="K1514" s="6">
        <v>490343</v>
      </c>
      <c r="L1514" s="6">
        <v>132573</v>
      </c>
      <c r="M1514" s="6">
        <v>2243871</v>
      </c>
      <c r="N1514" s="42">
        <v>1178517</v>
      </c>
      <c r="O1514" s="42"/>
      <c r="P1514" s="42">
        <v>115084</v>
      </c>
      <c r="Q1514" s="42">
        <v>234260</v>
      </c>
      <c r="R1514" s="42">
        <v>2778316</v>
      </c>
      <c r="S1514" s="5">
        <v>107873</v>
      </c>
      <c r="T1514" s="42">
        <v>520425</v>
      </c>
    </row>
    <row r="1515" spans="1:20" x14ac:dyDescent="0.3">
      <c r="A1515" s="7">
        <v>43955</v>
      </c>
      <c r="B1515" s="5"/>
      <c r="C1515" s="6">
        <v>128824</v>
      </c>
      <c r="D1515" s="6">
        <v>160674</v>
      </c>
      <c r="E1515" s="6">
        <v>121401</v>
      </c>
      <c r="F1515" s="14">
        <v>540693</v>
      </c>
      <c r="G1515" s="6">
        <v>148868</v>
      </c>
      <c r="H1515" s="6">
        <v>43670</v>
      </c>
      <c r="I1515" s="6">
        <v>36155</v>
      </c>
      <c r="J1515" s="6">
        <v>161571</v>
      </c>
      <c r="K1515" s="6">
        <v>490122</v>
      </c>
      <c r="L1515" s="6">
        <v>131830</v>
      </c>
      <c r="M1515" s="6">
        <v>2233301</v>
      </c>
      <c r="N1515" s="42">
        <v>1174654</v>
      </c>
      <c r="O1515" s="42"/>
      <c r="P1515" s="42">
        <v>114679</v>
      </c>
      <c r="Q1515" s="42">
        <v>235195</v>
      </c>
      <c r="R1515" s="42">
        <v>2778235</v>
      </c>
      <c r="S1515" s="5">
        <v>106598</v>
      </c>
      <c r="T1515" s="42">
        <v>523493</v>
      </c>
    </row>
    <row r="1516" spans="1:20" x14ac:dyDescent="0.3">
      <c r="A1516" s="7">
        <v>43952</v>
      </c>
      <c r="B1516" s="5"/>
      <c r="C1516" s="6">
        <v>128856</v>
      </c>
      <c r="D1516" s="6">
        <v>158642</v>
      </c>
      <c r="E1516" s="6">
        <v>122043</v>
      </c>
      <c r="F1516" s="14">
        <v>538233</v>
      </c>
      <c r="G1516" s="6">
        <v>147087</v>
      </c>
      <c r="H1516" s="6">
        <v>44705</v>
      </c>
      <c r="I1516" s="6">
        <v>36616</v>
      </c>
      <c r="J1516" s="6">
        <v>162134</v>
      </c>
      <c r="K1516" s="6">
        <v>489877</v>
      </c>
      <c r="L1516" s="6">
        <v>132118</v>
      </c>
      <c r="M1516" s="6">
        <v>2256920</v>
      </c>
      <c r="N1516" s="42">
        <v>1167901</v>
      </c>
      <c r="O1516" s="42"/>
      <c r="P1516" s="42">
        <v>116531</v>
      </c>
      <c r="Q1516" s="42">
        <v>233475</v>
      </c>
      <c r="R1516" s="42">
        <v>2751651</v>
      </c>
      <c r="S1516" s="5">
        <v>108460</v>
      </c>
      <c r="T1516" s="42">
        <v>533037</v>
      </c>
    </row>
    <row r="1517" spans="1:20" x14ac:dyDescent="0.3">
      <c r="A1517" s="7">
        <v>43951</v>
      </c>
      <c r="B1517" s="5"/>
      <c r="C1517" s="6">
        <v>128574</v>
      </c>
      <c r="D1517" s="6">
        <v>159893</v>
      </c>
      <c r="E1517" s="6">
        <v>118053</v>
      </c>
      <c r="F1517" s="14">
        <v>541602</v>
      </c>
      <c r="G1517" s="6">
        <v>144590</v>
      </c>
      <c r="H1517" s="6">
        <v>43595</v>
      </c>
      <c r="I1517" s="6">
        <v>36316</v>
      </c>
      <c r="J1517" s="6">
        <v>162803</v>
      </c>
      <c r="K1517" s="6">
        <v>490551</v>
      </c>
      <c r="L1517" s="6">
        <v>134672</v>
      </c>
      <c r="M1517" s="6">
        <v>2303488</v>
      </c>
      <c r="N1517" s="42">
        <v>1157534</v>
      </c>
      <c r="O1517" s="42"/>
      <c r="P1517" s="42">
        <v>113751</v>
      </c>
      <c r="Q1517" s="42">
        <v>231853</v>
      </c>
      <c r="R1517" s="42">
        <v>2750302</v>
      </c>
      <c r="S1517" s="5">
        <v>115570</v>
      </c>
      <c r="T1517" s="42">
        <v>524134</v>
      </c>
    </row>
    <row r="1518" spans="1:20" x14ac:dyDescent="0.3">
      <c r="A1518" s="7">
        <v>43950</v>
      </c>
      <c r="B1518" s="5"/>
      <c r="C1518" s="6">
        <v>128737</v>
      </c>
      <c r="D1518" s="6">
        <v>160674</v>
      </c>
      <c r="E1518" s="6">
        <v>117527</v>
      </c>
      <c r="F1518" s="14">
        <v>538536</v>
      </c>
      <c r="G1518" s="6">
        <v>144656</v>
      </c>
      <c r="H1518" s="6">
        <v>42522</v>
      </c>
      <c r="I1518" s="6">
        <v>36602</v>
      </c>
      <c r="J1518" s="6">
        <v>164364</v>
      </c>
      <c r="K1518" s="6">
        <v>499640</v>
      </c>
      <c r="L1518" s="6">
        <v>139026</v>
      </c>
      <c r="M1518" s="6">
        <v>2282879</v>
      </c>
      <c r="N1518" s="42">
        <v>1157470</v>
      </c>
      <c r="O1518" s="42"/>
      <c r="P1518" s="42">
        <v>115163</v>
      </c>
      <c r="Q1518" s="42">
        <v>230595</v>
      </c>
      <c r="R1518" s="42">
        <v>2726697</v>
      </c>
      <c r="S1518" s="5">
        <v>116200</v>
      </c>
      <c r="T1518" s="42">
        <v>527078</v>
      </c>
    </row>
    <row r="1519" spans="1:20" x14ac:dyDescent="0.3">
      <c r="A1519" s="7">
        <v>43949</v>
      </c>
      <c r="B1519" s="5"/>
      <c r="C1519" s="6">
        <v>129162</v>
      </c>
      <c r="D1519" s="6">
        <v>162868</v>
      </c>
      <c r="E1519" s="6">
        <v>117660</v>
      </c>
      <c r="F1519" s="14">
        <v>545082</v>
      </c>
      <c r="G1519" s="6">
        <v>143835</v>
      </c>
      <c r="H1519" s="6">
        <v>41267</v>
      </c>
      <c r="I1519" s="6">
        <v>36326</v>
      </c>
      <c r="J1519" s="6">
        <v>167291</v>
      </c>
      <c r="K1519" s="6">
        <v>500816</v>
      </c>
      <c r="L1519" s="6">
        <v>138349</v>
      </c>
      <c r="M1519" s="6">
        <v>2261202</v>
      </c>
      <c r="N1519" s="42">
        <v>1160403</v>
      </c>
      <c r="O1519" s="42"/>
      <c r="P1519" s="42">
        <v>115084</v>
      </c>
      <c r="Q1519" s="42">
        <v>230606</v>
      </c>
      <c r="R1519" s="42">
        <v>2728254</v>
      </c>
      <c r="S1519" s="5">
        <v>110741</v>
      </c>
      <c r="T1519" s="42">
        <v>533816</v>
      </c>
    </row>
    <row r="1520" spans="1:20" x14ac:dyDescent="0.3">
      <c r="A1520" s="7">
        <v>43948</v>
      </c>
      <c r="B1520" s="37"/>
      <c r="C1520" s="6">
        <v>129646</v>
      </c>
      <c r="D1520" s="6">
        <v>161395</v>
      </c>
      <c r="E1520" s="6">
        <v>120223</v>
      </c>
      <c r="F1520" s="14">
        <v>542455</v>
      </c>
      <c r="G1520" s="6">
        <v>140639</v>
      </c>
      <c r="H1520" s="6">
        <v>41551</v>
      </c>
      <c r="I1520" s="6">
        <v>35969</v>
      </c>
      <c r="J1520" s="6">
        <v>171421</v>
      </c>
      <c r="K1520" s="6">
        <v>501029</v>
      </c>
      <c r="L1520" s="6">
        <v>139329</v>
      </c>
      <c r="M1520" s="6">
        <v>2192922</v>
      </c>
      <c r="N1520" s="42">
        <v>1165908</v>
      </c>
      <c r="O1520" s="42"/>
      <c r="P1520" s="42">
        <v>118255</v>
      </c>
      <c r="Q1520" s="42">
        <v>228331</v>
      </c>
      <c r="R1520" s="42">
        <v>2726281</v>
      </c>
      <c r="S1520" s="5">
        <v>117649</v>
      </c>
      <c r="T1520" s="42">
        <v>546341</v>
      </c>
    </row>
    <row r="1521" spans="1:20" x14ac:dyDescent="0.3">
      <c r="A1521" s="7">
        <v>43945</v>
      </c>
      <c r="B1521" s="5"/>
      <c r="C1521" s="6">
        <v>126663</v>
      </c>
      <c r="D1521" s="6">
        <v>162398</v>
      </c>
      <c r="E1521" s="6">
        <v>119508</v>
      </c>
      <c r="F1521" s="14">
        <v>543863</v>
      </c>
      <c r="G1521" s="6">
        <v>136325</v>
      </c>
      <c r="H1521" s="6">
        <v>40452</v>
      </c>
      <c r="I1521" s="6">
        <v>35988</v>
      </c>
      <c r="J1521" s="6">
        <v>175447</v>
      </c>
      <c r="K1521" s="6">
        <v>498089</v>
      </c>
      <c r="L1521" s="6">
        <v>143299</v>
      </c>
      <c r="M1521" s="6">
        <v>2191521</v>
      </c>
      <c r="N1521" s="42">
        <v>1169135</v>
      </c>
      <c r="O1521" s="42"/>
      <c r="P1521" s="42">
        <v>116435</v>
      </c>
      <c r="Q1521" s="42">
        <v>229312</v>
      </c>
      <c r="R1521" s="42">
        <v>2684379</v>
      </c>
      <c r="S1521" s="5">
        <v>113463</v>
      </c>
      <c r="T1521" s="42">
        <v>549207</v>
      </c>
    </row>
    <row r="1522" spans="1:20" x14ac:dyDescent="0.3">
      <c r="A1522" s="7">
        <v>43944</v>
      </c>
      <c r="B1522" s="5"/>
      <c r="C1522" s="6">
        <v>128049</v>
      </c>
      <c r="D1522" s="6">
        <v>163652</v>
      </c>
      <c r="E1522" s="6">
        <v>119220</v>
      </c>
      <c r="F1522" s="14">
        <v>546814</v>
      </c>
      <c r="G1522" s="6">
        <v>132789</v>
      </c>
      <c r="H1522" s="6">
        <v>40257</v>
      </c>
      <c r="I1522" s="6">
        <v>35754</v>
      </c>
      <c r="J1522" s="6">
        <v>177253</v>
      </c>
      <c r="K1522" s="6">
        <v>498203</v>
      </c>
      <c r="L1522" s="6">
        <v>142976</v>
      </c>
      <c r="M1522" s="6">
        <v>2220166</v>
      </c>
      <c r="N1522" s="42">
        <v>1175753</v>
      </c>
      <c r="O1522" s="42"/>
      <c r="P1522" s="42">
        <v>115129</v>
      </c>
      <c r="Q1522" s="42">
        <v>226851</v>
      </c>
      <c r="R1522" s="42">
        <v>2677630</v>
      </c>
      <c r="S1522" s="5">
        <v>106853</v>
      </c>
      <c r="T1522" s="42">
        <v>546990</v>
      </c>
    </row>
    <row r="1523" spans="1:20" x14ac:dyDescent="0.3">
      <c r="A1523" s="7">
        <v>43943</v>
      </c>
      <c r="B1523" s="5"/>
      <c r="C1523" s="6">
        <v>126690</v>
      </c>
      <c r="D1523" s="6">
        <v>160886</v>
      </c>
      <c r="E1523" s="6">
        <v>120535</v>
      </c>
      <c r="F1523" s="14">
        <v>549262</v>
      </c>
      <c r="G1523" s="6">
        <v>131372</v>
      </c>
      <c r="H1523" s="6">
        <v>39111</v>
      </c>
      <c r="I1523" s="6">
        <v>35085</v>
      </c>
      <c r="J1523" s="6">
        <v>180331</v>
      </c>
      <c r="K1523" s="6">
        <v>497181</v>
      </c>
      <c r="L1523" s="6">
        <v>141540</v>
      </c>
      <c r="M1523" s="6">
        <v>2225246</v>
      </c>
      <c r="N1523" s="42">
        <v>1177421</v>
      </c>
      <c r="O1523" s="42"/>
      <c r="P1523" s="42">
        <v>115066</v>
      </c>
      <c r="Q1523" s="42">
        <v>227206</v>
      </c>
      <c r="R1523" s="42">
        <v>2660599</v>
      </c>
      <c r="S1523" s="5">
        <v>107795</v>
      </c>
      <c r="T1523" s="42">
        <v>554446</v>
      </c>
    </row>
    <row r="1524" spans="1:20" x14ac:dyDescent="0.3">
      <c r="A1524" s="7">
        <v>43942</v>
      </c>
      <c r="B1524" s="5"/>
      <c r="C1524" s="6">
        <v>126180</v>
      </c>
      <c r="D1524" s="6">
        <v>158788</v>
      </c>
      <c r="E1524" s="6">
        <v>121213</v>
      </c>
      <c r="F1524" s="14">
        <v>546661</v>
      </c>
      <c r="G1524" s="6">
        <v>128272</v>
      </c>
      <c r="H1524" s="6">
        <v>39153</v>
      </c>
      <c r="I1524" s="6">
        <v>35026</v>
      </c>
      <c r="J1524" s="6">
        <v>181947</v>
      </c>
      <c r="K1524" s="6">
        <v>493158</v>
      </c>
      <c r="L1524" s="6">
        <v>139607</v>
      </c>
      <c r="M1524" s="6">
        <v>2276638</v>
      </c>
      <c r="N1524" s="42">
        <v>1187224</v>
      </c>
      <c r="O1524" s="42"/>
      <c r="P1524" s="42">
        <v>115564</v>
      </c>
      <c r="Q1524" s="42">
        <v>230052</v>
      </c>
      <c r="R1524" s="42">
        <v>2648021</v>
      </c>
      <c r="S1524" s="5">
        <v>104772</v>
      </c>
      <c r="T1524" s="42">
        <v>555959</v>
      </c>
    </row>
    <row r="1525" spans="1:20" x14ac:dyDescent="0.3">
      <c r="A1525" s="7">
        <v>43941</v>
      </c>
      <c r="B1525" s="5"/>
      <c r="C1525" s="6">
        <v>126667</v>
      </c>
      <c r="D1525" s="6">
        <v>155870</v>
      </c>
      <c r="E1525" s="6">
        <v>119316</v>
      </c>
      <c r="F1525" s="14">
        <v>545041</v>
      </c>
      <c r="G1525" s="6">
        <v>126239</v>
      </c>
      <c r="H1525" s="6">
        <v>39403</v>
      </c>
      <c r="I1525" s="6">
        <v>34431</v>
      </c>
      <c r="J1525" s="6">
        <v>187998</v>
      </c>
      <c r="K1525" s="6">
        <v>496671</v>
      </c>
      <c r="L1525" s="6">
        <v>142149</v>
      </c>
      <c r="M1525" s="6">
        <v>2386527</v>
      </c>
      <c r="N1525" s="42">
        <v>1192796</v>
      </c>
      <c r="O1525" s="42"/>
      <c r="P1525" s="42">
        <v>111333</v>
      </c>
      <c r="Q1525" s="42">
        <v>228244</v>
      </c>
      <c r="R1525" s="42">
        <v>2619192</v>
      </c>
      <c r="S1525" s="5">
        <v>105528</v>
      </c>
      <c r="T1525" s="42">
        <v>553897</v>
      </c>
    </row>
    <row r="1526" spans="1:20" x14ac:dyDescent="0.3">
      <c r="A1526" s="7">
        <v>43938</v>
      </c>
      <c r="B1526" s="5"/>
      <c r="C1526" s="6">
        <v>126544</v>
      </c>
      <c r="D1526" s="6">
        <v>156128</v>
      </c>
      <c r="E1526" s="6">
        <v>117716</v>
      </c>
      <c r="F1526" s="14">
        <v>543353</v>
      </c>
      <c r="G1526" s="6">
        <v>124941</v>
      </c>
      <c r="H1526" s="6">
        <v>40053</v>
      </c>
      <c r="I1526" s="6">
        <v>34055</v>
      </c>
      <c r="J1526" s="6">
        <v>188350</v>
      </c>
      <c r="K1526" s="6">
        <v>492498</v>
      </c>
      <c r="L1526" s="6">
        <v>141181</v>
      </c>
      <c r="M1526" s="6">
        <v>2390935</v>
      </c>
      <c r="N1526" s="42">
        <v>1198275</v>
      </c>
      <c r="O1526" s="42"/>
      <c r="P1526" s="42">
        <v>115969</v>
      </c>
      <c r="Q1526" s="42">
        <v>230732</v>
      </c>
      <c r="R1526" s="42">
        <v>2641533</v>
      </c>
      <c r="S1526" s="5">
        <v>105741</v>
      </c>
      <c r="T1526" s="42">
        <v>553659</v>
      </c>
    </row>
    <row r="1527" spans="1:20" x14ac:dyDescent="0.3">
      <c r="A1527" s="7">
        <v>43937</v>
      </c>
      <c r="B1527" s="5"/>
      <c r="C1527" s="6">
        <v>127018</v>
      </c>
      <c r="D1527" s="6">
        <v>156100</v>
      </c>
      <c r="E1527" s="6">
        <v>120366</v>
      </c>
      <c r="F1527" s="14">
        <v>544919</v>
      </c>
      <c r="G1527" s="6">
        <v>124803</v>
      </c>
      <c r="H1527" s="6">
        <v>39635</v>
      </c>
      <c r="I1527" s="6">
        <v>33624</v>
      </c>
      <c r="J1527" s="6">
        <v>192955</v>
      </c>
      <c r="K1527" s="6">
        <v>491454</v>
      </c>
      <c r="L1527" s="6">
        <v>141102</v>
      </c>
      <c r="M1527" s="6">
        <v>2372981</v>
      </c>
      <c r="N1527" s="42">
        <v>1211461</v>
      </c>
      <c r="O1527" s="42"/>
      <c r="P1527" s="42">
        <v>114525</v>
      </c>
      <c r="Q1527" s="42">
        <v>229678</v>
      </c>
      <c r="R1527" s="42">
        <v>2626285</v>
      </c>
      <c r="S1527" s="5">
        <v>110234</v>
      </c>
      <c r="T1527" s="42">
        <v>554038</v>
      </c>
    </row>
    <row r="1528" spans="1:20" ht="15" thickBot="1" x14ac:dyDescent="0.35">
      <c r="A1528" s="7">
        <v>43936</v>
      </c>
      <c r="B1528" s="38"/>
      <c r="C1528" s="6">
        <v>128238</v>
      </c>
      <c r="D1528" s="6">
        <v>155857</v>
      </c>
      <c r="E1528" s="6">
        <v>121434</v>
      </c>
      <c r="F1528" s="14">
        <v>542824</v>
      </c>
      <c r="G1528" s="6">
        <v>123610</v>
      </c>
      <c r="H1528" s="6">
        <v>39526</v>
      </c>
      <c r="I1528" s="6">
        <v>32952</v>
      </c>
      <c r="J1528" s="6">
        <v>194146</v>
      </c>
      <c r="K1528" s="6">
        <v>491871</v>
      </c>
      <c r="L1528" s="6">
        <v>140351</v>
      </c>
      <c r="M1528" s="6">
        <v>2371253</v>
      </c>
      <c r="N1528" s="42">
        <v>1202634</v>
      </c>
      <c r="O1528" s="42"/>
      <c r="P1528" s="42">
        <v>110860</v>
      </c>
      <c r="Q1528" s="42">
        <v>227532</v>
      </c>
      <c r="R1528" s="42">
        <v>2603664</v>
      </c>
      <c r="S1528" s="41">
        <v>111397</v>
      </c>
      <c r="T1528" s="42">
        <v>535007</v>
      </c>
    </row>
    <row r="1529" spans="1:20" x14ac:dyDescent="0.3">
      <c r="A1529" s="7">
        <v>43935</v>
      </c>
      <c r="B1529" s="38"/>
      <c r="C1529" s="6">
        <v>128969</v>
      </c>
      <c r="D1529" s="6">
        <v>153564</v>
      </c>
      <c r="E1529" s="6">
        <v>119798</v>
      </c>
      <c r="F1529" s="14">
        <v>547170</v>
      </c>
      <c r="G1529" s="6">
        <v>124111</v>
      </c>
      <c r="H1529" s="6">
        <v>39812</v>
      </c>
      <c r="I1529" s="6">
        <v>32718</v>
      </c>
      <c r="J1529" s="6">
        <v>194265</v>
      </c>
      <c r="K1529" s="6">
        <v>489965</v>
      </c>
      <c r="L1529" s="6">
        <v>143477</v>
      </c>
      <c r="M1529" s="6">
        <v>2353955</v>
      </c>
      <c r="N1529" s="42">
        <v>1208606</v>
      </c>
      <c r="O1529" s="42"/>
      <c r="P1529" s="42">
        <v>110356</v>
      </c>
      <c r="Q1529" s="42">
        <v>227565</v>
      </c>
      <c r="R1529" s="42">
        <v>2587669</v>
      </c>
      <c r="S1529" s="5">
        <v>112157</v>
      </c>
      <c r="T1529" s="42">
        <v>531857</v>
      </c>
    </row>
    <row r="1530" spans="1:20" x14ac:dyDescent="0.3">
      <c r="A1530" s="7">
        <v>43934</v>
      </c>
      <c r="B1530" s="38"/>
      <c r="C1530" s="6">
        <v>129548</v>
      </c>
      <c r="D1530" s="6">
        <v>152376</v>
      </c>
      <c r="E1530" s="6">
        <v>118253</v>
      </c>
      <c r="F1530" s="14">
        <v>548939</v>
      </c>
      <c r="G1530" s="6">
        <v>121172</v>
      </c>
      <c r="H1530" s="6">
        <v>40245</v>
      </c>
      <c r="I1530" s="6">
        <v>30905</v>
      </c>
      <c r="J1530" s="6">
        <v>189531</v>
      </c>
      <c r="K1530" s="6">
        <v>491828</v>
      </c>
      <c r="L1530" s="6">
        <v>140169</v>
      </c>
      <c r="M1530" s="6">
        <v>2370611</v>
      </c>
      <c r="N1530" s="42">
        <v>1212530</v>
      </c>
      <c r="O1530" s="42"/>
      <c r="P1530" s="42">
        <v>107625</v>
      </c>
      <c r="Q1530" s="42">
        <v>219388</v>
      </c>
      <c r="R1530" s="42">
        <v>2575719</v>
      </c>
      <c r="S1530" s="5">
        <v>113471</v>
      </c>
      <c r="T1530" s="42">
        <v>537327</v>
      </c>
    </row>
    <row r="1531" spans="1:20" x14ac:dyDescent="0.3">
      <c r="A1531" s="7">
        <v>43930</v>
      </c>
      <c r="B1531" s="38"/>
      <c r="C1531" s="6">
        <v>130349</v>
      </c>
      <c r="D1531" s="6">
        <v>151190</v>
      </c>
      <c r="E1531" s="6">
        <v>116488</v>
      </c>
      <c r="F1531" s="14">
        <v>550696</v>
      </c>
      <c r="G1531" s="6">
        <v>119778</v>
      </c>
      <c r="H1531" s="6">
        <v>40183</v>
      </c>
      <c r="I1531" s="6">
        <v>30809</v>
      </c>
      <c r="J1531" s="6">
        <v>186170</v>
      </c>
      <c r="K1531" s="6">
        <v>488918</v>
      </c>
      <c r="L1531" s="6">
        <v>139780</v>
      </c>
      <c r="M1531" s="6">
        <v>2345343</v>
      </c>
      <c r="N1531" s="42">
        <v>1223521</v>
      </c>
      <c r="O1531" s="42"/>
      <c r="P1531" s="42">
        <v>107672</v>
      </c>
      <c r="Q1531" s="42">
        <v>220271</v>
      </c>
      <c r="R1531" s="42">
        <v>2554399</v>
      </c>
      <c r="S1531" s="5">
        <v>108375</v>
      </c>
      <c r="T1531" s="42">
        <v>535882</v>
      </c>
    </row>
    <row r="1532" spans="1:20" x14ac:dyDescent="0.3">
      <c r="A1532" s="7">
        <v>43929</v>
      </c>
      <c r="B1532" s="38"/>
      <c r="C1532" s="6">
        <v>128696</v>
      </c>
      <c r="D1532" s="6">
        <v>150149</v>
      </c>
      <c r="E1532" s="6">
        <v>116687</v>
      </c>
      <c r="F1532" s="14">
        <v>553882</v>
      </c>
      <c r="G1532" s="6">
        <v>115935</v>
      </c>
      <c r="H1532" s="6">
        <v>40395</v>
      </c>
      <c r="I1532" s="6">
        <v>30473</v>
      </c>
      <c r="J1532" s="6">
        <v>185174</v>
      </c>
      <c r="K1532" s="6">
        <v>478556</v>
      </c>
      <c r="L1532" s="6">
        <v>138918</v>
      </c>
      <c r="M1532" s="6">
        <v>2329658</v>
      </c>
      <c r="N1532" s="42">
        <v>1244587</v>
      </c>
      <c r="O1532" s="42"/>
      <c r="P1532" s="42">
        <v>106386</v>
      </c>
      <c r="Q1532" s="42">
        <v>218954</v>
      </c>
      <c r="R1532" s="42">
        <v>2533853</v>
      </c>
      <c r="S1532" s="5">
        <v>108396</v>
      </c>
      <c r="T1532" s="42">
        <v>553619</v>
      </c>
    </row>
    <row r="1533" spans="1:20" x14ac:dyDescent="0.3">
      <c r="A1533" s="7">
        <v>43928</v>
      </c>
      <c r="B1533" s="38"/>
      <c r="C1533" s="6">
        <v>130056</v>
      </c>
      <c r="D1533" s="6">
        <v>150318</v>
      </c>
      <c r="E1533" s="6">
        <v>117523</v>
      </c>
      <c r="F1533" s="14">
        <v>554697</v>
      </c>
      <c r="G1533" s="6">
        <v>118595</v>
      </c>
      <c r="H1533" s="6">
        <v>40306</v>
      </c>
      <c r="I1533" s="6">
        <v>30391</v>
      </c>
      <c r="J1533" s="6">
        <v>185408</v>
      </c>
      <c r="K1533" s="6">
        <v>480050</v>
      </c>
      <c r="L1533" s="6">
        <v>138974</v>
      </c>
      <c r="M1533" s="6">
        <v>2342227</v>
      </c>
      <c r="N1533" s="42">
        <v>1289633</v>
      </c>
      <c r="O1533" s="42"/>
      <c r="P1533" s="42">
        <v>106569</v>
      </c>
      <c r="Q1533" s="42">
        <v>215180</v>
      </c>
      <c r="R1533" s="42">
        <v>2521450</v>
      </c>
      <c r="S1533" s="5">
        <v>107943</v>
      </c>
      <c r="T1533" s="42">
        <v>561385</v>
      </c>
    </row>
    <row r="1534" spans="1:20" x14ac:dyDescent="0.3">
      <c r="A1534" s="7">
        <v>43927</v>
      </c>
      <c r="B1534" s="38"/>
      <c r="C1534" s="6">
        <v>128408</v>
      </c>
      <c r="D1534" s="6">
        <v>153391</v>
      </c>
      <c r="E1534" s="6">
        <v>116491</v>
      </c>
      <c r="F1534" s="14">
        <v>547266</v>
      </c>
      <c r="G1534" s="6">
        <v>118630</v>
      </c>
      <c r="H1534" s="6">
        <v>40082</v>
      </c>
      <c r="I1534" s="6">
        <v>29977</v>
      </c>
      <c r="J1534" s="6">
        <v>185420</v>
      </c>
      <c r="K1534" s="6">
        <v>489696</v>
      </c>
      <c r="L1534" s="6">
        <v>140600</v>
      </c>
      <c r="M1534" s="6">
        <v>2392218</v>
      </c>
      <c r="N1534" s="42">
        <v>1268901</v>
      </c>
      <c r="O1534" s="42"/>
      <c r="P1534" s="42">
        <v>106598</v>
      </c>
      <c r="Q1534" s="42">
        <v>216542</v>
      </c>
      <c r="R1534" s="42">
        <v>2508810</v>
      </c>
      <c r="S1534" s="5">
        <v>107573</v>
      </c>
      <c r="T1534" s="42">
        <v>567712</v>
      </c>
    </row>
    <row r="1535" spans="1:20" x14ac:dyDescent="0.3">
      <c r="A1535" s="7">
        <v>43924</v>
      </c>
      <c r="B1535" s="38"/>
      <c r="C1535" s="6">
        <v>127403</v>
      </c>
      <c r="D1535" s="6">
        <v>156370</v>
      </c>
      <c r="E1535" s="6">
        <v>117756</v>
      </c>
      <c r="F1535" s="14">
        <v>548779</v>
      </c>
      <c r="G1535" s="6">
        <v>122353</v>
      </c>
      <c r="H1535" s="6">
        <v>39752</v>
      </c>
      <c r="I1535" s="6">
        <v>29738</v>
      </c>
      <c r="J1535" s="6">
        <v>186589</v>
      </c>
      <c r="K1535" s="6">
        <v>484121</v>
      </c>
      <c r="L1535" s="6">
        <v>138738</v>
      </c>
      <c r="M1535" s="6">
        <v>2379754</v>
      </c>
      <c r="N1535" s="42">
        <v>1268173</v>
      </c>
      <c r="O1535" s="42"/>
      <c r="P1535" s="42">
        <v>105699</v>
      </c>
      <c r="Q1535" s="42">
        <v>214374</v>
      </c>
      <c r="R1535" s="42">
        <v>2514833</v>
      </c>
      <c r="S1535" s="5">
        <v>108776</v>
      </c>
      <c r="T1535" s="42">
        <v>573589</v>
      </c>
    </row>
    <row r="1536" spans="1:20" x14ac:dyDescent="0.3">
      <c r="A1536" s="7">
        <v>43923</v>
      </c>
      <c r="B1536" s="38"/>
      <c r="C1536" s="6">
        <v>129434</v>
      </c>
      <c r="D1536" s="6">
        <v>165608</v>
      </c>
      <c r="E1536" s="6">
        <v>117579</v>
      </c>
      <c r="F1536" s="14">
        <v>552205</v>
      </c>
      <c r="G1536" s="6">
        <v>123688</v>
      </c>
      <c r="H1536" s="6">
        <v>39574</v>
      </c>
      <c r="I1536" s="6">
        <v>29574</v>
      </c>
      <c r="J1536" s="6">
        <v>185414</v>
      </c>
      <c r="K1536" s="6">
        <v>490140</v>
      </c>
      <c r="L1536" s="6">
        <v>140055</v>
      </c>
      <c r="M1536" s="6">
        <v>2381215</v>
      </c>
      <c r="N1536" s="42">
        <v>1254134</v>
      </c>
      <c r="O1536" s="42"/>
      <c r="P1536" s="42">
        <v>105463</v>
      </c>
      <c r="Q1536" s="42">
        <v>210873</v>
      </c>
      <c r="R1536" s="42">
        <v>2521760</v>
      </c>
      <c r="S1536" s="5">
        <v>105832</v>
      </c>
      <c r="T1536" s="42">
        <v>566002</v>
      </c>
    </row>
    <row r="1537" spans="1:20" x14ac:dyDescent="0.3">
      <c r="A1537" s="7">
        <v>43922</v>
      </c>
      <c r="B1537" s="38"/>
      <c r="C1537" s="6">
        <v>129272</v>
      </c>
      <c r="D1537" s="6">
        <v>165034</v>
      </c>
      <c r="E1537" s="6">
        <v>120713</v>
      </c>
      <c r="F1537" s="14">
        <v>550972</v>
      </c>
      <c r="G1537" s="6">
        <v>122706</v>
      </c>
      <c r="H1537" s="6">
        <v>39214</v>
      </c>
      <c r="I1537" s="6">
        <v>29126</v>
      </c>
      <c r="J1537" s="6">
        <v>183905</v>
      </c>
      <c r="K1537" s="6">
        <v>489955</v>
      </c>
      <c r="L1537" s="6">
        <v>138473</v>
      </c>
      <c r="M1537" s="6">
        <v>2390716</v>
      </c>
      <c r="N1537" s="42">
        <v>1259544</v>
      </c>
      <c r="O1537" s="42"/>
      <c r="P1537" s="42">
        <v>104694</v>
      </c>
      <c r="Q1537" s="42">
        <v>214331</v>
      </c>
      <c r="R1537" s="42">
        <v>2527826</v>
      </c>
      <c r="S1537" s="5">
        <v>110175</v>
      </c>
      <c r="T1537" s="42">
        <v>556109</v>
      </c>
    </row>
    <row r="1538" spans="1:20" x14ac:dyDescent="0.3">
      <c r="A1538" s="7">
        <v>43921</v>
      </c>
      <c r="B1538" s="38"/>
      <c r="C1538" s="6">
        <v>130982</v>
      </c>
      <c r="D1538" s="6">
        <v>165226</v>
      </c>
      <c r="E1538" s="6">
        <v>122891</v>
      </c>
      <c r="F1538" s="14">
        <v>551752</v>
      </c>
      <c r="G1538" s="6">
        <v>120270</v>
      </c>
      <c r="H1538" s="6">
        <v>39144</v>
      </c>
      <c r="I1538" s="6">
        <v>29657</v>
      </c>
      <c r="J1538" s="6">
        <v>182253</v>
      </c>
      <c r="K1538" s="6">
        <v>495652</v>
      </c>
      <c r="L1538" s="6">
        <v>139256</v>
      </c>
      <c r="M1538" s="6">
        <v>2340672</v>
      </c>
      <c r="N1538" s="42">
        <v>1276753</v>
      </c>
      <c r="O1538" s="42"/>
      <c r="P1538" s="42">
        <v>101524</v>
      </c>
      <c r="Q1538" s="42">
        <v>210819</v>
      </c>
      <c r="R1538" s="42">
        <v>2532068</v>
      </c>
      <c r="S1538" s="5">
        <v>108787</v>
      </c>
      <c r="T1538" s="42">
        <v>537461</v>
      </c>
    </row>
    <row r="1539" spans="1:20" x14ac:dyDescent="0.3">
      <c r="A1539" s="7">
        <v>43920</v>
      </c>
      <c r="B1539" s="38"/>
      <c r="C1539" s="6">
        <v>131843</v>
      </c>
      <c r="D1539" s="6">
        <v>166841</v>
      </c>
      <c r="E1539" s="6">
        <v>124168</v>
      </c>
      <c r="F1539" s="14">
        <v>555884</v>
      </c>
      <c r="G1539" s="6">
        <v>119399</v>
      </c>
      <c r="H1539" s="6">
        <v>38543</v>
      </c>
      <c r="I1539" s="6">
        <v>31094</v>
      </c>
      <c r="J1539" s="6">
        <v>181533</v>
      </c>
      <c r="K1539" s="6">
        <v>518054</v>
      </c>
      <c r="L1539" s="6">
        <v>139289</v>
      </c>
      <c r="M1539" s="6">
        <v>2297312</v>
      </c>
      <c r="N1539" s="42">
        <v>1287420</v>
      </c>
      <c r="O1539" s="42"/>
      <c r="P1539" s="42">
        <v>101228</v>
      </c>
      <c r="Q1539" s="42">
        <v>208910</v>
      </c>
      <c r="R1539" s="42">
        <v>2536752</v>
      </c>
      <c r="S1539" s="5">
        <v>111130</v>
      </c>
      <c r="T1539" s="42">
        <v>532558</v>
      </c>
    </row>
    <row r="1540" spans="1:20" x14ac:dyDescent="0.3">
      <c r="A1540" s="7">
        <v>43917</v>
      </c>
      <c r="B1540" s="38"/>
      <c r="C1540" s="6">
        <v>132319</v>
      </c>
      <c r="D1540" s="6">
        <v>171563</v>
      </c>
      <c r="E1540" s="6">
        <v>123776</v>
      </c>
      <c r="F1540" s="14">
        <v>555627</v>
      </c>
      <c r="G1540" s="6">
        <v>122374</v>
      </c>
      <c r="H1540" s="6">
        <v>38899</v>
      </c>
      <c r="I1540" s="6">
        <v>31673</v>
      </c>
      <c r="J1540" s="6">
        <v>178933</v>
      </c>
      <c r="K1540" s="6">
        <v>523186</v>
      </c>
      <c r="L1540" s="6">
        <v>141625</v>
      </c>
      <c r="M1540" s="6">
        <v>2226370</v>
      </c>
      <c r="N1540" s="42">
        <v>1290238</v>
      </c>
      <c r="O1540" s="42"/>
      <c r="P1540" s="42">
        <v>98821</v>
      </c>
      <c r="Q1540" s="42">
        <v>203911</v>
      </c>
      <c r="R1540" s="42">
        <v>2497831</v>
      </c>
      <c r="S1540" s="5">
        <v>107988</v>
      </c>
      <c r="T1540" s="42">
        <v>527552</v>
      </c>
    </row>
    <row r="1541" spans="1:20" x14ac:dyDescent="0.3">
      <c r="A1541" s="7">
        <v>43916</v>
      </c>
      <c r="B1541" s="38"/>
      <c r="C1541" s="6">
        <v>132492</v>
      </c>
      <c r="D1541" s="6">
        <v>174040</v>
      </c>
      <c r="E1541" s="6">
        <v>121733</v>
      </c>
      <c r="F1541" s="14">
        <v>558585</v>
      </c>
      <c r="G1541" s="6">
        <v>126039</v>
      </c>
      <c r="H1541" s="6">
        <v>38675</v>
      </c>
      <c r="I1541" s="6">
        <v>31607</v>
      </c>
      <c r="J1541" s="6">
        <v>180885</v>
      </c>
      <c r="K1541" s="6">
        <v>526665</v>
      </c>
      <c r="L1541" s="6">
        <v>141483</v>
      </c>
      <c r="M1541" s="6">
        <v>2184271</v>
      </c>
      <c r="N1541" s="42">
        <v>1253649</v>
      </c>
      <c r="O1541" s="42"/>
      <c r="P1541" s="42">
        <v>96382</v>
      </c>
      <c r="Q1541" s="42">
        <v>203586</v>
      </c>
      <c r="R1541" s="42">
        <v>2493678</v>
      </c>
      <c r="S1541" s="5">
        <v>110351</v>
      </c>
      <c r="T1541" s="42">
        <v>528086</v>
      </c>
    </row>
    <row r="1542" spans="1:20" x14ac:dyDescent="0.3">
      <c r="A1542" s="7">
        <v>43915</v>
      </c>
      <c r="B1542" s="38"/>
      <c r="C1542" s="6">
        <v>134080</v>
      </c>
      <c r="D1542" s="6">
        <v>179141</v>
      </c>
      <c r="E1542" s="6">
        <v>123528</v>
      </c>
      <c r="F1542" s="14">
        <v>561138</v>
      </c>
      <c r="G1542" s="6">
        <v>127989</v>
      </c>
      <c r="H1542" s="6">
        <v>38207</v>
      </c>
      <c r="I1542" s="6">
        <v>31276</v>
      </c>
      <c r="J1542" s="6">
        <v>181229</v>
      </c>
      <c r="K1542" s="6">
        <v>542462</v>
      </c>
      <c r="L1542" s="6">
        <v>146036</v>
      </c>
      <c r="M1542" s="6">
        <v>2161270</v>
      </c>
      <c r="N1542" s="42">
        <v>1235542</v>
      </c>
      <c r="O1542" s="42"/>
      <c r="P1542" s="42">
        <v>98156</v>
      </c>
      <c r="Q1542" s="42">
        <v>202812</v>
      </c>
      <c r="R1542" s="42">
        <v>2491160</v>
      </c>
      <c r="S1542" s="5">
        <v>106124</v>
      </c>
      <c r="T1542" s="42">
        <v>536369</v>
      </c>
    </row>
    <row r="1543" spans="1:20" x14ac:dyDescent="0.3">
      <c r="A1543" s="7">
        <v>43914</v>
      </c>
      <c r="B1543" s="38"/>
      <c r="C1543" s="6">
        <v>135097</v>
      </c>
      <c r="D1543" s="6">
        <v>179552</v>
      </c>
      <c r="E1543" s="6">
        <v>124226</v>
      </c>
      <c r="F1543" s="14">
        <v>571086</v>
      </c>
      <c r="G1543" s="6">
        <v>125594</v>
      </c>
      <c r="H1543" s="6">
        <v>37622</v>
      </c>
      <c r="I1543" s="6">
        <v>30767</v>
      </c>
      <c r="J1543" s="6">
        <v>183715</v>
      </c>
      <c r="K1543" s="6">
        <v>547334</v>
      </c>
      <c r="L1543" s="6">
        <v>150700</v>
      </c>
      <c r="M1543" s="6">
        <v>2141284</v>
      </c>
      <c r="N1543" s="42">
        <v>1225751</v>
      </c>
      <c r="O1543" s="42"/>
      <c r="P1543" s="42">
        <v>98510</v>
      </c>
      <c r="Q1543" s="42">
        <v>204458</v>
      </c>
      <c r="R1543" s="42">
        <v>2467981</v>
      </c>
      <c r="S1543" s="5">
        <v>114365</v>
      </c>
      <c r="T1543" s="42">
        <v>538226</v>
      </c>
    </row>
    <row r="1544" spans="1:20" x14ac:dyDescent="0.3">
      <c r="A1544" s="7">
        <v>43913</v>
      </c>
      <c r="B1544" s="38"/>
      <c r="C1544" s="6">
        <v>139318</v>
      </c>
      <c r="D1544" s="6">
        <v>179308</v>
      </c>
      <c r="E1544" s="6">
        <v>125036</v>
      </c>
      <c r="F1544" s="14">
        <v>578421</v>
      </c>
      <c r="G1544" s="6">
        <v>122934</v>
      </c>
      <c r="H1544" s="6">
        <v>40346</v>
      </c>
      <c r="I1544" s="6">
        <v>31613</v>
      </c>
      <c r="J1544" s="6">
        <v>189088</v>
      </c>
      <c r="K1544" s="6">
        <v>561227</v>
      </c>
      <c r="L1544" s="6">
        <v>156770</v>
      </c>
      <c r="M1544" s="6">
        <v>2143830</v>
      </c>
      <c r="N1544" s="42">
        <v>1230556</v>
      </c>
      <c r="O1544" s="42"/>
      <c r="P1544" s="42">
        <v>100194</v>
      </c>
      <c r="Q1544" s="42">
        <v>206569</v>
      </c>
      <c r="R1544" s="42">
        <v>2464495</v>
      </c>
      <c r="S1544" s="5">
        <v>114365</v>
      </c>
      <c r="T1544" s="42">
        <v>542718</v>
      </c>
    </row>
    <row r="1545" spans="1:20" x14ac:dyDescent="0.3">
      <c r="A1545" s="7">
        <v>43910</v>
      </c>
      <c r="B1545" s="38"/>
      <c r="C1545" s="6">
        <v>142014</v>
      </c>
      <c r="D1545" s="6">
        <v>180747</v>
      </c>
      <c r="E1545" s="6">
        <v>124568</v>
      </c>
      <c r="F1545" s="14">
        <v>579472</v>
      </c>
      <c r="G1545" s="6">
        <v>123934</v>
      </c>
      <c r="H1545" s="6">
        <v>40381</v>
      </c>
      <c r="I1545" s="6">
        <v>32023</v>
      </c>
      <c r="J1545" s="6">
        <v>192290</v>
      </c>
      <c r="K1545" s="6">
        <v>553030</v>
      </c>
      <c r="L1545" s="6">
        <v>157918</v>
      </c>
      <c r="M1545" s="6">
        <v>2132567</v>
      </c>
      <c r="N1545" s="42">
        <v>1215072</v>
      </c>
      <c r="O1545" s="42"/>
      <c r="P1545" s="42">
        <v>103835</v>
      </c>
      <c r="Q1545" s="42">
        <v>200252</v>
      </c>
      <c r="R1545" s="42">
        <v>2478992</v>
      </c>
      <c r="S1545" s="5">
        <v>114365</v>
      </c>
      <c r="T1545" s="42">
        <v>612235</v>
      </c>
    </row>
    <row r="1546" spans="1:20" x14ac:dyDescent="0.3">
      <c r="A1546" s="7">
        <v>43909</v>
      </c>
      <c r="B1546" s="38"/>
      <c r="C1546" s="6">
        <v>144984</v>
      </c>
      <c r="D1546" s="6">
        <v>178405</v>
      </c>
      <c r="E1546" s="6">
        <v>123864</v>
      </c>
      <c r="F1546" s="14">
        <v>582389</v>
      </c>
      <c r="G1546" s="6">
        <v>117185</v>
      </c>
      <c r="H1546" s="6">
        <v>41832</v>
      </c>
      <c r="I1546" s="6">
        <v>32638</v>
      </c>
      <c r="J1546" s="6">
        <v>197907</v>
      </c>
      <c r="K1546" s="6">
        <v>553178</v>
      </c>
      <c r="L1546" s="6">
        <v>159682</v>
      </c>
      <c r="M1546" s="6">
        <v>2124117</v>
      </c>
      <c r="N1546" s="42">
        <v>1194103</v>
      </c>
      <c r="O1546" s="42"/>
      <c r="P1546" s="42">
        <v>105600</v>
      </c>
      <c r="Q1546" s="42">
        <v>202569</v>
      </c>
      <c r="R1546" s="42">
        <v>2474438</v>
      </c>
      <c r="S1546" s="5">
        <v>106142</v>
      </c>
      <c r="T1546" s="42">
        <v>609625</v>
      </c>
    </row>
    <row r="1547" spans="1:20" x14ac:dyDescent="0.3">
      <c r="A1547" s="7">
        <v>43908</v>
      </c>
      <c r="B1547" s="38"/>
      <c r="C1547" s="6">
        <v>154072</v>
      </c>
      <c r="D1547" s="6">
        <v>181431</v>
      </c>
      <c r="E1547" s="6">
        <v>126634</v>
      </c>
      <c r="F1547" s="14">
        <v>581468</v>
      </c>
      <c r="G1547" s="6">
        <v>123329</v>
      </c>
      <c r="H1547" s="6">
        <v>43289</v>
      </c>
      <c r="I1547" s="6">
        <v>34298</v>
      </c>
      <c r="J1547" s="6">
        <v>212398</v>
      </c>
      <c r="K1547" s="6">
        <v>565562</v>
      </c>
      <c r="L1547" s="6">
        <v>164039</v>
      </c>
      <c r="M1547" s="6">
        <v>2140367</v>
      </c>
      <c r="N1547" s="42">
        <v>1179297</v>
      </c>
      <c r="O1547" s="42"/>
      <c r="P1547" s="42">
        <v>103486</v>
      </c>
      <c r="Q1547" s="42">
        <v>206517</v>
      </c>
      <c r="R1547" s="42">
        <v>2477294</v>
      </c>
      <c r="S1547" s="5">
        <v>114894</v>
      </c>
      <c r="T1547" s="42">
        <v>629558</v>
      </c>
    </row>
    <row r="1548" spans="1:20" x14ac:dyDescent="0.3">
      <c r="A1548" s="7">
        <v>43907</v>
      </c>
      <c r="B1548" s="38"/>
      <c r="C1548" s="6">
        <v>212548</v>
      </c>
      <c r="D1548" s="6">
        <v>239354</v>
      </c>
      <c r="E1548" s="6">
        <v>183137</v>
      </c>
      <c r="F1548" s="14">
        <v>748314</v>
      </c>
      <c r="G1548" s="6">
        <v>162358</v>
      </c>
      <c r="H1548" s="6">
        <v>75208</v>
      </c>
      <c r="I1548" s="6">
        <v>50173</v>
      </c>
      <c r="J1548" s="6">
        <v>215842</v>
      </c>
      <c r="K1548" s="6">
        <v>573925</v>
      </c>
      <c r="L1548" s="6">
        <v>166682</v>
      </c>
      <c r="M1548" s="6">
        <v>2154450</v>
      </c>
      <c r="N1548" s="42">
        <v>1148234</v>
      </c>
      <c r="O1548" s="42"/>
      <c r="P1548" s="42">
        <v>108256</v>
      </c>
      <c r="Q1548" s="42">
        <v>205400</v>
      </c>
      <c r="R1548" s="42">
        <v>2476777</v>
      </c>
      <c r="S1548" s="5">
        <v>112144</v>
      </c>
      <c r="T1548" s="42">
        <v>620330</v>
      </c>
    </row>
    <row r="1549" spans="1:20" x14ac:dyDescent="0.3">
      <c r="A1549" s="7">
        <v>43906</v>
      </c>
      <c r="B1549" s="38"/>
      <c r="C1549" s="6">
        <v>210800</v>
      </c>
      <c r="D1549" s="6">
        <v>235594</v>
      </c>
      <c r="E1549" s="6">
        <v>185664</v>
      </c>
      <c r="F1549" s="14">
        <v>752707</v>
      </c>
      <c r="G1549" s="6">
        <v>165484</v>
      </c>
      <c r="H1549" s="6">
        <v>80181</v>
      </c>
      <c r="I1549" s="6">
        <v>51704</v>
      </c>
      <c r="J1549" s="6">
        <v>216699</v>
      </c>
      <c r="K1549" s="6">
        <v>571178</v>
      </c>
      <c r="L1549" s="6">
        <v>168743</v>
      </c>
      <c r="M1549" s="6">
        <v>2190227</v>
      </c>
      <c r="N1549" s="42">
        <v>1145626</v>
      </c>
      <c r="O1549" s="42"/>
      <c r="P1549" s="42">
        <v>106780</v>
      </c>
      <c r="Q1549" s="42">
        <v>200932</v>
      </c>
      <c r="R1549" s="42">
        <v>2466679</v>
      </c>
      <c r="S1549" s="5">
        <v>105788</v>
      </c>
      <c r="T1549" s="42">
        <v>619799</v>
      </c>
    </row>
    <row r="1550" spans="1:20" x14ac:dyDescent="0.3">
      <c r="A1550" s="7">
        <v>43903</v>
      </c>
      <c r="B1550" s="38"/>
      <c r="C1550" s="6">
        <v>213638</v>
      </c>
      <c r="D1550" s="6">
        <v>234899</v>
      </c>
      <c r="E1550" s="6">
        <v>190963</v>
      </c>
      <c r="F1550" s="14">
        <v>764443</v>
      </c>
      <c r="G1550" s="6">
        <v>169577</v>
      </c>
      <c r="H1550" s="6">
        <v>82488</v>
      </c>
      <c r="I1550" s="6">
        <v>50516</v>
      </c>
      <c r="J1550" s="6">
        <v>219274</v>
      </c>
      <c r="K1550" s="6">
        <v>582100</v>
      </c>
      <c r="L1550" s="6">
        <v>171588</v>
      </c>
      <c r="M1550" s="6">
        <v>2201888</v>
      </c>
      <c r="N1550" s="42">
        <v>1139839</v>
      </c>
      <c r="O1550" s="42"/>
      <c r="P1550" s="42">
        <v>104287</v>
      </c>
      <c r="Q1550" s="42">
        <v>198882</v>
      </c>
      <c r="R1550" s="42">
        <v>2470521</v>
      </c>
      <c r="S1550" s="5">
        <v>110438</v>
      </c>
      <c r="T1550" s="42">
        <v>596660</v>
      </c>
    </row>
    <row r="1551" spans="1:20" x14ac:dyDescent="0.3">
      <c r="A1551" s="7">
        <v>43902</v>
      </c>
      <c r="B1551" s="38"/>
      <c r="C1551" s="6">
        <v>225846</v>
      </c>
      <c r="D1551" s="6">
        <v>227372</v>
      </c>
      <c r="E1551" s="6">
        <v>193574</v>
      </c>
      <c r="F1551" s="14">
        <v>729583</v>
      </c>
      <c r="G1551" s="6">
        <v>165700</v>
      </c>
      <c r="H1551" s="6">
        <v>85141</v>
      </c>
      <c r="I1551" s="6">
        <v>52175</v>
      </c>
      <c r="J1551" s="6">
        <v>224788</v>
      </c>
      <c r="K1551" s="6">
        <v>596340</v>
      </c>
      <c r="L1551" s="6">
        <v>180832</v>
      </c>
      <c r="M1551" s="6">
        <v>2220595</v>
      </c>
      <c r="N1551" s="42">
        <v>1122251</v>
      </c>
      <c r="O1551" s="42"/>
      <c r="P1551" s="42">
        <v>104821</v>
      </c>
      <c r="Q1551" s="42">
        <v>203143</v>
      </c>
      <c r="R1551" s="42">
        <v>2473108</v>
      </c>
      <c r="S1551" s="5">
        <v>108438</v>
      </c>
      <c r="T1551" s="42">
        <v>581073</v>
      </c>
    </row>
    <row r="1552" spans="1:20" x14ac:dyDescent="0.3">
      <c r="A1552" s="7">
        <v>43901</v>
      </c>
      <c r="B1552" s="38"/>
      <c r="C1552" s="6">
        <v>213262</v>
      </c>
      <c r="D1552" s="6">
        <v>225262</v>
      </c>
      <c r="E1552" s="6">
        <v>177173</v>
      </c>
      <c r="F1552" s="14">
        <v>704005</v>
      </c>
      <c r="G1552" s="6">
        <v>167802</v>
      </c>
      <c r="H1552" s="6">
        <v>75300</v>
      </c>
      <c r="I1552" s="6">
        <v>52978</v>
      </c>
      <c r="J1552" s="6">
        <v>226756</v>
      </c>
      <c r="K1552" s="6">
        <v>629598</v>
      </c>
      <c r="L1552" s="6">
        <v>183240</v>
      </c>
      <c r="M1552" s="6">
        <v>2230012</v>
      </c>
      <c r="N1552" s="42">
        <v>1145049</v>
      </c>
      <c r="O1552" s="42"/>
      <c r="P1552" s="42">
        <v>100218</v>
      </c>
      <c r="Q1552" s="42">
        <v>202930</v>
      </c>
      <c r="R1552" s="42">
        <v>2478213</v>
      </c>
      <c r="S1552" s="5">
        <v>107545</v>
      </c>
      <c r="T1552" s="42">
        <v>516673</v>
      </c>
    </row>
    <row r="1553" spans="1:20" x14ac:dyDescent="0.3">
      <c r="A1553" s="7">
        <v>43900</v>
      </c>
      <c r="B1553" s="38"/>
      <c r="C1553" s="6">
        <v>211243</v>
      </c>
      <c r="D1553" s="6">
        <v>214185</v>
      </c>
      <c r="E1553" s="6">
        <v>175226</v>
      </c>
      <c r="F1553" s="14">
        <v>659151</v>
      </c>
      <c r="G1553" s="6">
        <v>159128</v>
      </c>
      <c r="H1553" s="6">
        <v>71034</v>
      </c>
      <c r="I1553" s="6">
        <v>50474</v>
      </c>
      <c r="J1553" s="6">
        <v>227198</v>
      </c>
      <c r="K1553" s="6">
        <v>633470</v>
      </c>
      <c r="L1553" s="6">
        <v>187060</v>
      </c>
      <c r="M1553" s="6">
        <v>2220972</v>
      </c>
      <c r="N1553" s="42">
        <v>1146598</v>
      </c>
      <c r="O1553" s="42"/>
      <c r="P1553" s="42">
        <v>101636</v>
      </c>
      <c r="Q1553" s="42">
        <v>197697</v>
      </c>
      <c r="R1553" s="42">
        <v>2453262</v>
      </c>
      <c r="S1553" s="5">
        <v>104894</v>
      </c>
      <c r="T1553" s="42">
        <v>502743</v>
      </c>
    </row>
    <row r="1554" spans="1:20" x14ac:dyDescent="0.3">
      <c r="A1554" s="7">
        <v>43899</v>
      </c>
      <c r="B1554" s="38"/>
      <c r="C1554" s="6">
        <v>212883</v>
      </c>
      <c r="D1554" s="6">
        <v>206652</v>
      </c>
      <c r="E1554" s="6">
        <v>173584</v>
      </c>
      <c r="F1554" s="14">
        <v>692342</v>
      </c>
      <c r="G1554" s="6">
        <v>173928</v>
      </c>
      <c r="H1554" s="6">
        <v>64845</v>
      </c>
      <c r="I1554" s="6">
        <v>48298</v>
      </c>
      <c r="J1554" s="6">
        <v>231636</v>
      </c>
      <c r="K1554" s="6">
        <v>646401</v>
      </c>
      <c r="L1554" s="6">
        <v>189734</v>
      </c>
      <c r="M1554" s="6">
        <v>2211948</v>
      </c>
      <c r="N1554" s="42">
        <v>1158556</v>
      </c>
      <c r="O1554" s="42"/>
      <c r="P1554" s="42">
        <v>120806</v>
      </c>
      <c r="Q1554" s="42">
        <v>255123</v>
      </c>
      <c r="R1554" s="42">
        <v>3002475</v>
      </c>
      <c r="S1554" s="5">
        <v>103974</v>
      </c>
      <c r="T1554" s="42">
        <v>502111</v>
      </c>
    </row>
    <row r="1555" spans="1:20" x14ac:dyDescent="0.3">
      <c r="A1555" s="7">
        <v>43896</v>
      </c>
      <c r="B1555" s="38"/>
      <c r="C1555" s="6">
        <v>227872</v>
      </c>
      <c r="D1555" s="6">
        <v>203841</v>
      </c>
      <c r="E1555" s="6">
        <v>175025</v>
      </c>
      <c r="F1555" s="14">
        <v>681624</v>
      </c>
      <c r="G1555" s="6">
        <v>182609</v>
      </c>
      <c r="H1555" s="6">
        <v>65463</v>
      </c>
      <c r="I1555" s="6">
        <v>50545</v>
      </c>
      <c r="J1555" s="6">
        <v>238151</v>
      </c>
      <c r="K1555" s="6">
        <v>664722</v>
      </c>
      <c r="L1555" s="6">
        <v>195358</v>
      </c>
      <c r="M1555" s="6">
        <v>2214254</v>
      </c>
      <c r="N1555" s="42">
        <v>1174200</v>
      </c>
      <c r="O1555" s="42"/>
      <c r="P1555" s="42">
        <v>117429</v>
      </c>
      <c r="Q1555" s="42">
        <v>252157</v>
      </c>
      <c r="R1555" s="42">
        <v>2995354</v>
      </c>
      <c r="S1555" s="5">
        <v>106434</v>
      </c>
      <c r="T1555" s="42">
        <v>489105</v>
      </c>
    </row>
    <row r="1556" spans="1:20" x14ac:dyDescent="0.3">
      <c r="A1556" s="7">
        <v>43895</v>
      </c>
      <c r="B1556" s="38"/>
      <c r="C1556" s="6">
        <v>232560</v>
      </c>
      <c r="D1556" s="6">
        <v>215365</v>
      </c>
      <c r="E1556" s="6">
        <v>169673</v>
      </c>
      <c r="F1556" s="14">
        <v>663626</v>
      </c>
      <c r="G1556" s="6">
        <v>187242</v>
      </c>
      <c r="H1556" s="6">
        <v>64267</v>
      </c>
      <c r="I1556" s="6">
        <v>51844</v>
      </c>
      <c r="J1556" s="6">
        <v>242703</v>
      </c>
      <c r="K1556" s="6">
        <v>688681</v>
      </c>
      <c r="L1556" s="6">
        <v>197370</v>
      </c>
      <c r="M1556" s="6">
        <v>2233315</v>
      </c>
      <c r="N1556" s="42">
        <v>1198195</v>
      </c>
      <c r="O1556" s="42"/>
      <c r="P1556" s="42">
        <v>120609</v>
      </c>
      <c r="Q1556" s="42">
        <v>251637</v>
      </c>
      <c r="R1556" s="42">
        <v>2967385</v>
      </c>
      <c r="S1556" s="5">
        <v>112296</v>
      </c>
      <c r="T1556" s="42">
        <v>477127</v>
      </c>
    </row>
    <row r="1557" spans="1:20" x14ac:dyDescent="0.3">
      <c r="A1557" s="7">
        <v>43894</v>
      </c>
      <c r="B1557" s="38"/>
      <c r="C1557" s="6">
        <v>223360</v>
      </c>
      <c r="D1557" s="6">
        <v>213141</v>
      </c>
      <c r="E1557" s="6">
        <v>159015</v>
      </c>
      <c r="F1557" s="14">
        <v>634251</v>
      </c>
      <c r="G1557" s="6">
        <v>188985</v>
      </c>
      <c r="H1557" s="6">
        <v>64318</v>
      </c>
      <c r="I1557" s="6">
        <v>52694</v>
      </c>
      <c r="J1557" s="6">
        <v>243604</v>
      </c>
      <c r="K1557" s="6">
        <v>677276</v>
      </c>
      <c r="L1557" s="6">
        <v>195198</v>
      </c>
      <c r="M1557" s="6">
        <v>2211246</v>
      </c>
      <c r="N1557" s="42">
        <v>1221183</v>
      </c>
      <c r="O1557" s="42"/>
      <c r="P1557" s="42">
        <v>119506</v>
      </c>
      <c r="Q1557" s="42">
        <v>249740</v>
      </c>
      <c r="R1557" s="42">
        <v>2967550</v>
      </c>
      <c r="S1557" s="5">
        <v>117037</v>
      </c>
      <c r="T1557" s="42">
        <v>465315</v>
      </c>
    </row>
    <row r="1558" spans="1:20" x14ac:dyDescent="0.3">
      <c r="A1558" s="7">
        <v>43893</v>
      </c>
      <c r="B1558" s="38"/>
      <c r="C1558" s="6">
        <v>223084</v>
      </c>
      <c r="D1558" s="6">
        <v>214672</v>
      </c>
      <c r="E1558" s="6">
        <v>160511</v>
      </c>
      <c r="F1558" s="14">
        <v>640357</v>
      </c>
      <c r="G1558" s="6">
        <v>198404</v>
      </c>
      <c r="H1558" s="6">
        <v>62847</v>
      </c>
      <c r="I1558" s="6">
        <v>54436</v>
      </c>
      <c r="J1558" s="6">
        <v>242931</v>
      </c>
      <c r="K1558" s="6">
        <v>691985</v>
      </c>
      <c r="L1558" s="6">
        <v>196909</v>
      </c>
      <c r="M1558" s="6">
        <v>2196089</v>
      </c>
      <c r="N1558" s="42">
        <v>1246774</v>
      </c>
      <c r="O1558" s="42"/>
      <c r="P1558" s="42">
        <v>113231</v>
      </c>
      <c r="Q1558" s="42">
        <v>243708</v>
      </c>
      <c r="R1558" s="42">
        <v>2911342</v>
      </c>
      <c r="S1558" s="5">
        <v>112430</v>
      </c>
      <c r="T1558" s="42">
        <v>468213</v>
      </c>
    </row>
    <row r="1559" spans="1:20" x14ac:dyDescent="0.3">
      <c r="A1559" s="7">
        <v>43892</v>
      </c>
      <c r="B1559" s="38"/>
      <c r="C1559" s="6">
        <v>213236</v>
      </c>
      <c r="D1559" s="6">
        <v>217504</v>
      </c>
      <c r="E1559" s="6">
        <v>162514</v>
      </c>
      <c r="F1559" s="14">
        <v>632495</v>
      </c>
      <c r="G1559" s="6">
        <v>193159</v>
      </c>
      <c r="H1559" s="6">
        <v>60406</v>
      </c>
      <c r="I1559" s="6">
        <v>55638</v>
      </c>
      <c r="J1559" s="6">
        <v>244200</v>
      </c>
      <c r="K1559" s="6">
        <v>686014</v>
      </c>
      <c r="L1559" s="6">
        <v>195388</v>
      </c>
      <c r="M1559" s="6">
        <v>2205214</v>
      </c>
      <c r="N1559" s="42">
        <v>1244017</v>
      </c>
      <c r="O1559" s="42"/>
      <c r="P1559" s="42">
        <v>106727</v>
      </c>
      <c r="Q1559" s="42">
        <v>225874</v>
      </c>
      <c r="R1559" s="42">
        <v>2850418</v>
      </c>
      <c r="S1559" s="5">
        <v>106662</v>
      </c>
      <c r="T1559" s="42">
        <v>472141</v>
      </c>
    </row>
    <row r="1560" spans="1:20" x14ac:dyDescent="0.3">
      <c r="A1560" s="7">
        <v>43889</v>
      </c>
      <c r="B1560" s="38"/>
      <c r="C1560" s="6">
        <v>211818</v>
      </c>
      <c r="D1560" s="6">
        <v>221360</v>
      </c>
      <c r="E1560" s="6">
        <v>175399</v>
      </c>
      <c r="F1560" s="14">
        <v>620226</v>
      </c>
      <c r="G1560" s="6">
        <v>207689</v>
      </c>
      <c r="H1560" s="6">
        <v>62260</v>
      </c>
      <c r="I1560" s="6">
        <v>51586</v>
      </c>
      <c r="J1560" s="6">
        <v>247105</v>
      </c>
      <c r="K1560" s="6">
        <v>698203</v>
      </c>
      <c r="L1560" s="6">
        <v>200883</v>
      </c>
      <c r="M1560" s="6">
        <v>2209193</v>
      </c>
      <c r="N1560" s="42">
        <v>1228873</v>
      </c>
      <c r="O1560" s="42"/>
      <c r="P1560" s="42">
        <v>95799</v>
      </c>
      <c r="Q1560" s="42">
        <v>217834</v>
      </c>
      <c r="R1560" s="42">
        <v>2815149</v>
      </c>
      <c r="S1560" s="5">
        <v>60318</v>
      </c>
      <c r="T1560" s="42">
        <v>484554</v>
      </c>
    </row>
    <row r="1561" spans="1:20" x14ac:dyDescent="0.3">
      <c r="A1561" s="7">
        <v>43888</v>
      </c>
      <c r="B1561" s="38"/>
      <c r="C1561" s="6">
        <v>226467</v>
      </c>
      <c r="D1561" s="6">
        <v>215900</v>
      </c>
      <c r="E1561" s="6">
        <v>171260</v>
      </c>
      <c r="F1561" s="14">
        <v>625933</v>
      </c>
      <c r="G1561" s="6">
        <v>217841</v>
      </c>
      <c r="H1561" s="6">
        <v>63577</v>
      </c>
      <c r="I1561" s="6">
        <v>56397</v>
      </c>
      <c r="J1561" s="6">
        <v>252760</v>
      </c>
      <c r="K1561" s="6">
        <v>722120</v>
      </c>
      <c r="L1561" s="6">
        <v>218370</v>
      </c>
      <c r="M1561" s="6">
        <v>2208234</v>
      </c>
      <c r="N1561" s="42">
        <v>1235927</v>
      </c>
      <c r="O1561" s="42"/>
      <c r="P1561" s="42">
        <v>92045</v>
      </c>
      <c r="Q1561" s="42">
        <v>207126</v>
      </c>
      <c r="R1561" s="42">
        <v>2758803</v>
      </c>
      <c r="S1561" s="5">
        <v>89219</v>
      </c>
      <c r="T1561" s="42">
        <v>480893</v>
      </c>
    </row>
    <row r="1562" spans="1:20" x14ac:dyDescent="0.3">
      <c r="A1562" s="7">
        <v>43887</v>
      </c>
      <c r="B1562" s="38"/>
      <c r="C1562" s="6">
        <v>219820</v>
      </c>
      <c r="D1562" s="6">
        <v>211405</v>
      </c>
      <c r="E1562" s="6">
        <v>170751</v>
      </c>
      <c r="F1562" s="14">
        <v>616846</v>
      </c>
      <c r="G1562" s="6">
        <v>219308</v>
      </c>
      <c r="H1562" s="6">
        <v>58265</v>
      </c>
      <c r="I1562" s="6">
        <v>56266</v>
      </c>
      <c r="J1562" s="6">
        <v>255366</v>
      </c>
      <c r="K1562" s="6">
        <v>726624</v>
      </c>
      <c r="L1562" s="6">
        <v>226995</v>
      </c>
      <c r="M1562" s="6">
        <v>2183533</v>
      </c>
      <c r="N1562" s="42">
        <v>1245733</v>
      </c>
      <c r="O1562" s="42"/>
      <c r="P1562" s="42">
        <v>88934</v>
      </c>
      <c r="Q1562" s="42">
        <v>204212</v>
      </c>
      <c r="R1562" s="42">
        <v>2733454</v>
      </c>
      <c r="S1562" s="5">
        <v>106473</v>
      </c>
      <c r="T1562" s="42">
        <v>474305</v>
      </c>
    </row>
    <row r="1563" spans="1:20" x14ac:dyDescent="0.3">
      <c r="A1563" s="7">
        <v>43886</v>
      </c>
      <c r="B1563" s="38"/>
      <c r="C1563" s="6">
        <v>213324</v>
      </c>
      <c r="D1563" s="6">
        <v>211321</v>
      </c>
      <c r="E1563" s="6">
        <v>168819</v>
      </c>
      <c r="F1563" s="14">
        <v>625563</v>
      </c>
      <c r="G1563" s="6">
        <v>223904</v>
      </c>
      <c r="H1563" s="6">
        <v>58240</v>
      </c>
      <c r="I1563" s="6">
        <v>57192</v>
      </c>
      <c r="J1563" s="6">
        <v>260777</v>
      </c>
      <c r="K1563" s="6">
        <v>732917</v>
      </c>
      <c r="L1563" s="6">
        <v>238970</v>
      </c>
      <c r="M1563" s="6">
        <v>2179833</v>
      </c>
      <c r="N1563" s="42">
        <v>1266750</v>
      </c>
      <c r="O1563" s="42"/>
      <c r="P1563" s="42">
        <v>87706</v>
      </c>
      <c r="Q1563" s="42">
        <v>208037</v>
      </c>
      <c r="R1563" s="42">
        <v>2688640</v>
      </c>
      <c r="S1563" s="5">
        <v>123555</v>
      </c>
      <c r="T1563" s="42">
        <v>479421</v>
      </c>
    </row>
    <row r="1564" spans="1:20" x14ac:dyDescent="0.3">
      <c r="A1564" s="7">
        <v>43885</v>
      </c>
      <c r="B1564" s="38"/>
      <c r="C1564" s="6">
        <v>210617</v>
      </c>
      <c r="D1564" s="6">
        <v>213085</v>
      </c>
      <c r="E1564" s="6">
        <v>167790</v>
      </c>
      <c r="F1564" s="14">
        <v>623351</v>
      </c>
      <c r="G1564" s="6">
        <v>227790</v>
      </c>
      <c r="H1564" s="6">
        <v>58428</v>
      </c>
      <c r="I1564" s="6">
        <v>56133</v>
      </c>
      <c r="J1564" s="6">
        <v>263489</v>
      </c>
      <c r="K1564" s="6">
        <v>728362</v>
      </c>
      <c r="L1564" s="6">
        <v>244705</v>
      </c>
      <c r="M1564" s="6">
        <v>2152959</v>
      </c>
      <c r="N1564" s="42">
        <v>1301220</v>
      </c>
      <c r="O1564" s="42"/>
      <c r="P1564" s="42">
        <v>87279</v>
      </c>
      <c r="Q1564" s="42">
        <v>202739</v>
      </c>
      <c r="R1564" s="42">
        <v>2662247</v>
      </c>
      <c r="S1564" s="5">
        <v>140544</v>
      </c>
      <c r="T1564" s="42">
        <v>490009</v>
      </c>
    </row>
    <row r="1565" spans="1:20" x14ac:dyDescent="0.3">
      <c r="A1565" s="7">
        <v>43882</v>
      </c>
      <c r="B1565" s="38"/>
      <c r="C1565" s="6">
        <v>205812</v>
      </c>
      <c r="D1565" s="6">
        <v>213594</v>
      </c>
      <c r="E1565" s="6">
        <v>165582</v>
      </c>
      <c r="F1565" s="14">
        <v>623016</v>
      </c>
      <c r="G1565" s="6">
        <v>235404</v>
      </c>
      <c r="H1565" s="6">
        <v>59030</v>
      </c>
      <c r="I1565" s="6">
        <v>55551</v>
      </c>
      <c r="J1565" s="6">
        <v>266231</v>
      </c>
      <c r="K1565" s="6">
        <v>730436</v>
      </c>
      <c r="L1565" s="6">
        <v>243835</v>
      </c>
      <c r="M1565" s="6">
        <v>2121256</v>
      </c>
      <c r="N1565" s="42">
        <v>1304459</v>
      </c>
      <c r="O1565" s="42"/>
      <c r="P1565" s="42">
        <v>87842</v>
      </c>
      <c r="Q1565" s="42">
        <v>205889</v>
      </c>
      <c r="R1565" s="42">
        <v>2652939</v>
      </c>
      <c r="S1565" s="5">
        <v>138443</v>
      </c>
      <c r="T1565" s="42">
        <v>488432</v>
      </c>
    </row>
    <row r="1566" spans="1:20" x14ac:dyDescent="0.3">
      <c r="A1566" s="7">
        <v>43881</v>
      </c>
      <c r="B1566" s="38"/>
      <c r="C1566" s="6">
        <v>201859</v>
      </c>
      <c r="D1566" s="6">
        <v>216416</v>
      </c>
      <c r="E1566" s="6">
        <v>169365</v>
      </c>
      <c r="F1566" s="14">
        <v>618251</v>
      </c>
      <c r="G1566" s="6">
        <v>228964</v>
      </c>
      <c r="H1566" s="6">
        <v>57687</v>
      </c>
      <c r="I1566" s="6">
        <v>55222</v>
      </c>
      <c r="J1566" s="6">
        <v>265284</v>
      </c>
      <c r="K1566" s="6">
        <v>730334</v>
      </c>
      <c r="L1566" s="6">
        <v>242073</v>
      </c>
      <c r="M1566" s="6">
        <v>2109778</v>
      </c>
      <c r="N1566" s="42">
        <v>1311495</v>
      </c>
      <c r="O1566" s="42"/>
      <c r="P1566" s="42">
        <v>82836</v>
      </c>
      <c r="Q1566" s="42">
        <v>202820</v>
      </c>
      <c r="R1566" s="42">
        <v>2646686</v>
      </c>
      <c r="S1566" s="5">
        <v>122517</v>
      </c>
      <c r="T1566" s="42">
        <v>486377</v>
      </c>
    </row>
    <row r="1567" spans="1:20" x14ac:dyDescent="0.3">
      <c r="A1567" s="7">
        <v>43880</v>
      </c>
      <c r="B1567" s="38"/>
      <c r="C1567" s="6">
        <v>188221</v>
      </c>
      <c r="D1567" s="6">
        <v>216307</v>
      </c>
      <c r="E1567" s="6">
        <v>165730</v>
      </c>
      <c r="F1567" s="14">
        <v>620330</v>
      </c>
      <c r="G1567" s="6">
        <v>225846</v>
      </c>
      <c r="H1567" s="6">
        <v>55162</v>
      </c>
      <c r="I1567" s="6">
        <v>54561</v>
      </c>
      <c r="J1567" s="6">
        <v>264271</v>
      </c>
      <c r="K1567" s="6">
        <v>722683</v>
      </c>
      <c r="L1567" s="6">
        <v>242852</v>
      </c>
      <c r="M1567" s="6">
        <v>2126079</v>
      </c>
      <c r="N1567" s="42">
        <v>1314370</v>
      </c>
      <c r="O1567" s="42"/>
      <c r="P1567" s="42">
        <v>81037</v>
      </c>
      <c r="Q1567" s="42">
        <v>200086</v>
      </c>
      <c r="R1567" s="42">
        <v>2619124</v>
      </c>
      <c r="S1567" s="5">
        <v>135167</v>
      </c>
      <c r="T1567" s="42">
        <v>484886</v>
      </c>
    </row>
    <row r="1568" spans="1:20" x14ac:dyDescent="0.3">
      <c r="A1568" s="7">
        <v>43879</v>
      </c>
      <c r="B1568" s="38"/>
      <c r="C1568" s="6">
        <v>189139</v>
      </c>
      <c r="D1568" s="6">
        <v>221959</v>
      </c>
      <c r="E1568" s="6">
        <v>164698</v>
      </c>
      <c r="F1568" s="14">
        <v>619883</v>
      </c>
      <c r="G1568" s="6">
        <v>203854</v>
      </c>
      <c r="H1568" s="6">
        <v>52585</v>
      </c>
      <c r="I1568" s="6">
        <v>52520</v>
      </c>
      <c r="J1568" s="6">
        <v>275462</v>
      </c>
      <c r="K1568" s="6">
        <v>715317</v>
      </c>
      <c r="L1568" s="6">
        <v>238077</v>
      </c>
      <c r="M1568" s="6">
        <v>2138168</v>
      </c>
      <c r="N1568" s="42">
        <v>1315931</v>
      </c>
      <c r="O1568" s="42"/>
      <c r="P1568" s="42">
        <v>85953</v>
      </c>
      <c r="Q1568" s="42">
        <v>198593</v>
      </c>
      <c r="R1568" s="42">
        <v>2600511</v>
      </c>
      <c r="S1568" s="5">
        <v>130895</v>
      </c>
      <c r="T1568" s="42">
        <v>486581</v>
      </c>
    </row>
    <row r="1569" spans="1:20" x14ac:dyDescent="0.3">
      <c r="A1569" s="7">
        <v>43875</v>
      </c>
      <c r="B1569" s="38"/>
      <c r="C1569" s="6">
        <v>179241</v>
      </c>
      <c r="D1569" s="6">
        <v>220861</v>
      </c>
      <c r="E1569" s="6">
        <v>164005</v>
      </c>
      <c r="F1569" s="14">
        <v>621788</v>
      </c>
      <c r="G1569" s="6">
        <v>198393</v>
      </c>
      <c r="H1569" s="6">
        <v>50593</v>
      </c>
      <c r="I1569" s="6">
        <v>50617</v>
      </c>
      <c r="J1569" s="6">
        <v>274607</v>
      </c>
      <c r="K1569" s="6">
        <v>688396</v>
      </c>
      <c r="L1569" s="6">
        <v>231097</v>
      </c>
      <c r="M1569" s="6">
        <v>2145000</v>
      </c>
      <c r="N1569" s="42">
        <v>1315465</v>
      </c>
      <c r="O1569" s="42"/>
      <c r="P1569" s="42">
        <v>87722</v>
      </c>
      <c r="Q1569" s="42">
        <v>197306</v>
      </c>
      <c r="R1569" s="42">
        <v>2613221</v>
      </c>
      <c r="S1569" s="5">
        <v>124799</v>
      </c>
      <c r="T1569" s="42">
        <v>486254</v>
      </c>
    </row>
    <row r="1570" spans="1:20" x14ac:dyDescent="0.3">
      <c r="A1570" s="7">
        <v>43874</v>
      </c>
      <c r="B1570" s="38"/>
      <c r="C1570" s="6">
        <v>180534</v>
      </c>
      <c r="D1570" s="6">
        <v>221642</v>
      </c>
      <c r="E1570" s="6">
        <v>165320</v>
      </c>
      <c r="F1570" s="14">
        <v>622327</v>
      </c>
      <c r="G1570" s="6">
        <v>199003</v>
      </c>
      <c r="H1570" s="6">
        <v>49273</v>
      </c>
      <c r="I1570" s="6">
        <v>51141</v>
      </c>
      <c r="J1570" s="6">
        <v>272311</v>
      </c>
      <c r="K1570" s="6">
        <v>674073</v>
      </c>
      <c r="L1570" s="6">
        <v>225679</v>
      </c>
      <c r="M1570" s="6">
        <v>2193121</v>
      </c>
      <c r="N1570" s="42">
        <v>1309830</v>
      </c>
      <c r="O1570" s="42"/>
      <c r="P1570" s="42">
        <v>85479</v>
      </c>
      <c r="Q1570" s="42">
        <v>202202</v>
      </c>
      <c r="R1570" s="42">
        <v>2606796</v>
      </c>
      <c r="S1570" s="5">
        <v>118076</v>
      </c>
      <c r="T1570" s="42">
        <v>488519</v>
      </c>
    </row>
    <row r="1571" spans="1:20" x14ac:dyDescent="0.3">
      <c r="A1571" s="7">
        <v>43873</v>
      </c>
      <c r="B1571" s="38"/>
      <c r="C1571" s="6">
        <v>182152</v>
      </c>
      <c r="D1571" s="6">
        <v>213697</v>
      </c>
      <c r="E1571" s="6">
        <v>166807</v>
      </c>
      <c r="F1571" s="14">
        <v>618413</v>
      </c>
      <c r="G1571" s="6">
        <v>199517</v>
      </c>
      <c r="H1571" s="6">
        <v>50271</v>
      </c>
      <c r="I1571" s="6">
        <v>51977</v>
      </c>
      <c r="J1571" s="6">
        <v>270366</v>
      </c>
      <c r="K1571" s="6">
        <v>656472</v>
      </c>
      <c r="L1571" s="6">
        <v>223796</v>
      </c>
      <c r="M1571" s="6">
        <v>2212387</v>
      </c>
      <c r="N1571" s="42">
        <v>1298608</v>
      </c>
      <c r="O1571" s="42"/>
      <c r="P1571" s="42">
        <v>80390</v>
      </c>
      <c r="Q1571" s="42">
        <v>200114</v>
      </c>
      <c r="R1571" s="42">
        <v>2601022</v>
      </c>
      <c r="S1571" s="5">
        <v>113260</v>
      </c>
      <c r="T1571" s="42">
        <v>486718</v>
      </c>
    </row>
    <row r="1572" spans="1:20" x14ac:dyDescent="0.3">
      <c r="A1572" s="7">
        <v>43872</v>
      </c>
      <c r="B1572" s="38"/>
      <c r="C1572" s="6">
        <v>177528</v>
      </c>
      <c r="D1572" s="6">
        <v>212228</v>
      </c>
      <c r="E1572" s="6">
        <v>166914</v>
      </c>
      <c r="F1572" s="14">
        <v>612444</v>
      </c>
      <c r="G1572" s="6">
        <v>193822</v>
      </c>
      <c r="H1572" s="6">
        <v>48946</v>
      </c>
      <c r="I1572" s="6">
        <v>51465</v>
      </c>
      <c r="J1572" s="6">
        <v>269208</v>
      </c>
      <c r="K1572" s="6">
        <v>658024</v>
      </c>
      <c r="L1572" s="6">
        <v>221858</v>
      </c>
      <c r="M1572" s="6">
        <v>2213522</v>
      </c>
      <c r="N1572" s="42">
        <v>1288630</v>
      </c>
      <c r="O1572" s="42"/>
      <c r="P1572" s="42">
        <v>84112</v>
      </c>
      <c r="Q1572" s="42">
        <v>194628</v>
      </c>
      <c r="R1572" s="42">
        <v>2615876</v>
      </c>
      <c r="S1572" s="5">
        <v>129914</v>
      </c>
      <c r="T1572" s="42">
        <v>485582</v>
      </c>
    </row>
    <row r="1573" spans="1:20" x14ac:dyDescent="0.3">
      <c r="A1573" s="7">
        <v>43871</v>
      </c>
      <c r="B1573" s="38"/>
      <c r="C1573" s="6">
        <v>171585</v>
      </c>
      <c r="D1573" s="6">
        <v>210821</v>
      </c>
      <c r="E1573" s="6">
        <v>165921</v>
      </c>
      <c r="F1573" s="14">
        <v>609145</v>
      </c>
      <c r="G1573" s="6">
        <v>194374</v>
      </c>
      <c r="H1573" s="6">
        <v>47298</v>
      </c>
      <c r="I1573" s="6">
        <v>52364</v>
      </c>
      <c r="J1573" s="6">
        <v>268628</v>
      </c>
      <c r="K1573" s="6">
        <v>658782</v>
      </c>
      <c r="L1573" s="6">
        <v>223948</v>
      </c>
      <c r="M1573" s="6">
        <v>2232038</v>
      </c>
      <c r="N1573" s="42">
        <v>1291078</v>
      </c>
      <c r="O1573" s="42"/>
      <c r="P1573" s="42">
        <v>82659</v>
      </c>
      <c r="Q1573" s="42">
        <v>198342</v>
      </c>
      <c r="R1573" s="42">
        <v>2596174</v>
      </c>
      <c r="S1573" s="5">
        <v>133352</v>
      </c>
      <c r="T1573" s="42">
        <v>488883</v>
      </c>
    </row>
    <row r="1574" spans="1:20" x14ac:dyDescent="0.3">
      <c r="A1574" s="7">
        <v>43868</v>
      </c>
      <c r="B1574" s="38"/>
      <c r="C1574" s="6">
        <v>173368</v>
      </c>
      <c r="D1574" s="6">
        <v>210620</v>
      </c>
      <c r="E1574" s="6">
        <v>168085</v>
      </c>
      <c r="F1574" s="14">
        <v>609234</v>
      </c>
      <c r="G1574" s="6">
        <v>193662</v>
      </c>
      <c r="H1574" s="6">
        <v>45519</v>
      </c>
      <c r="I1574" s="6">
        <v>52761</v>
      </c>
      <c r="J1574" s="6">
        <v>269394</v>
      </c>
      <c r="K1574" s="6">
        <v>654637</v>
      </c>
      <c r="L1574" s="6">
        <v>223902</v>
      </c>
      <c r="M1574" s="6">
        <v>2228359</v>
      </c>
      <c r="N1574" s="42">
        <v>1308074</v>
      </c>
      <c r="O1574" s="42"/>
      <c r="P1574" s="42">
        <v>86448</v>
      </c>
      <c r="Q1574" s="42">
        <v>192700</v>
      </c>
      <c r="R1574" s="42">
        <v>2582403</v>
      </c>
      <c r="S1574" s="5">
        <v>139663</v>
      </c>
      <c r="T1574" s="42">
        <v>491226</v>
      </c>
    </row>
    <row r="1575" spans="1:20" x14ac:dyDescent="0.3">
      <c r="A1575" s="7">
        <v>43867</v>
      </c>
      <c r="B1575" s="38"/>
      <c r="C1575" s="6">
        <v>177712</v>
      </c>
      <c r="D1575" s="6">
        <v>208117</v>
      </c>
      <c r="E1575" s="6">
        <v>172602</v>
      </c>
      <c r="F1575" s="14">
        <v>608660</v>
      </c>
      <c r="G1575" s="6">
        <v>195432</v>
      </c>
      <c r="H1575" s="6">
        <v>45553</v>
      </c>
      <c r="I1575" s="6">
        <v>52471</v>
      </c>
      <c r="J1575" s="6">
        <v>271357</v>
      </c>
      <c r="K1575" s="6">
        <v>652257</v>
      </c>
      <c r="L1575" s="6">
        <v>225019</v>
      </c>
      <c r="M1575" s="6">
        <v>2257711</v>
      </c>
      <c r="N1575" s="42">
        <v>1325292</v>
      </c>
      <c r="O1575" s="42"/>
      <c r="P1575" s="42">
        <v>85840</v>
      </c>
      <c r="Q1575" s="42">
        <v>192436</v>
      </c>
      <c r="R1575" s="42">
        <v>2590213</v>
      </c>
      <c r="S1575" s="5">
        <v>137997</v>
      </c>
      <c r="T1575" s="42">
        <v>490965</v>
      </c>
    </row>
    <row r="1576" spans="1:20" x14ac:dyDescent="0.3">
      <c r="A1576" s="7">
        <v>43866</v>
      </c>
      <c r="B1576" s="38"/>
      <c r="C1576" s="6">
        <v>180424</v>
      </c>
      <c r="D1576" s="6">
        <v>207108</v>
      </c>
      <c r="E1576" s="6">
        <v>175614</v>
      </c>
      <c r="F1576" s="14">
        <v>602379</v>
      </c>
      <c r="G1576" s="6">
        <v>191543</v>
      </c>
      <c r="H1576" s="6">
        <v>44896</v>
      </c>
      <c r="I1576" s="6">
        <v>52315</v>
      </c>
      <c r="J1576" s="6">
        <v>267245</v>
      </c>
      <c r="K1576" s="6">
        <v>650392</v>
      </c>
      <c r="L1576" s="6">
        <v>223473</v>
      </c>
      <c r="M1576" s="6">
        <v>2259287</v>
      </c>
      <c r="N1576" s="42">
        <v>1350487</v>
      </c>
      <c r="O1576" s="42"/>
      <c r="P1576" s="42">
        <v>82206</v>
      </c>
      <c r="Q1576" s="42">
        <v>191768</v>
      </c>
      <c r="R1576" s="42">
        <v>2576472</v>
      </c>
      <c r="S1576" s="5">
        <v>138510</v>
      </c>
      <c r="T1576" s="42">
        <v>490197</v>
      </c>
    </row>
    <row r="1577" spans="1:20" x14ac:dyDescent="0.3">
      <c r="A1577" s="7">
        <v>43865</v>
      </c>
      <c r="B1577" s="38"/>
      <c r="C1577" s="6">
        <v>180856</v>
      </c>
      <c r="D1577" s="6">
        <v>208165</v>
      </c>
      <c r="E1577" s="6">
        <v>174000</v>
      </c>
      <c r="F1577" s="14">
        <v>594698</v>
      </c>
      <c r="G1577" s="6">
        <v>190079</v>
      </c>
      <c r="H1577" s="6">
        <v>43692</v>
      </c>
      <c r="I1577" s="6">
        <v>49855</v>
      </c>
      <c r="J1577" s="6">
        <v>264032</v>
      </c>
      <c r="K1577" s="6">
        <v>654572</v>
      </c>
      <c r="L1577" s="6">
        <v>224936</v>
      </c>
      <c r="M1577" s="6">
        <v>2271741</v>
      </c>
      <c r="N1577" s="42">
        <v>1339590</v>
      </c>
      <c r="O1577" s="42"/>
      <c r="P1577" s="42">
        <v>81811</v>
      </c>
      <c r="Q1577" s="42">
        <v>195162</v>
      </c>
      <c r="R1577" s="42">
        <v>2548633</v>
      </c>
      <c r="S1577" s="5">
        <v>135869</v>
      </c>
      <c r="T1577" s="42">
        <v>496419</v>
      </c>
    </row>
    <row r="1578" spans="1:20" x14ac:dyDescent="0.3">
      <c r="A1578" s="7">
        <v>43864</v>
      </c>
      <c r="B1578" s="38"/>
      <c r="C1578" s="6">
        <v>171958</v>
      </c>
      <c r="D1578" s="6">
        <v>212083</v>
      </c>
      <c r="E1578" s="6">
        <v>180515</v>
      </c>
      <c r="F1578" s="14">
        <v>591531</v>
      </c>
      <c r="G1578" s="6">
        <v>189447</v>
      </c>
      <c r="H1578" s="6">
        <v>42730</v>
      </c>
      <c r="I1578" s="6">
        <v>49989</v>
      </c>
      <c r="J1578" s="6">
        <v>260825</v>
      </c>
      <c r="K1578" s="6">
        <v>674129</v>
      </c>
      <c r="L1578" s="6">
        <v>227886</v>
      </c>
      <c r="M1578" s="6">
        <v>2266346</v>
      </c>
      <c r="N1578" s="42">
        <v>1337930</v>
      </c>
      <c r="O1578" s="42"/>
      <c r="P1578" s="42">
        <v>85490</v>
      </c>
      <c r="Q1578" s="42">
        <v>190685</v>
      </c>
      <c r="R1578" s="42">
        <v>2553523</v>
      </c>
      <c r="S1578" s="5">
        <v>135056</v>
      </c>
      <c r="T1578" s="42">
        <v>503609</v>
      </c>
    </row>
    <row r="1579" spans="1:20" x14ac:dyDescent="0.3">
      <c r="A1579" s="7">
        <v>43861</v>
      </c>
      <c r="B1579" s="38"/>
      <c r="C1579" s="6">
        <v>164339</v>
      </c>
      <c r="D1579" s="6">
        <v>210070</v>
      </c>
      <c r="E1579" s="6">
        <v>183047</v>
      </c>
      <c r="F1579" s="14">
        <v>592601</v>
      </c>
      <c r="G1579" s="6">
        <v>188470</v>
      </c>
      <c r="H1579" s="6">
        <v>43402</v>
      </c>
      <c r="I1579" s="6">
        <v>51037</v>
      </c>
      <c r="J1579" s="6">
        <v>261486</v>
      </c>
      <c r="K1579" s="6">
        <v>678817</v>
      </c>
      <c r="L1579" s="6">
        <v>229312</v>
      </c>
      <c r="M1579" s="6">
        <v>2229701</v>
      </c>
      <c r="N1579" s="42">
        <v>1341602</v>
      </c>
      <c r="O1579" s="42"/>
      <c r="P1579" s="42">
        <v>85203</v>
      </c>
      <c r="Q1579" s="42">
        <v>193115</v>
      </c>
      <c r="R1579" s="42">
        <v>2599701</v>
      </c>
      <c r="S1579" s="5">
        <v>119391</v>
      </c>
      <c r="T1579" s="42">
        <v>498795</v>
      </c>
    </row>
    <row r="1580" spans="1:20" x14ac:dyDescent="0.3">
      <c r="A1580" s="7">
        <v>43860</v>
      </c>
      <c r="B1580" s="38"/>
      <c r="C1580" s="6">
        <v>161650</v>
      </c>
      <c r="D1580" s="6">
        <v>206388</v>
      </c>
      <c r="E1580" s="6">
        <v>183745</v>
      </c>
      <c r="F1580" s="14">
        <v>600629</v>
      </c>
      <c r="G1580" s="6">
        <v>182706</v>
      </c>
      <c r="H1580" s="6">
        <v>45068</v>
      </c>
      <c r="I1580" s="6">
        <v>52863</v>
      </c>
      <c r="J1580" s="6">
        <v>256503</v>
      </c>
      <c r="K1580" s="6">
        <v>681868</v>
      </c>
      <c r="L1580" s="6">
        <v>228849</v>
      </c>
      <c r="M1580" s="6">
        <v>2207860</v>
      </c>
      <c r="N1580" s="42">
        <v>1355336</v>
      </c>
      <c r="O1580" s="42"/>
      <c r="P1580" s="42">
        <v>86165</v>
      </c>
      <c r="Q1580" s="42">
        <v>193348</v>
      </c>
      <c r="R1580" s="42">
        <v>2573921</v>
      </c>
      <c r="S1580" s="5">
        <v>113237</v>
      </c>
      <c r="T1580" s="42">
        <v>498744</v>
      </c>
    </row>
    <row r="1581" spans="1:20" x14ac:dyDescent="0.3">
      <c r="A1581" s="7">
        <v>43859</v>
      </c>
      <c r="B1581" s="38"/>
      <c r="C1581" s="6">
        <v>161224</v>
      </c>
      <c r="D1581" s="6">
        <v>199930</v>
      </c>
      <c r="E1581" s="6">
        <v>185502</v>
      </c>
      <c r="F1581" s="14">
        <v>601285</v>
      </c>
      <c r="G1581" s="6">
        <v>183077</v>
      </c>
      <c r="H1581" s="6">
        <v>44493</v>
      </c>
      <c r="I1581" s="6">
        <v>52521</v>
      </c>
      <c r="J1581" s="6">
        <v>249143</v>
      </c>
      <c r="K1581" s="6">
        <v>694705</v>
      </c>
      <c r="L1581" s="6">
        <v>227424</v>
      </c>
      <c r="M1581" s="6">
        <v>2195724</v>
      </c>
      <c r="N1581" s="42">
        <v>1373411</v>
      </c>
      <c r="O1581" s="42"/>
      <c r="P1581" s="42">
        <v>91218</v>
      </c>
      <c r="Q1581" s="42">
        <v>194142</v>
      </c>
      <c r="R1581" s="42">
        <v>2555212</v>
      </c>
      <c r="S1581" s="5">
        <v>110954</v>
      </c>
      <c r="T1581" s="42">
        <v>497889</v>
      </c>
    </row>
    <row r="1582" spans="1:20" x14ac:dyDescent="0.3">
      <c r="A1582" s="7">
        <v>43858</v>
      </c>
      <c r="B1582" s="38"/>
      <c r="C1582" s="6">
        <v>156721</v>
      </c>
      <c r="D1582" s="6">
        <v>203169</v>
      </c>
      <c r="E1582" s="6">
        <v>185499</v>
      </c>
      <c r="F1582" s="14">
        <v>598793</v>
      </c>
      <c r="G1582" s="6">
        <v>184919</v>
      </c>
      <c r="H1582" s="6">
        <v>46500</v>
      </c>
      <c r="I1582" s="6">
        <v>51440</v>
      </c>
      <c r="J1582" s="6">
        <v>248958</v>
      </c>
      <c r="K1582" s="6">
        <v>715539</v>
      </c>
      <c r="L1582" s="6">
        <v>231933</v>
      </c>
      <c r="M1582" s="6">
        <v>2172019</v>
      </c>
      <c r="N1582" s="42">
        <v>1362217</v>
      </c>
      <c r="O1582" s="42"/>
      <c r="P1582" s="42">
        <v>94276</v>
      </c>
      <c r="Q1582" s="42">
        <v>198271</v>
      </c>
      <c r="R1582" s="42">
        <v>2543072</v>
      </c>
      <c r="S1582" s="5">
        <v>116398</v>
      </c>
      <c r="T1582" s="42">
        <v>502044</v>
      </c>
    </row>
    <row r="1583" spans="1:20" x14ac:dyDescent="0.3">
      <c r="A1583" s="7">
        <v>43857</v>
      </c>
      <c r="B1583" s="38"/>
      <c r="C1583" s="6">
        <v>150313</v>
      </c>
      <c r="D1583" s="6">
        <v>201318</v>
      </c>
      <c r="E1583" s="6">
        <v>189329</v>
      </c>
      <c r="F1583" s="14">
        <v>593826</v>
      </c>
      <c r="G1583" s="6">
        <v>190207</v>
      </c>
      <c r="H1583" s="6">
        <v>46408</v>
      </c>
      <c r="I1583" s="6">
        <v>51221</v>
      </c>
      <c r="J1583" s="6">
        <v>254868</v>
      </c>
      <c r="K1583" s="6">
        <v>749458</v>
      </c>
      <c r="L1583" s="6">
        <v>238085</v>
      </c>
      <c r="M1583" s="6">
        <v>2175874</v>
      </c>
      <c r="N1583" s="42">
        <v>1363530</v>
      </c>
      <c r="O1583" s="42"/>
      <c r="P1583" s="42">
        <v>94703</v>
      </c>
      <c r="Q1583" s="42">
        <v>197647</v>
      </c>
      <c r="R1583" s="42">
        <v>2536507</v>
      </c>
      <c r="S1583" s="5">
        <v>103079</v>
      </c>
      <c r="T1583" s="42">
        <v>505013</v>
      </c>
    </row>
    <row r="1584" spans="1:20" x14ac:dyDescent="0.3">
      <c r="A1584" s="7">
        <v>43854</v>
      </c>
      <c r="B1584" s="38"/>
      <c r="C1584" s="6">
        <v>145166</v>
      </c>
      <c r="D1584" s="6">
        <v>197728</v>
      </c>
      <c r="E1584" s="6">
        <v>190144</v>
      </c>
      <c r="F1584" s="14">
        <v>587764</v>
      </c>
      <c r="G1584" s="6">
        <v>192681</v>
      </c>
      <c r="H1584" s="6">
        <v>48344</v>
      </c>
      <c r="I1584" s="6">
        <v>50454</v>
      </c>
      <c r="J1584" s="6">
        <v>260214</v>
      </c>
      <c r="K1584" s="6">
        <v>787065</v>
      </c>
      <c r="L1584" s="6">
        <v>236395</v>
      </c>
      <c r="M1584" s="6">
        <v>2174021</v>
      </c>
      <c r="N1584" s="42">
        <v>1369391</v>
      </c>
      <c r="O1584" s="42"/>
      <c r="P1584" s="42">
        <v>94995</v>
      </c>
      <c r="Q1584" s="42">
        <v>201618</v>
      </c>
      <c r="R1584" s="42">
        <v>2557038</v>
      </c>
      <c r="S1584" s="5">
        <v>106939</v>
      </c>
      <c r="T1584" s="42">
        <v>505266</v>
      </c>
    </row>
    <row r="1585" spans="1:20" x14ac:dyDescent="0.3">
      <c r="A1585" s="7">
        <v>43853</v>
      </c>
      <c r="B1585" s="38"/>
      <c r="C1585" s="6">
        <v>144919</v>
      </c>
      <c r="D1585" s="6">
        <v>198375</v>
      </c>
      <c r="E1585" s="6">
        <v>190220</v>
      </c>
      <c r="F1585" s="14">
        <v>586015</v>
      </c>
      <c r="G1585" s="6">
        <v>197586</v>
      </c>
      <c r="H1585" s="6">
        <v>47498</v>
      </c>
      <c r="I1585" s="6">
        <v>49841</v>
      </c>
      <c r="J1585" s="6">
        <v>268362</v>
      </c>
      <c r="K1585" s="6">
        <v>798822</v>
      </c>
      <c r="L1585" s="6">
        <v>233745</v>
      </c>
      <c r="M1585" s="6">
        <v>2149378</v>
      </c>
      <c r="N1585" s="42">
        <v>1369424</v>
      </c>
      <c r="O1585" s="42"/>
      <c r="P1585" s="42">
        <v>98208</v>
      </c>
      <c r="Q1585" s="42">
        <v>200469</v>
      </c>
      <c r="R1585" s="42">
        <v>2574617</v>
      </c>
      <c r="S1585" s="5">
        <v>119110</v>
      </c>
      <c r="T1585" s="42">
        <v>505957</v>
      </c>
    </row>
    <row r="1586" spans="1:20" x14ac:dyDescent="0.3">
      <c r="A1586" s="7">
        <v>43852</v>
      </c>
      <c r="B1586" s="38"/>
      <c r="C1586" s="6">
        <v>142759</v>
      </c>
      <c r="D1586" s="6">
        <v>198017</v>
      </c>
      <c r="E1586" s="6">
        <v>190842</v>
      </c>
      <c r="F1586" s="14">
        <v>577039</v>
      </c>
      <c r="G1586" s="6">
        <v>203488</v>
      </c>
      <c r="H1586" s="6">
        <v>47590</v>
      </c>
      <c r="I1586" s="6">
        <v>49930</v>
      </c>
      <c r="J1586" s="6">
        <v>276209</v>
      </c>
      <c r="K1586" s="6">
        <v>789678</v>
      </c>
      <c r="L1586" s="6">
        <v>233676</v>
      </c>
      <c r="M1586" s="6">
        <v>2154643</v>
      </c>
      <c r="N1586" s="42">
        <v>1375412</v>
      </c>
      <c r="O1586" s="42"/>
      <c r="P1586" s="42">
        <v>98257</v>
      </c>
      <c r="Q1586" s="42">
        <v>204915</v>
      </c>
      <c r="R1586" s="42">
        <v>2602448</v>
      </c>
      <c r="S1586" s="5">
        <v>109077</v>
      </c>
      <c r="T1586" s="42">
        <v>506033</v>
      </c>
    </row>
    <row r="1587" spans="1:20" x14ac:dyDescent="0.3">
      <c r="A1587" s="7">
        <v>43851</v>
      </c>
      <c r="B1587" s="38"/>
      <c r="C1587" s="6">
        <v>139478</v>
      </c>
      <c r="D1587" s="6">
        <v>194625</v>
      </c>
      <c r="E1587" s="6">
        <v>188596</v>
      </c>
      <c r="F1587" s="14">
        <v>582164</v>
      </c>
      <c r="G1587" s="6">
        <v>203579</v>
      </c>
      <c r="H1587" s="6">
        <v>48300</v>
      </c>
      <c r="I1587" s="6">
        <v>50368</v>
      </c>
      <c r="J1587" s="6">
        <v>282358</v>
      </c>
      <c r="K1587" s="6">
        <v>793829</v>
      </c>
      <c r="L1587" s="6">
        <v>233858</v>
      </c>
      <c r="M1587" s="6">
        <v>2146832</v>
      </c>
      <c r="N1587" s="42">
        <v>1360794</v>
      </c>
      <c r="O1587" s="42"/>
      <c r="P1587" s="42">
        <v>101750</v>
      </c>
      <c r="Q1587" s="42">
        <v>213028</v>
      </c>
      <c r="R1587" s="42">
        <v>2613464</v>
      </c>
      <c r="S1587" s="5">
        <v>108672</v>
      </c>
      <c r="T1587" s="42">
        <v>506630</v>
      </c>
    </row>
    <row r="1588" spans="1:20" x14ac:dyDescent="0.3">
      <c r="A1588" s="7">
        <v>43847</v>
      </c>
      <c r="B1588" s="38"/>
      <c r="C1588" s="6">
        <v>139297</v>
      </c>
      <c r="D1588" s="6">
        <v>197705</v>
      </c>
      <c r="E1588" s="6">
        <v>187299</v>
      </c>
      <c r="F1588" s="14">
        <v>577243</v>
      </c>
      <c r="G1588" s="6">
        <v>195973</v>
      </c>
      <c r="H1588" s="6">
        <v>48411</v>
      </c>
      <c r="I1588" s="6">
        <v>50208</v>
      </c>
      <c r="J1588" s="6">
        <v>284561</v>
      </c>
      <c r="K1588" s="6">
        <v>793842</v>
      </c>
      <c r="L1588" s="6">
        <v>236116</v>
      </c>
      <c r="M1588" s="6">
        <v>2148946</v>
      </c>
      <c r="N1588" s="42">
        <v>1341930</v>
      </c>
      <c r="O1588" s="42"/>
      <c r="P1588" s="42">
        <v>103468</v>
      </c>
      <c r="Q1588" s="42">
        <v>226338</v>
      </c>
      <c r="R1588" s="42">
        <v>2603547</v>
      </c>
      <c r="S1588" s="5">
        <v>101874</v>
      </c>
      <c r="T1588" s="42">
        <v>505050</v>
      </c>
    </row>
    <row r="1589" spans="1:20" x14ac:dyDescent="0.3">
      <c r="A1589" s="7">
        <v>43846</v>
      </c>
      <c r="B1589" s="38"/>
      <c r="C1589" s="6">
        <v>142190</v>
      </c>
      <c r="D1589" s="6">
        <v>197409</v>
      </c>
      <c r="E1589" s="6">
        <v>187595</v>
      </c>
      <c r="F1589" s="14">
        <v>573415</v>
      </c>
      <c r="G1589" s="6">
        <v>196019</v>
      </c>
      <c r="H1589" s="6">
        <v>49255</v>
      </c>
      <c r="I1589" s="6">
        <v>51623</v>
      </c>
      <c r="J1589" s="6">
        <v>287029</v>
      </c>
      <c r="K1589" s="6">
        <v>793585</v>
      </c>
      <c r="L1589" s="6">
        <v>235420</v>
      </c>
      <c r="M1589" s="6">
        <v>2198622</v>
      </c>
      <c r="N1589" s="42">
        <v>1322265</v>
      </c>
      <c r="O1589" s="42"/>
      <c r="P1589" s="42">
        <v>104762</v>
      </c>
      <c r="Q1589" s="42">
        <v>234647</v>
      </c>
      <c r="R1589" s="42">
        <v>2646323</v>
      </c>
      <c r="S1589" s="5">
        <v>104579</v>
      </c>
      <c r="T1589" s="42">
        <v>508657</v>
      </c>
    </row>
    <row r="1590" spans="1:20" x14ac:dyDescent="0.3">
      <c r="A1590" s="7">
        <v>43845</v>
      </c>
      <c r="B1590" s="38"/>
      <c r="C1590" s="6">
        <v>142053</v>
      </c>
      <c r="D1590" s="6">
        <v>197544</v>
      </c>
      <c r="E1590" s="6">
        <v>188809</v>
      </c>
      <c r="F1590" s="14">
        <v>575844</v>
      </c>
      <c r="G1590" s="6">
        <v>188672</v>
      </c>
      <c r="H1590" s="6">
        <v>48573</v>
      </c>
      <c r="I1590" s="6">
        <v>50778</v>
      </c>
      <c r="J1590" s="6">
        <v>282603</v>
      </c>
      <c r="K1590" s="6">
        <v>799541</v>
      </c>
      <c r="L1590" s="6">
        <v>236474</v>
      </c>
      <c r="M1590" s="6">
        <v>2194905</v>
      </c>
      <c r="N1590" s="42">
        <v>1338108</v>
      </c>
      <c r="O1590" s="42"/>
      <c r="P1590" s="42">
        <v>100338</v>
      </c>
      <c r="Q1590" s="42">
        <v>232284</v>
      </c>
      <c r="R1590" s="42">
        <v>2615140</v>
      </c>
      <c r="S1590" s="5">
        <v>106950</v>
      </c>
      <c r="T1590" s="42">
        <v>504488</v>
      </c>
    </row>
    <row r="1591" spans="1:20" x14ac:dyDescent="0.3">
      <c r="A1591" s="7">
        <v>43844</v>
      </c>
      <c r="B1591" s="38"/>
      <c r="C1591" s="6">
        <v>145849</v>
      </c>
      <c r="D1591" s="6">
        <v>198922</v>
      </c>
      <c r="E1591" s="6">
        <v>190229</v>
      </c>
      <c r="F1591" s="14">
        <v>572556</v>
      </c>
      <c r="G1591" s="6">
        <v>184647</v>
      </c>
      <c r="H1591" s="6">
        <v>48651</v>
      </c>
      <c r="I1591" s="6">
        <v>49118</v>
      </c>
      <c r="J1591" s="6">
        <v>281166</v>
      </c>
      <c r="K1591" s="6">
        <v>796883</v>
      </c>
      <c r="L1591" s="6">
        <v>234639</v>
      </c>
      <c r="M1591" s="6">
        <v>2215893</v>
      </c>
      <c r="N1591" s="42">
        <v>1342656</v>
      </c>
      <c r="O1591" s="42"/>
      <c r="P1591" s="42">
        <v>101128</v>
      </c>
      <c r="Q1591" s="42">
        <v>228217</v>
      </c>
      <c r="R1591" s="42">
        <v>2641389</v>
      </c>
      <c r="S1591" s="5">
        <v>115685</v>
      </c>
      <c r="T1591" s="42">
        <v>495086</v>
      </c>
    </row>
    <row r="1592" spans="1:20" x14ac:dyDescent="0.3">
      <c r="A1592" s="7">
        <v>43843</v>
      </c>
      <c r="B1592" s="38"/>
      <c r="C1592" s="6">
        <v>147375</v>
      </c>
      <c r="D1592" s="6">
        <v>198611</v>
      </c>
      <c r="E1592" s="6">
        <v>186117</v>
      </c>
      <c r="F1592" s="14">
        <v>573422</v>
      </c>
      <c r="G1592" s="6">
        <v>184805</v>
      </c>
      <c r="H1592" s="6">
        <v>48904</v>
      </c>
      <c r="I1592" s="6">
        <v>50908</v>
      </c>
      <c r="J1592" s="6">
        <v>277999</v>
      </c>
      <c r="K1592" s="6">
        <v>795805</v>
      </c>
      <c r="L1592" s="6">
        <v>235067</v>
      </c>
      <c r="M1592" s="6">
        <v>2215788</v>
      </c>
      <c r="N1592" s="42">
        <v>1335031</v>
      </c>
      <c r="O1592" s="42"/>
      <c r="P1592" s="42">
        <v>99674</v>
      </c>
      <c r="Q1592" s="42">
        <v>227889</v>
      </c>
      <c r="R1592" s="42">
        <v>2640550</v>
      </c>
      <c r="S1592" s="5">
        <v>108173</v>
      </c>
      <c r="T1592" s="42">
        <v>495205</v>
      </c>
    </row>
    <row r="1593" spans="1:20" x14ac:dyDescent="0.3">
      <c r="A1593" s="7">
        <v>43840</v>
      </c>
      <c r="B1593" s="38"/>
      <c r="C1593" s="6">
        <v>149349</v>
      </c>
      <c r="D1593" s="6">
        <v>199651</v>
      </c>
      <c r="E1593" s="6">
        <v>199189</v>
      </c>
      <c r="F1593" s="14">
        <v>559950</v>
      </c>
      <c r="G1593" s="6">
        <v>167686</v>
      </c>
      <c r="H1593" s="6">
        <v>49459</v>
      </c>
      <c r="I1593" s="6">
        <v>50262</v>
      </c>
      <c r="J1593" s="6">
        <v>271567</v>
      </c>
      <c r="K1593" s="6">
        <v>787632</v>
      </c>
      <c r="L1593" s="6">
        <v>234485</v>
      </c>
      <c r="M1593" s="6">
        <v>2232832</v>
      </c>
      <c r="N1593" s="42">
        <v>1338973</v>
      </c>
      <c r="O1593" s="42"/>
      <c r="P1593" s="42">
        <v>97055</v>
      </c>
      <c r="Q1593" s="42">
        <v>226488</v>
      </c>
      <c r="R1593" s="42">
        <v>2650936</v>
      </c>
      <c r="S1593" s="5">
        <v>111951</v>
      </c>
      <c r="T1593" s="42">
        <v>488525</v>
      </c>
    </row>
    <row r="1594" spans="1:20" x14ac:dyDescent="0.3">
      <c r="A1594" s="7">
        <v>43839</v>
      </c>
      <c r="B1594" s="38"/>
      <c r="C1594" s="6">
        <v>169734</v>
      </c>
      <c r="D1594" s="6">
        <v>200270</v>
      </c>
      <c r="E1594" s="6">
        <v>206106</v>
      </c>
      <c r="F1594" s="14">
        <v>561099</v>
      </c>
      <c r="G1594" s="6">
        <v>206785</v>
      </c>
      <c r="H1594" s="6">
        <v>59077</v>
      </c>
      <c r="I1594" s="6">
        <v>49828</v>
      </c>
      <c r="J1594" s="6">
        <v>271150</v>
      </c>
      <c r="K1594" s="6">
        <v>785015</v>
      </c>
      <c r="L1594" s="6">
        <v>233972</v>
      </c>
      <c r="M1594" s="6">
        <v>2225737</v>
      </c>
      <c r="N1594" s="42">
        <v>1328947</v>
      </c>
      <c r="O1594" s="42"/>
      <c r="P1594" s="42">
        <v>96095</v>
      </c>
      <c r="Q1594" s="42">
        <v>223932</v>
      </c>
      <c r="R1594" s="42">
        <v>2641772</v>
      </c>
      <c r="S1594" s="5">
        <v>117358</v>
      </c>
      <c r="T1594" s="42">
        <v>489218</v>
      </c>
    </row>
    <row r="1595" spans="1:20" x14ac:dyDescent="0.3">
      <c r="A1595" s="7">
        <v>43838</v>
      </c>
      <c r="B1595" s="38"/>
      <c r="C1595" s="6">
        <v>164342</v>
      </c>
      <c r="D1595" s="6">
        <v>201785</v>
      </c>
      <c r="E1595" s="6">
        <v>199533</v>
      </c>
      <c r="F1595" s="14">
        <v>558833</v>
      </c>
      <c r="G1595" s="6">
        <v>190739</v>
      </c>
      <c r="H1595" s="6">
        <v>56272</v>
      </c>
      <c r="I1595" s="6">
        <v>49781</v>
      </c>
      <c r="J1595" s="6">
        <v>273018</v>
      </c>
      <c r="K1595" s="6">
        <v>785123</v>
      </c>
      <c r="L1595" s="6">
        <v>234093</v>
      </c>
      <c r="M1595" s="6">
        <v>2222854</v>
      </c>
      <c r="N1595" s="42">
        <v>1328258</v>
      </c>
      <c r="O1595" s="42"/>
      <c r="P1595" s="42">
        <v>94667</v>
      </c>
      <c r="Q1595" s="42">
        <v>225917</v>
      </c>
      <c r="R1595" s="42">
        <v>2658407</v>
      </c>
      <c r="S1595" s="5">
        <v>115962</v>
      </c>
      <c r="T1595" s="42">
        <v>487595</v>
      </c>
    </row>
    <row r="1596" spans="1:20" x14ac:dyDescent="0.3">
      <c r="A1596" s="7">
        <v>43837</v>
      </c>
      <c r="B1596" s="38"/>
      <c r="C1596" s="6">
        <v>157739</v>
      </c>
      <c r="D1596" s="6">
        <v>197490</v>
      </c>
      <c r="E1596" s="6">
        <v>189996</v>
      </c>
      <c r="F1596" s="14">
        <v>555940</v>
      </c>
      <c r="G1596" s="6">
        <v>162094</v>
      </c>
      <c r="H1596" s="6">
        <v>50802</v>
      </c>
      <c r="I1596" s="6">
        <v>49365</v>
      </c>
      <c r="J1596" s="6">
        <v>270889</v>
      </c>
      <c r="K1596" s="6">
        <v>785857</v>
      </c>
      <c r="L1596" s="6">
        <v>234324</v>
      </c>
      <c r="M1596" s="6">
        <v>2244930</v>
      </c>
      <c r="N1596" s="42">
        <v>1310304</v>
      </c>
      <c r="O1596" s="42"/>
      <c r="P1596" s="42">
        <v>93683</v>
      </c>
      <c r="Q1596" s="42">
        <v>224625</v>
      </c>
      <c r="R1596" s="42">
        <v>2639816</v>
      </c>
      <c r="S1596" s="5">
        <v>104170</v>
      </c>
      <c r="T1596" s="42">
        <v>487072</v>
      </c>
    </row>
    <row r="1597" spans="1:20" x14ac:dyDescent="0.3">
      <c r="A1597" s="7">
        <v>43836</v>
      </c>
      <c r="B1597" s="38"/>
      <c r="C1597" s="6">
        <v>157914</v>
      </c>
      <c r="D1597" s="6">
        <v>203353</v>
      </c>
      <c r="E1597" s="6">
        <v>189836</v>
      </c>
      <c r="F1597" s="14">
        <v>556170</v>
      </c>
      <c r="G1597" s="6">
        <v>162367</v>
      </c>
      <c r="H1597" s="6">
        <v>49235</v>
      </c>
      <c r="I1597" s="6">
        <v>50746</v>
      </c>
      <c r="J1597" s="6">
        <v>266789</v>
      </c>
      <c r="K1597" s="6">
        <v>791081</v>
      </c>
      <c r="L1597" s="6">
        <v>233598</v>
      </c>
      <c r="M1597" s="6">
        <v>2219387</v>
      </c>
      <c r="N1597" s="42">
        <v>1314144</v>
      </c>
      <c r="O1597" s="42"/>
      <c r="P1597" s="42">
        <v>94720</v>
      </c>
      <c r="Q1597" s="42">
        <v>226149</v>
      </c>
      <c r="R1597" s="42">
        <v>2623308</v>
      </c>
      <c r="S1597" s="5">
        <v>117028</v>
      </c>
      <c r="T1597" s="42">
        <v>488563</v>
      </c>
    </row>
    <row r="1598" spans="1:20" x14ac:dyDescent="0.3">
      <c r="A1598" s="7">
        <v>43833</v>
      </c>
      <c r="B1598" s="38"/>
      <c r="C1598" s="6">
        <v>159785</v>
      </c>
      <c r="D1598" s="6">
        <v>203314</v>
      </c>
      <c r="E1598" s="6">
        <v>182546</v>
      </c>
      <c r="F1598" s="14">
        <v>551151</v>
      </c>
      <c r="G1598" s="6">
        <v>163244</v>
      </c>
      <c r="H1598" s="6">
        <v>46612</v>
      </c>
      <c r="I1598" s="6">
        <v>50935</v>
      </c>
      <c r="J1598" s="6">
        <v>265198</v>
      </c>
      <c r="K1598" s="6">
        <v>797110</v>
      </c>
      <c r="L1598" s="6">
        <v>233728</v>
      </c>
      <c r="M1598" s="6">
        <v>2203420</v>
      </c>
      <c r="N1598" s="42">
        <v>1317322</v>
      </c>
      <c r="O1598" s="42"/>
      <c r="P1598" s="42">
        <v>95071</v>
      </c>
      <c r="Q1598" s="42">
        <v>224324</v>
      </c>
      <c r="R1598" s="42">
        <v>2623108</v>
      </c>
      <c r="S1598" s="5">
        <v>122720</v>
      </c>
      <c r="T1598" s="42">
        <v>486905</v>
      </c>
    </row>
    <row r="1599" spans="1:20" x14ac:dyDescent="0.3">
      <c r="A1599" s="7">
        <v>43832</v>
      </c>
      <c r="B1599" s="38"/>
      <c r="C1599" s="6">
        <v>161214</v>
      </c>
      <c r="D1599" s="6">
        <v>203121</v>
      </c>
      <c r="E1599" s="6">
        <v>181240</v>
      </c>
      <c r="F1599" s="14">
        <v>555585</v>
      </c>
      <c r="G1599" s="6">
        <v>169075</v>
      </c>
      <c r="H1599" s="6">
        <v>47653</v>
      </c>
      <c r="I1599" s="6">
        <v>55301</v>
      </c>
      <c r="J1599" s="6">
        <v>267587</v>
      </c>
      <c r="K1599" s="6">
        <v>786749</v>
      </c>
      <c r="L1599" s="6">
        <v>231255</v>
      </c>
      <c r="M1599" s="6">
        <v>2152813</v>
      </c>
      <c r="N1599" s="42">
        <v>1296993</v>
      </c>
      <c r="O1599" s="42"/>
      <c r="P1599" s="42">
        <v>97176</v>
      </c>
      <c r="Q1599" s="42">
        <v>225543</v>
      </c>
      <c r="R1599" s="42">
        <v>2650012</v>
      </c>
      <c r="S1599" s="5">
        <v>112685</v>
      </c>
      <c r="T1599" s="42">
        <v>484305</v>
      </c>
    </row>
    <row r="1600" spans="1:20" x14ac:dyDescent="0.3">
      <c r="A1600" s="7">
        <v>43830</v>
      </c>
      <c r="B1600" s="38"/>
      <c r="C1600" s="6">
        <v>164305</v>
      </c>
      <c r="D1600" s="6">
        <v>206784</v>
      </c>
      <c r="E1600" s="6">
        <v>175666</v>
      </c>
      <c r="F1600" s="14">
        <v>557585</v>
      </c>
      <c r="G1600" s="6">
        <v>174966</v>
      </c>
      <c r="H1600" s="6">
        <v>48744</v>
      </c>
      <c r="I1600" s="6">
        <v>55514</v>
      </c>
      <c r="J1600" s="6">
        <v>266891</v>
      </c>
      <c r="K1600" s="6">
        <v>786166</v>
      </c>
      <c r="L1600" s="6">
        <v>229680</v>
      </c>
      <c r="M1600" s="6">
        <v>2145567</v>
      </c>
      <c r="N1600" s="42">
        <v>1312569</v>
      </c>
      <c r="O1600" s="42"/>
      <c r="P1600" s="42">
        <v>98090</v>
      </c>
      <c r="Q1600" s="42">
        <v>220625</v>
      </c>
      <c r="R1600" s="42">
        <v>2643906</v>
      </c>
      <c r="S1600" s="5">
        <v>109198</v>
      </c>
      <c r="T1600" s="42">
        <v>485652</v>
      </c>
    </row>
    <row r="1601" spans="1:20" x14ac:dyDescent="0.3">
      <c r="A1601" s="7">
        <v>43829</v>
      </c>
      <c r="B1601" s="38"/>
      <c r="C1601" s="6">
        <v>169552</v>
      </c>
      <c r="D1601" s="6">
        <v>213129</v>
      </c>
      <c r="E1601" s="6">
        <v>172205</v>
      </c>
      <c r="F1601" s="14">
        <v>556590</v>
      </c>
      <c r="G1601" s="6">
        <v>176283</v>
      </c>
      <c r="H1601" s="6">
        <v>49813</v>
      </c>
      <c r="I1601" s="6">
        <v>58931</v>
      </c>
      <c r="J1601" s="6">
        <v>268988</v>
      </c>
      <c r="K1601" s="6">
        <v>772096</v>
      </c>
      <c r="L1601" s="6">
        <v>226836</v>
      </c>
      <c r="M1601" s="6">
        <v>2133560</v>
      </c>
      <c r="N1601" s="42">
        <v>1311815</v>
      </c>
      <c r="O1601" s="42"/>
      <c r="P1601" s="42">
        <v>97782</v>
      </c>
      <c r="Q1601" s="42">
        <v>216097</v>
      </c>
      <c r="R1601" s="42">
        <v>2641285</v>
      </c>
      <c r="S1601" s="5">
        <v>109871</v>
      </c>
      <c r="T1601" s="42">
        <v>487645</v>
      </c>
    </row>
    <row r="1602" spans="1:20" x14ac:dyDescent="0.3">
      <c r="A1602" s="7">
        <v>43826</v>
      </c>
      <c r="B1602" s="38"/>
      <c r="C1602" s="6">
        <v>165399</v>
      </c>
      <c r="D1602" s="6">
        <v>210129</v>
      </c>
      <c r="E1602" s="6">
        <v>167693</v>
      </c>
      <c r="F1602" s="14">
        <v>551000</v>
      </c>
      <c r="G1602" s="6">
        <v>175780</v>
      </c>
      <c r="H1602" s="6">
        <v>45399</v>
      </c>
      <c r="I1602" s="6">
        <v>59963</v>
      </c>
      <c r="J1602" s="6">
        <v>268564</v>
      </c>
      <c r="K1602" s="6">
        <v>765653</v>
      </c>
      <c r="L1602" s="6">
        <v>225753</v>
      </c>
      <c r="M1602" s="6">
        <v>2125892</v>
      </c>
      <c r="N1602" s="42">
        <v>1311983</v>
      </c>
      <c r="O1602" s="42"/>
      <c r="P1602" s="42">
        <v>94390</v>
      </c>
      <c r="Q1602" s="42">
        <v>212772</v>
      </c>
      <c r="R1602" s="42">
        <v>2653847</v>
      </c>
      <c r="S1602" s="5">
        <v>113510</v>
      </c>
      <c r="T1602" s="42">
        <v>484506</v>
      </c>
    </row>
    <row r="1603" spans="1:20" x14ac:dyDescent="0.3">
      <c r="A1603" s="7">
        <v>43825</v>
      </c>
      <c r="B1603" s="38"/>
      <c r="C1603" s="6">
        <v>158717</v>
      </c>
      <c r="D1603" s="6">
        <v>207193</v>
      </c>
      <c r="E1603" s="6">
        <v>164075</v>
      </c>
      <c r="F1603" s="14">
        <v>542023</v>
      </c>
      <c r="G1603" s="6">
        <v>177501</v>
      </c>
      <c r="H1603" s="6">
        <v>47401</v>
      </c>
      <c r="I1603" s="6">
        <v>59654</v>
      </c>
      <c r="J1603" s="6">
        <v>267571</v>
      </c>
      <c r="K1603" s="6">
        <v>755571</v>
      </c>
      <c r="L1603" s="6">
        <v>225666</v>
      </c>
      <c r="M1603" s="6">
        <v>2125595</v>
      </c>
      <c r="N1603" s="42">
        <v>1308404</v>
      </c>
      <c r="O1603" s="42"/>
      <c r="P1603" s="42">
        <v>93691</v>
      </c>
      <c r="Q1603" s="42">
        <v>213986</v>
      </c>
      <c r="R1603" s="42">
        <v>2642699</v>
      </c>
      <c r="S1603" s="5">
        <v>98456</v>
      </c>
      <c r="T1603" s="42">
        <v>479124</v>
      </c>
    </row>
    <row r="1604" spans="1:20" x14ac:dyDescent="0.3">
      <c r="A1604" s="7">
        <v>43823</v>
      </c>
      <c r="B1604" s="38"/>
      <c r="C1604" s="6">
        <v>155810</v>
      </c>
      <c r="D1604" s="6">
        <v>206283</v>
      </c>
      <c r="E1604" s="6">
        <v>158666</v>
      </c>
      <c r="F1604" s="14">
        <v>540395</v>
      </c>
      <c r="G1604" s="6">
        <v>173142</v>
      </c>
      <c r="H1604" s="6">
        <v>46630</v>
      </c>
      <c r="I1604" s="6">
        <v>60450</v>
      </c>
      <c r="J1604" s="6">
        <v>263899</v>
      </c>
      <c r="K1604" s="6">
        <v>748737</v>
      </c>
      <c r="L1604" s="6">
        <v>223046</v>
      </c>
      <c r="M1604" s="6">
        <v>2114661</v>
      </c>
      <c r="N1604" s="42">
        <v>1290041</v>
      </c>
      <c r="O1604" s="42"/>
      <c r="P1604" s="42">
        <v>88509</v>
      </c>
      <c r="Q1604" s="42">
        <v>211233</v>
      </c>
      <c r="R1604" s="42">
        <v>2627180</v>
      </c>
      <c r="S1604" s="5">
        <v>107616</v>
      </c>
      <c r="T1604" s="42">
        <v>477320</v>
      </c>
    </row>
    <row r="1605" spans="1:20" x14ac:dyDescent="0.3">
      <c r="A1605" s="7">
        <v>43822</v>
      </c>
      <c r="B1605" s="38"/>
      <c r="C1605" s="6">
        <v>156366</v>
      </c>
      <c r="D1605" s="6">
        <v>207172</v>
      </c>
      <c r="E1605" s="6">
        <v>157496</v>
      </c>
      <c r="F1605" s="14">
        <v>537886</v>
      </c>
      <c r="G1605" s="6">
        <v>173059</v>
      </c>
      <c r="H1605" s="6">
        <v>45808</v>
      </c>
      <c r="I1605" s="6">
        <v>60271</v>
      </c>
      <c r="J1605" s="6">
        <v>263381</v>
      </c>
      <c r="K1605" s="6">
        <v>734030</v>
      </c>
      <c r="L1605" s="6">
        <v>216787</v>
      </c>
      <c r="M1605" s="6">
        <v>2110324</v>
      </c>
      <c r="N1605" s="42">
        <v>1288910</v>
      </c>
      <c r="O1605" s="42"/>
      <c r="P1605" s="42">
        <v>82143</v>
      </c>
      <c r="Q1605" s="42">
        <v>213689</v>
      </c>
      <c r="R1605" s="42">
        <v>2621487</v>
      </c>
      <c r="S1605" s="5">
        <v>106492</v>
      </c>
      <c r="T1605" s="42">
        <v>477166</v>
      </c>
    </row>
    <row r="1606" spans="1:20" x14ac:dyDescent="0.3">
      <c r="A1606" s="7">
        <v>43819</v>
      </c>
      <c r="B1606" s="38"/>
      <c r="C1606" s="6">
        <v>154648</v>
      </c>
      <c r="D1606" s="6">
        <v>207306</v>
      </c>
      <c r="E1606" s="6">
        <v>158373</v>
      </c>
      <c r="F1606" s="14">
        <v>537866</v>
      </c>
      <c r="G1606" s="6">
        <v>176096</v>
      </c>
      <c r="H1606" s="6">
        <v>45017</v>
      </c>
      <c r="I1606" s="6">
        <v>58567</v>
      </c>
      <c r="J1606" s="6">
        <v>261752</v>
      </c>
      <c r="K1606" s="6">
        <v>726533</v>
      </c>
      <c r="L1606" s="6">
        <v>210977</v>
      </c>
      <c r="M1606" s="6">
        <v>2116708</v>
      </c>
      <c r="N1606" s="42">
        <v>1294467</v>
      </c>
      <c r="O1606" s="42"/>
      <c r="P1606" s="42">
        <v>81302</v>
      </c>
      <c r="Q1606" s="42">
        <v>210823</v>
      </c>
      <c r="R1606" s="42">
        <v>2566398</v>
      </c>
      <c r="S1606" s="5">
        <v>105236</v>
      </c>
      <c r="T1606" s="42">
        <v>564730</v>
      </c>
    </row>
    <row r="1607" spans="1:20" x14ac:dyDescent="0.3">
      <c r="A1607" s="7">
        <v>43818</v>
      </c>
      <c r="B1607" s="38"/>
      <c r="C1607" s="6">
        <v>155879</v>
      </c>
      <c r="D1607" s="6">
        <v>206867</v>
      </c>
      <c r="E1607" s="6">
        <v>156644</v>
      </c>
      <c r="F1607" s="14">
        <v>537698</v>
      </c>
      <c r="G1607" s="6">
        <v>175622</v>
      </c>
      <c r="H1607" s="6">
        <v>43086</v>
      </c>
      <c r="I1607" s="6">
        <v>59161</v>
      </c>
      <c r="J1607" s="6">
        <v>263223</v>
      </c>
      <c r="K1607" s="6">
        <v>728368</v>
      </c>
      <c r="L1607" s="6">
        <v>208956</v>
      </c>
      <c r="M1607" s="6">
        <v>2155876</v>
      </c>
      <c r="N1607" s="42">
        <v>1308077</v>
      </c>
      <c r="O1607" s="42"/>
      <c r="P1607" s="42">
        <v>81054</v>
      </c>
      <c r="Q1607" s="42">
        <v>210728</v>
      </c>
      <c r="R1607" s="42">
        <v>2565614</v>
      </c>
      <c r="S1607" s="5">
        <v>110910</v>
      </c>
      <c r="T1607" s="42">
        <v>563794</v>
      </c>
    </row>
    <row r="1608" spans="1:20" x14ac:dyDescent="0.3">
      <c r="A1608" s="7">
        <v>43817</v>
      </c>
      <c r="B1608" s="38"/>
      <c r="C1608" s="6">
        <v>151732</v>
      </c>
      <c r="D1608" s="6">
        <v>203444</v>
      </c>
      <c r="E1608" s="6">
        <v>154483</v>
      </c>
      <c r="F1608" s="14">
        <v>539844</v>
      </c>
      <c r="G1608" s="6">
        <v>177178</v>
      </c>
      <c r="H1608" s="6">
        <v>43742</v>
      </c>
      <c r="I1608" s="6">
        <v>60323</v>
      </c>
      <c r="J1608" s="6">
        <v>261268</v>
      </c>
      <c r="K1608" s="6">
        <v>717534</v>
      </c>
      <c r="L1608" s="6">
        <v>207602</v>
      </c>
      <c r="M1608" s="6">
        <v>2150000</v>
      </c>
      <c r="N1608" s="42">
        <v>1321814</v>
      </c>
      <c r="O1608" s="42"/>
      <c r="P1608" s="42">
        <v>83077</v>
      </c>
      <c r="Q1608" s="42">
        <v>209586</v>
      </c>
      <c r="R1608" s="42">
        <v>2579032</v>
      </c>
      <c r="S1608" s="5">
        <v>107745</v>
      </c>
      <c r="T1608" s="42">
        <v>543036</v>
      </c>
    </row>
    <row r="1609" spans="1:20" x14ac:dyDescent="0.3">
      <c r="A1609" s="7">
        <v>43816</v>
      </c>
      <c r="B1609" s="38"/>
      <c r="C1609" s="6">
        <v>192710</v>
      </c>
      <c r="D1609" s="6">
        <v>284468</v>
      </c>
      <c r="E1609" s="6">
        <v>189458</v>
      </c>
      <c r="F1609" s="14">
        <v>585602</v>
      </c>
      <c r="G1609" s="6">
        <v>202460</v>
      </c>
      <c r="H1609" s="6">
        <v>67378</v>
      </c>
      <c r="I1609" s="6">
        <v>80474</v>
      </c>
      <c r="J1609" s="6">
        <v>259207</v>
      </c>
      <c r="K1609" s="6">
        <v>716987</v>
      </c>
      <c r="L1609" s="6">
        <v>206302</v>
      </c>
      <c r="M1609" s="6">
        <v>2166584</v>
      </c>
      <c r="N1609" s="42">
        <v>1316285</v>
      </c>
      <c r="O1609" s="42"/>
      <c r="P1609" s="42">
        <v>85728</v>
      </c>
      <c r="Q1609" s="42">
        <v>210083</v>
      </c>
      <c r="R1609" s="42">
        <v>2585645</v>
      </c>
      <c r="S1609" s="5">
        <v>108664</v>
      </c>
      <c r="T1609" s="42">
        <v>541935</v>
      </c>
    </row>
    <row r="1610" spans="1:20" x14ac:dyDescent="0.3">
      <c r="A1610" s="7">
        <v>43815</v>
      </c>
      <c r="B1610" s="38"/>
      <c r="C1610" s="6">
        <v>192874</v>
      </c>
      <c r="D1610" s="6">
        <v>278609</v>
      </c>
      <c r="E1610" s="6">
        <v>190266</v>
      </c>
      <c r="F1610" s="14">
        <v>586897</v>
      </c>
      <c r="G1610" s="6">
        <v>200279</v>
      </c>
      <c r="H1610" s="6">
        <v>68072</v>
      </c>
      <c r="I1610" s="6">
        <v>81007</v>
      </c>
      <c r="J1610" s="6">
        <v>256541</v>
      </c>
      <c r="K1610" s="6">
        <v>711378</v>
      </c>
      <c r="L1610" s="6">
        <v>205803</v>
      </c>
      <c r="M1610" s="6">
        <v>2147533</v>
      </c>
      <c r="N1610" s="42">
        <v>1304900</v>
      </c>
      <c r="O1610" s="42"/>
      <c r="P1610" s="42">
        <v>85063</v>
      </c>
      <c r="Q1610" s="42">
        <v>209069</v>
      </c>
      <c r="R1610" s="42">
        <v>2545506</v>
      </c>
      <c r="S1610" s="5">
        <v>112726</v>
      </c>
      <c r="T1610" s="42">
        <v>536718</v>
      </c>
    </row>
    <row r="1611" spans="1:20" x14ac:dyDescent="0.3">
      <c r="A1611" s="7">
        <v>43812</v>
      </c>
      <c r="B1611" s="38"/>
      <c r="C1611" s="6">
        <v>191373</v>
      </c>
      <c r="D1611" s="6">
        <v>276240</v>
      </c>
      <c r="E1611" s="6">
        <v>186611</v>
      </c>
      <c r="F1611" s="14">
        <v>581063</v>
      </c>
      <c r="G1611" s="6">
        <v>199853</v>
      </c>
      <c r="H1611" s="6">
        <v>68445</v>
      </c>
      <c r="I1611" s="6">
        <v>81673</v>
      </c>
      <c r="J1611" s="6">
        <v>252650</v>
      </c>
      <c r="K1611" s="6">
        <v>711754</v>
      </c>
      <c r="L1611" s="6">
        <v>203880</v>
      </c>
      <c r="M1611" s="6">
        <v>2177380</v>
      </c>
      <c r="N1611" s="42">
        <v>1295067</v>
      </c>
      <c r="O1611" s="42"/>
      <c r="P1611" s="42">
        <v>82913</v>
      </c>
      <c r="Q1611" s="42">
        <v>210783</v>
      </c>
      <c r="R1611" s="42">
        <v>2530867</v>
      </c>
      <c r="S1611" s="5">
        <v>119679</v>
      </c>
      <c r="T1611" s="42">
        <v>534429</v>
      </c>
    </row>
    <row r="1612" spans="1:20" x14ac:dyDescent="0.3">
      <c r="A1612" s="7">
        <v>43811</v>
      </c>
      <c r="B1612" s="38"/>
      <c r="C1612" s="6">
        <v>193869</v>
      </c>
      <c r="D1612" s="6">
        <v>274700</v>
      </c>
      <c r="E1612" s="6">
        <v>184250</v>
      </c>
      <c r="F1612" s="14">
        <v>570083</v>
      </c>
      <c r="G1612" s="6">
        <v>202448</v>
      </c>
      <c r="H1612" s="6">
        <v>69635</v>
      </c>
      <c r="I1612" s="6">
        <v>82252</v>
      </c>
      <c r="J1612" s="6">
        <v>245465</v>
      </c>
      <c r="K1612" s="6">
        <v>702900</v>
      </c>
      <c r="L1612" s="6">
        <v>204359</v>
      </c>
      <c r="M1612" s="6">
        <v>2205273</v>
      </c>
      <c r="N1612" s="42">
        <v>1291955</v>
      </c>
      <c r="O1612" s="42"/>
      <c r="P1612" s="42">
        <v>85322</v>
      </c>
      <c r="Q1612" s="42">
        <v>212158</v>
      </c>
      <c r="R1612" s="42">
        <v>2479713</v>
      </c>
      <c r="S1612" s="5">
        <v>119477</v>
      </c>
      <c r="T1612" s="42">
        <v>518993</v>
      </c>
    </row>
    <row r="1613" spans="1:20" x14ac:dyDescent="0.3">
      <c r="A1613" s="7">
        <v>43810</v>
      </c>
      <c r="B1613" s="38"/>
      <c r="C1613" s="6">
        <v>199876</v>
      </c>
      <c r="D1613" s="6">
        <v>269472</v>
      </c>
      <c r="E1613" s="6">
        <v>176922</v>
      </c>
      <c r="F1613" s="14">
        <v>603869</v>
      </c>
      <c r="G1613" s="6">
        <v>197699</v>
      </c>
      <c r="H1613" s="6">
        <v>67370</v>
      </c>
      <c r="I1613" s="6">
        <v>77014</v>
      </c>
      <c r="J1613" s="6">
        <v>239285</v>
      </c>
      <c r="K1613" s="6">
        <v>700866</v>
      </c>
      <c r="L1613" s="6">
        <v>203872</v>
      </c>
      <c r="M1613" s="6">
        <v>2194891</v>
      </c>
      <c r="N1613" s="42">
        <v>1289412</v>
      </c>
      <c r="O1613" s="42"/>
      <c r="P1613" s="42">
        <v>86040</v>
      </c>
      <c r="Q1613" s="42">
        <v>214283</v>
      </c>
      <c r="R1613" s="42">
        <v>2475300</v>
      </c>
      <c r="S1613" s="5">
        <v>118300</v>
      </c>
      <c r="T1613" s="42">
        <v>505501</v>
      </c>
    </row>
    <row r="1614" spans="1:20" x14ac:dyDescent="0.3">
      <c r="A1614" s="7">
        <v>43809</v>
      </c>
      <c r="B1614" s="38"/>
      <c r="C1614" s="6">
        <v>181496</v>
      </c>
      <c r="D1614" s="6">
        <v>256553</v>
      </c>
      <c r="E1614" s="6">
        <v>169219</v>
      </c>
      <c r="F1614" s="14">
        <v>646417</v>
      </c>
      <c r="G1614" s="6">
        <v>198700</v>
      </c>
      <c r="H1614" s="6">
        <v>75194</v>
      </c>
      <c r="I1614" s="6">
        <v>75650</v>
      </c>
      <c r="J1614" s="6">
        <v>226987</v>
      </c>
      <c r="K1614" s="6">
        <v>690003</v>
      </c>
      <c r="L1614" s="6">
        <v>202258</v>
      </c>
      <c r="M1614" s="6">
        <v>2229813</v>
      </c>
      <c r="N1614" s="42">
        <v>1285756</v>
      </c>
      <c r="O1614" s="42"/>
      <c r="P1614" s="42">
        <v>82780</v>
      </c>
      <c r="Q1614" s="42">
        <v>214316</v>
      </c>
      <c r="R1614" s="42">
        <v>2485003</v>
      </c>
      <c r="S1614" s="5">
        <v>123753</v>
      </c>
      <c r="T1614" s="42">
        <v>500868</v>
      </c>
    </row>
    <row r="1615" spans="1:20" x14ac:dyDescent="0.3">
      <c r="A1615" s="7">
        <v>43808</v>
      </c>
      <c r="B1615" s="38"/>
      <c r="C1615" s="6">
        <v>181067</v>
      </c>
      <c r="D1615" s="6">
        <v>245760</v>
      </c>
      <c r="E1615" s="6">
        <v>173199</v>
      </c>
      <c r="F1615" s="14">
        <v>666250</v>
      </c>
      <c r="G1615" s="6">
        <v>200349</v>
      </c>
      <c r="H1615" s="6">
        <v>75758</v>
      </c>
      <c r="I1615" s="6">
        <v>74745</v>
      </c>
      <c r="J1615" s="6">
        <v>220852</v>
      </c>
      <c r="K1615" s="6">
        <v>690989</v>
      </c>
      <c r="L1615" s="6">
        <v>204067</v>
      </c>
      <c r="M1615" s="6">
        <v>2236862</v>
      </c>
      <c r="N1615" s="42">
        <v>1292785</v>
      </c>
      <c r="O1615" s="42"/>
      <c r="P1615" s="42">
        <v>82649</v>
      </c>
      <c r="Q1615" s="42">
        <v>216956</v>
      </c>
      <c r="R1615" s="42">
        <v>2467541</v>
      </c>
      <c r="S1615" s="5">
        <v>117199</v>
      </c>
      <c r="T1615" s="42">
        <v>493979</v>
      </c>
    </row>
    <row r="1616" spans="1:20" x14ac:dyDescent="0.3">
      <c r="A1616" s="7">
        <v>43805</v>
      </c>
      <c r="B1616" s="38"/>
      <c r="C1616" s="6">
        <v>185754</v>
      </c>
      <c r="D1616" s="6">
        <v>249399</v>
      </c>
      <c r="E1616" s="6">
        <v>172797</v>
      </c>
      <c r="F1616" s="14">
        <v>633735</v>
      </c>
      <c r="G1616" s="6">
        <v>201310</v>
      </c>
      <c r="H1616" s="6">
        <v>76213</v>
      </c>
      <c r="I1616" s="6">
        <v>73816</v>
      </c>
      <c r="J1616" s="6">
        <v>212954</v>
      </c>
      <c r="K1616" s="6">
        <v>693117</v>
      </c>
      <c r="L1616" s="6">
        <v>206533</v>
      </c>
      <c r="M1616" s="6">
        <v>2233884</v>
      </c>
      <c r="N1616" s="42">
        <v>1313628</v>
      </c>
      <c r="O1616" s="42"/>
      <c r="P1616" s="42">
        <v>78326</v>
      </c>
      <c r="Q1616" s="42">
        <v>207372</v>
      </c>
      <c r="R1616" s="42">
        <v>2473048</v>
      </c>
      <c r="S1616">
        <v>0</v>
      </c>
      <c r="T1616" s="42">
        <v>492180</v>
      </c>
    </row>
    <row r="1617" spans="1:20" x14ac:dyDescent="0.3">
      <c r="A1617" s="7">
        <v>43804</v>
      </c>
      <c r="B1617" s="38"/>
      <c r="C1617" s="6">
        <v>183104</v>
      </c>
      <c r="D1617" s="6">
        <v>251730</v>
      </c>
      <c r="E1617" s="6">
        <v>179070</v>
      </c>
      <c r="F1617" s="14">
        <v>620481</v>
      </c>
      <c r="G1617" s="6">
        <v>211052</v>
      </c>
      <c r="H1617" s="6">
        <v>76322</v>
      </c>
      <c r="I1617" s="6">
        <v>74116</v>
      </c>
      <c r="J1617" s="6">
        <v>206085</v>
      </c>
      <c r="K1617" s="6">
        <v>700602</v>
      </c>
      <c r="L1617" s="6">
        <v>204953</v>
      </c>
      <c r="M1617" s="6">
        <v>2209751</v>
      </c>
      <c r="N1617" s="42">
        <v>1322392</v>
      </c>
      <c r="O1617" s="42"/>
      <c r="P1617" s="42">
        <v>91741</v>
      </c>
      <c r="Q1617" s="42">
        <v>256989</v>
      </c>
      <c r="R1617" s="42">
        <v>3053677</v>
      </c>
      <c r="S1617" s="5">
        <v>84574</v>
      </c>
      <c r="T1617" s="42">
        <v>485332</v>
      </c>
    </row>
    <row r="1618" spans="1:20" x14ac:dyDescent="0.3">
      <c r="A1618" s="7">
        <v>43803</v>
      </c>
      <c r="B1618" s="38"/>
      <c r="C1618" s="6">
        <v>178595</v>
      </c>
      <c r="D1618" s="6">
        <v>244928</v>
      </c>
      <c r="E1618" s="6">
        <v>177395</v>
      </c>
      <c r="F1618" s="14">
        <v>608194</v>
      </c>
      <c r="G1618" s="6">
        <v>209677</v>
      </c>
      <c r="H1618" s="6">
        <v>70787</v>
      </c>
      <c r="I1618" s="6">
        <v>75254</v>
      </c>
      <c r="J1618" s="6">
        <v>208996</v>
      </c>
      <c r="K1618" s="6">
        <v>699078</v>
      </c>
      <c r="L1618" s="6">
        <v>208269</v>
      </c>
      <c r="M1618" s="6">
        <v>2192511</v>
      </c>
      <c r="N1618" s="42">
        <v>1328737</v>
      </c>
      <c r="O1618" s="42"/>
      <c r="P1618" s="42">
        <v>87168</v>
      </c>
      <c r="Q1618" s="42">
        <v>252874</v>
      </c>
      <c r="R1618" s="42">
        <v>3019354</v>
      </c>
      <c r="S1618" s="5">
        <v>106361</v>
      </c>
      <c r="T1618" s="42">
        <v>477145</v>
      </c>
    </row>
    <row r="1619" spans="1:20" x14ac:dyDescent="0.3">
      <c r="A1619" s="7">
        <v>43802</v>
      </c>
      <c r="B1619" s="38"/>
      <c r="C1619" s="6">
        <v>185828</v>
      </c>
      <c r="D1619" s="6">
        <v>236714</v>
      </c>
      <c r="E1619" s="6">
        <v>184060</v>
      </c>
      <c r="F1619" s="14">
        <v>590124</v>
      </c>
      <c r="G1619" s="6">
        <v>214223</v>
      </c>
      <c r="H1619" s="6">
        <v>71895</v>
      </c>
      <c r="I1619" s="6">
        <v>79183</v>
      </c>
      <c r="J1619" s="6">
        <v>215424</v>
      </c>
      <c r="K1619" s="6">
        <v>701016</v>
      </c>
      <c r="L1619" s="6">
        <v>205807</v>
      </c>
      <c r="M1619" s="6">
        <v>2163757</v>
      </c>
      <c r="N1619" s="42">
        <v>1330519</v>
      </c>
      <c r="O1619" s="42"/>
      <c r="P1619" s="42">
        <v>87564</v>
      </c>
      <c r="Q1619" s="42">
        <v>243977</v>
      </c>
      <c r="R1619" s="42">
        <v>3019335</v>
      </c>
      <c r="S1619" s="5">
        <v>101774</v>
      </c>
      <c r="T1619" s="42">
        <v>478609</v>
      </c>
    </row>
    <row r="1620" spans="1:20" x14ac:dyDescent="0.3">
      <c r="A1620" s="7">
        <v>43801</v>
      </c>
      <c r="B1620" s="38"/>
      <c r="C1620" s="6">
        <v>190658</v>
      </c>
      <c r="D1620" s="6">
        <v>224929</v>
      </c>
      <c r="E1620" s="6">
        <v>185970</v>
      </c>
      <c r="F1620" s="14">
        <v>591459</v>
      </c>
      <c r="G1620" s="6">
        <v>215558</v>
      </c>
      <c r="H1620" s="6">
        <v>72649</v>
      </c>
      <c r="I1620" s="6">
        <v>81507</v>
      </c>
      <c r="J1620" s="6">
        <v>213150</v>
      </c>
      <c r="K1620" s="6">
        <v>672182</v>
      </c>
      <c r="L1620" s="6">
        <v>203309</v>
      </c>
      <c r="M1620" s="6">
        <v>2173009</v>
      </c>
      <c r="N1620" s="42">
        <v>1337961</v>
      </c>
      <c r="O1620" s="42"/>
      <c r="P1620" s="42">
        <v>87590</v>
      </c>
      <c r="Q1620" s="42">
        <v>247705</v>
      </c>
      <c r="R1620" s="42">
        <v>3066008</v>
      </c>
      <c r="S1620" s="5">
        <v>0</v>
      </c>
      <c r="T1620" s="42">
        <v>478223</v>
      </c>
    </row>
    <row r="1621" spans="1:20" x14ac:dyDescent="0.3">
      <c r="A1621" s="7">
        <v>43798</v>
      </c>
      <c r="B1621" s="38"/>
      <c r="C1621" s="6">
        <v>195887</v>
      </c>
      <c r="D1621" s="6">
        <v>226931</v>
      </c>
      <c r="E1621" s="6">
        <v>185592</v>
      </c>
      <c r="F1621" s="14">
        <v>583293</v>
      </c>
      <c r="G1621" s="6">
        <v>218885</v>
      </c>
      <c r="H1621" s="6">
        <v>73524</v>
      </c>
      <c r="I1621" s="6">
        <v>83410</v>
      </c>
      <c r="J1621" s="6">
        <v>209490</v>
      </c>
      <c r="K1621" s="6">
        <v>674822</v>
      </c>
      <c r="L1621" s="6">
        <v>204547</v>
      </c>
      <c r="M1621" s="6">
        <v>2190986</v>
      </c>
      <c r="N1621" s="42">
        <v>1328581</v>
      </c>
      <c r="O1621" s="42"/>
      <c r="P1621" s="42">
        <v>81544</v>
      </c>
      <c r="Q1621" s="42">
        <v>230951</v>
      </c>
      <c r="R1621" s="42">
        <v>2991244</v>
      </c>
      <c r="S1621" s="5">
        <v>0</v>
      </c>
      <c r="T1621" s="42">
        <v>479678</v>
      </c>
    </row>
    <row r="1622" spans="1:20" x14ac:dyDescent="0.3">
      <c r="A1622" s="7">
        <v>43796</v>
      </c>
      <c r="B1622" s="38"/>
      <c r="C1622" s="6">
        <v>188043</v>
      </c>
      <c r="D1622" s="6">
        <v>224885</v>
      </c>
      <c r="E1622" s="6">
        <v>181150</v>
      </c>
      <c r="F1622" s="14">
        <v>582395</v>
      </c>
      <c r="G1622" s="6">
        <v>212977</v>
      </c>
      <c r="H1622" s="6">
        <v>72611</v>
      </c>
      <c r="I1622" s="6">
        <v>80768</v>
      </c>
      <c r="J1622" s="6">
        <v>210730</v>
      </c>
      <c r="K1622" s="6">
        <v>669388</v>
      </c>
      <c r="L1622" s="6">
        <v>206427</v>
      </c>
      <c r="M1622" s="6">
        <v>2196244</v>
      </c>
      <c r="N1622" s="42">
        <v>1328776</v>
      </c>
      <c r="O1622" s="42"/>
      <c r="P1622" s="42">
        <v>84556</v>
      </c>
      <c r="Q1622" s="42">
        <v>225146</v>
      </c>
      <c r="R1622" s="42">
        <v>2920521</v>
      </c>
      <c r="S1622" s="5">
        <v>83753</v>
      </c>
      <c r="T1622" s="42">
        <v>486072</v>
      </c>
    </row>
    <row r="1623" spans="1:20" x14ac:dyDescent="0.3">
      <c r="A1623" s="7">
        <v>43795</v>
      </c>
      <c r="B1623" s="38"/>
      <c r="C1623" s="6">
        <v>184471</v>
      </c>
      <c r="D1623" s="6">
        <v>223181</v>
      </c>
      <c r="E1623" s="6">
        <v>167350</v>
      </c>
      <c r="F1623" s="14">
        <v>578450</v>
      </c>
      <c r="G1623" s="6">
        <v>196894</v>
      </c>
      <c r="H1623" s="6">
        <v>70840</v>
      </c>
      <c r="I1623" s="6">
        <v>77318</v>
      </c>
      <c r="J1623" s="6">
        <v>212577</v>
      </c>
      <c r="K1623" s="6">
        <v>669268</v>
      </c>
      <c r="L1623" s="6">
        <v>209603</v>
      </c>
      <c r="M1623" s="6">
        <v>2187168</v>
      </c>
      <c r="N1623" s="42">
        <v>1331683</v>
      </c>
      <c r="O1623" s="42"/>
      <c r="P1623" s="42">
        <v>78144</v>
      </c>
      <c r="Q1623" s="42">
        <v>215838</v>
      </c>
      <c r="R1623" s="42">
        <v>2819491</v>
      </c>
      <c r="S1623" s="5">
        <v>98837</v>
      </c>
      <c r="T1623" s="42">
        <v>484052</v>
      </c>
    </row>
    <row r="1624" spans="1:20" x14ac:dyDescent="0.3">
      <c r="A1624" s="7">
        <v>43794</v>
      </c>
      <c r="B1624" s="38"/>
      <c r="C1624" s="6">
        <v>185391</v>
      </c>
      <c r="D1624" s="6">
        <v>225687</v>
      </c>
      <c r="E1624" s="6">
        <v>170724</v>
      </c>
      <c r="F1624" s="14">
        <v>578748</v>
      </c>
      <c r="G1624" s="6">
        <v>194525</v>
      </c>
      <c r="H1624" s="6">
        <v>73036</v>
      </c>
      <c r="I1624" s="6">
        <v>77803</v>
      </c>
      <c r="J1624" s="6">
        <v>213847</v>
      </c>
      <c r="K1624" s="6">
        <v>661972</v>
      </c>
      <c r="L1624" s="6">
        <v>213056</v>
      </c>
      <c r="M1624" s="6">
        <v>2179500</v>
      </c>
      <c r="N1624" s="42">
        <v>1327547</v>
      </c>
      <c r="O1624" s="42"/>
      <c r="P1624" s="42">
        <v>76288</v>
      </c>
      <c r="Q1624" s="42">
        <v>216173</v>
      </c>
      <c r="R1624" s="42">
        <v>2748228</v>
      </c>
      <c r="S1624" s="5">
        <v>108532</v>
      </c>
      <c r="T1624" s="42">
        <v>489631</v>
      </c>
    </row>
    <row r="1625" spans="1:20" x14ac:dyDescent="0.3">
      <c r="A1625" s="7">
        <v>43791</v>
      </c>
      <c r="B1625" s="38"/>
      <c r="C1625" s="6">
        <v>181160</v>
      </c>
      <c r="D1625" s="6">
        <v>222065</v>
      </c>
      <c r="E1625" s="6">
        <v>169461</v>
      </c>
      <c r="F1625" s="14">
        <v>580744</v>
      </c>
      <c r="G1625" s="6">
        <v>187099</v>
      </c>
      <c r="H1625" s="6">
        <v>73016</v>
      </c>
      <c r="I1625" s="6">
        <v>76320</v>
      </c>
      <c r="J1625" s="6">
        <v>219968</v>
      </c>
      <c r="K1625" s="6">
        <v>692465</v>
      </c>
      <c r="L1625" s="6">
        <v>223779</v>
      </c>
      <c r="M1625" s="6">
        <v>2176318</v>
      </c>
      <c r="N1625" s="42">
        <v>1329091</v>
      </c>
      <c r="O1625" s="42"/>
      <c r="P1625" s="42">
        <v>74681</v>
      </c>
      <c r="Q1625" s="42">
        <v>219921</v>
      </c>
      <c r="R1625" s="42">
        <v>2730040</v>
      </c>
      <c r="S1625" s="5">
        <v>45948</v>
      </c>
      <c r="T1625" s="42">
        <v>479237</v>
      </c>
    </row>
    <row r="1626" spans="1:20" x14ac:dyDescent="0.3">
      <c r="A1626" s="7">
        <v>43790</v>
      </c>
      <c r="B1626" s="38"/>
      <c r="C1626" s="6">
        <v>177011</v>
      </c>
      <c r="D1626" s="6">
        <v>222450</v>
      </c>
      <c r="E1626" s="6">
        <v>168217</v>
      </c>
      <c r="F1626" s="14">
        <v>579803</v>
      </c>
      <c r="G1626" s="6">
        <v>186542</v>
      </c>
      <c r="H1626" s="6">
        <v>72175</v>
      </c>
      <c r="I1626" s="6">
        <v>71029</v>
      </c>
      <c r="J1626" s="6">
        <v>224531</v>
      </c>
      <c r="K1626" s="6">
        <v>702645</v>
      </c>
      <c r="L1626" s="6">
        <v>223340</v>
      </c>
      <c r="M1626" s="6">
        <v>2161117</v>
      </c>
      <c r="N1626" s="42">
        <v>1317636</v>
      </c>
      <c r="O1626" s="42"/>
      <c r="P1626" s="42">
        <v>76716</v>
      </c>
      <c r="Q1626" s="42">
        <v>220082</v>
      </c>
      <c r="R1626" s="42">
        <v>2735847</v>
      </c>
      <c r="S1626" s="5">
        <v>75889</v>
      </c>
      <c r="T1626" s="42">
        <v>481384</v>
      </c>
    </row>
    <row r="1627" spans="1:20" x14ac:dyDescent="0.3">
      <c r="A1627" s="7">
        <v>43789</v>
      </c>
      <c r="B1627" s="38"/>
      <c r="C1627" s="6">
        <v>175411</v>
      </c>
      <c r="D1627" s="6">
        <v>220046</v>
      </c>
      <c r="E1627" s="6">
        <v>173921</v>
      </c>
      <c r="F1627" s="14">
        <v>581146</v>
      </c>
      <c r="G1627" s="6">
        <v>185504</v>
      </c>
      <c r="H1627" s="6">
        <v>73032</v>
      </c>
      <c r="I1627" s="6">
        <v>70876</v>
      </c>
      <c r="J1627" s="6">
        <v>224206</v>
      </c>
      <c r="K1627" s="6">
        <v>717855</v>
      </c>
      <c r="L1627" s="6">
        <v>222462</v>
      </c>
      <c r="M1627" s="6">
        <v>2108867</v>
      </c>
      <c r="N1627" s="42">
        <v>1326110</v>
      </c>
      <c r="O1627" s="42"/>
      <c r="P1627" s="42">
        <v>78537</v>
      </c>
      <c r="Q1627" s="42">
        <v>222732</v>
      </c>
      <c r="R1627" s="42">
        <v>2713245</v>
      </c>
      <c r="S1627" s="5">
        <v>112677</v>
      </c>
      <c r="T1627" s="42">
        <v>478794</v>
      </c>
    </row>
    <row r="1628" spans="1:20" x14ac:dyDescent="0.3">
      <c r="A1628" s="7">
        <v>43788</v>
      </c>
      <c r="B1628" s="36"/>
      <c r="C1628" s="6">
        <v>172698</v>
      </c>
      <c r="D1628" s="6">
        <v>219365</v>
      </c>
      <c r="E1628" s="6">
        <v>172759</v>
      </c>
      <c r="F1628" s="14">
        <v>579905</v>
      </c>
      <c r="G1628" s="6">
        <v>184041</v>
      </c>
      <c r="H1628" s="6">
        <v>73073</v>
      </c>
      <c r="I1628" s="6">
        <v>68223</v>
      </c>
      <c r="J1628" s="6">
        <v>228961</v>
      </c>
      <c r="K1628" s="6">
        <v>719211</v>
      </c>
      <c r="L1628" s="6">
        <v>221707</v>
      </c>
      <c r="M1628" s="6">
        <v>2123596</v>
      </c>
      <c r="N1628" s="42">
        <v>1326126</v>
      </c>
      <c r="O1628" s="42"/>
      <c r="P1628" s="42">
        <v>76297</v>
      </c>
      <c r="Q1628" s="42">
        <v>219555</v>
      </c>
      <c r="R1628" s="42">
        <v>2697418</v>
      </c>
      <c r="S1628" s="5">
        <v>108511</v>
      </c>
      <c r="T1628" s="42">
        <v>475095</v>
      </c>
    </row>
    <row r="1629" spans="1:20" x14ac:dyDescent="0.3">
      <c r="A1629" s="7">
        <v>43787</v>
      </c>
      <c r="B1629" s="5"/>
      <c r="C1629" s="6">
        <v>169585</v>
      </c>
      <c r="D1629" s="6">
        <v>219823</v>
      </c>
      <c r="E1629" s="6">
        <v>172030</v>
      </c>
      <c r="F1629" s="14">
        <v>577384</v>
      </c>
      <c r="G1629" s="6">
        <v>183436</v>
      </c>
      <c r="H1629" s="6">
        <v>73562</v>
      </c>
      <c r="I1629" s="6">
        <v>66585</v>
      </c>
      <c r="J1629" s="6">
        <v>235092</v>
      </c>
      <c r="K1629" s="6">
        <v>717956</v>
      </c>
      <c r="L1629" s="6">
        <v>220882</v>
      </c>
      <c r="M1629" s="6">
        <v>2130944</v>
      </c>
      <c r="N1629" s="42">
        <v>1321842</v>
      </c>
      <c r="O1629" s="42"/>
      <c r="P1629" s="42">
        <v>75721</v>
      </c>
      <c r="Q1629" s="42">
        <v>221821</v>
      </c>
      <c r="R1629" s="42">
        <v>2691218</v>
      </c>
      <c r="S1629" s="5">
        <v>127466</v>
      </c>
      <c r="T1629" s="42">
        <v>473473</v>
      </c>
    </row>
    <row r="1630" spans="1:20" x14ac:dyDescent="0.3">
      <c r="A1630" s="7">
        <v>43784</v>
      </c>
      <c r="B1630" s="5"/>
      <c r="C1630" s="6">
        <v>173628</v>
      </c>
      <c r="D1630" s="6">
        <v>216220</v>
      </c>
      <c r="E1630" s="6">
        <v>172903</v>
      </c>
      <c r="F1630" s="14">
        <v>579406</v>
      </c>
      <c r="G1630" s="6">
        <v>184654</v>
      </c>
      <c r="H1630" s="6">
        <v>74205</v>
      </c>
      <c r="I1630" s="6">
        <v>66182</v>
      </c>
      <c r="J1630" s="6">
        <v>234005</v>
      </c>
      <c r="K1630" s="6">
        <v>710717</v>
      </c>
      <c r="L1630" s="6">
        <v>221686</v>
      </c>
      <c r="M1630" s="6">
        <v>2153857</v>
      </c>
      <c r="N1630" s="42">
        <v>1314121</v>
      </c>
      <c r="O1630" s="42"/>
      <c r="P1630" s="42">
        <v>78412</v>
      </c>
      <c r="Q1630" s="42">
        <v>222720</v>
      </c>
      <c r="R1630" s="42">
        <v>2714128</v>
      </c>
      <c r="S1630" s="5">
        <v>127424</v>
      </c>
      <c r="T1630" s="42">
        <v>472161</v>
      </c>
    </row>
    <row r="1631" spans="1:20" x14ac:dyDescent="0.3">
      <c r="A1631" s="7">
        <v>43783</v>
      </c>
      <c r="B1631" s="5"/>
      <c r="C1631" s="6">
        <v>166913</v>
      </c>
      <c r="D1631" s="6">
        <v>213027</v>
      </c>
      <c r="E1631" s="6">
        <v>176168</v>
      </c>
      <c r="F1631" s="14">
        <v>575005</v>
      </c>
      <c r="G1631" s="6">
        <v>185021</v>
      </c>
      <c r="H1631" s="6">
        <v>75088</v>
      </c>
      <c r="I1631" s="6">
        <v>67193</v>
      </c>
      <c r="J1631" s="6">
        <v>237441</v>
      </c>
      <c r="K1631" s="6">
        <v>714805</v>
      </c>
      <c r="L1631" s="6">
        <v>221250</v>
      </c>
      <c r="M1631" s="6">
        <v>2162959</v>
      </c>
      <c r="N1631" s="42">
        <v>1307921</v>
      </c>
      <c r="O1631" s="42"/>
      <c r="P1631" s="42">
        <v>76741</v>
      </c>
      <c r="Q1631" s="42">
        <v>226709</v>
      </c>
      <c r="R1631" s="42">
        <v>2711153</v>
      </c>
      <c r="S1631" s="5">
        <v>117533</v>
      </c>
      <c r="T1631" s="42">
        <v>473175</v>
      </c>
    </row>
    <row r="1632" spans="1:20" x14ac:dyDescent="0.3">
      <c r="A1632" s="7">
        <v>43782</v>
      </c>
      <c r="B1632" s="5"/>
      <c r="C1632" s="6">
        <v>163442</v>
      </c>
      <c r="D1632" s="6">
        <v>209637</v>
      </c>
      <c r="E1632" s="6">
        <v>182339</v>
      </c>
      <c r="F1632" s="14">
        <v>571728</v>
      </c>
      <c r="G1632" s="6">
        <v>184682</v>
      </c>
      <c r="H1632" s="6">
        <v>76434</v>
      </c>
      <c r="I1632" s="6">
        <v>68567</v>
      </c>
      <c r="J1632" s="6">
        <v>238394</v>
      </c>
      <c r="K1632" s="6">
        <v>716593</v>
      </c>
      <c r="L1632" s="6">
        <v>221686</v>
      </c>
      <c r="M1632" s="6">
        <v>2172356</v>
      </c>
      <c r="N1632" s="42">
        <v>1304742</v>
      </c>
      <c r="O1632" s="42"/>
      <c r="P1632" s="42">
        <v>77286</v>
      </c>
      <c r="Q1632" s="42">
        <v>225158</v>
      </c>
      <c r="R1632" s="42">
        <v>2714778</v>
      </c>
      <c r="S1632" s="5">
        <v>128930</v>
      </c>
      <c r="T1632" s="42">
        <v>471305</v>
      </c>
    </row>
    <row r="1633" spans="1:20" x14ac:dyDescent="0.3">
      <c r="A1633" s="7">
        <v>43781</v>
      </c>
      <c r="B1633" s="5"/>
      <c r="C1633" s="6">
        <v>160129</v>
      </c>
      <c r="D1633" s="6">
        <v>209312</v>
      </c>
      <c r="E1633" s="6">
        <v>182793</v>
      </c>
      <c r="F1633" s="14">
        <v>569527</v>
      </c>
      <c r="G1633" s="6">
        <v>183480</v>
      </c>
      <c r="H1633" s="6">
        <v>79394</v>
      </c>
      <c r="I1633" s="6">
        <v>68066</v>
      </c>
      <c r="J1633" s="6">
        <v>239830</v>
      </c>
      <c r="K1633" s="6">
        <v>708463</v>
      </c>
      <c r="L1633" s="6">
        <v>222122</v>
      </c>
      <c r="M1633" s="6">
        <v>2151499</v>
      </c>
      <c r="N1633" s="42">
        <v>1293729</v>
      </c>
      <c r="O1633" s="42"/>
      <c r="P1633" s="42">
        <v>78056</v>
      </c>
      <c r="Q1633" s="42">
        <v>221279</v>
      </c>
      <c r="R1633" s="42">
        <v>2702878</v>
      </c>
      <c r="S1633" s="5">
        <v>109154</v>
      </c>
      <c r="T1633" s="42">
        <v>469843</v>
      </c>
    </row>
    <row r="1634" spans="1:20" x14ac:dyDescent="0.3">
      <c r="A1634" s="7">
        <v>43780</v>
      </c>
      <c r="B1634" s="5"/>
      <c r="C1634" s="6">
        <v>156507</v>
      </c>
      <c r="D1634" s="6">
        <v>207393</v>
      </c>
      <c r="E1634" s="6">
        <v>185324</v>
      </c>
      <c r="F1634" s="14">
        <v>569273</v>
      </c>
      <c r="G1634" s="6">
        <v>182382</v>
      </c>
      <c r="H1634" s="6">
        <v>75784</v>
      </c>
      <c r="I1634" s="6">
        <v>69017</v>
      </c>
      <c r="J1634" s="6">
        <v>238417</v>
      </c>
      <c r="K1634" s="6">
        <v>704741</v>
      </c>
      <c r="L1634" s="6">
        <v>221526</v>
      </c>
      <c r="M1634" s="6">
        <v>2152338</v>
      </c>
      <c r="N1634" s="42">
        <v>1275764</v>
      </c>
      <c r="O1634" s="42"/>
      <c r="P1634" s="42">
        <v>78638</v>
      </c>
      <c r="Q1634" s="42">
        <v>223437</v>
      </c>
      <c r="R1634" s="42">
        <v>2706425</v>
      </c>
      <c r="S1634" s="5">
        <v>114088</v>
      </c>
      <c r="T1634" s="42">
        <v>468911</v>
      </c>
    </row>
    <row r="1635" spans="1:20" x14ac:dyDescent="0.3">
      <c r="A1635" s="7">
        <v>43777</v>
      </c>
      <c r="B1635" s="5"/>
      <c r="C1635" s="6">
        <v>155222</v>
      </c>
      <c r="D1635" s="6">
        <v>203512</v>
      </c>
      <c r="E1635" s="6">
        <v>187594</v>
      </c>
      <c r="F1635" s="14">
        <v>573529</v>
      </c>
      <c r="G1635" s="6">
        <v>184960</v>
      </c>
      <c r="H1635" s="6">
        <v>77227</v>
      </c>
      <c r="I1635" s="6">
        <v>71337</v>
      </c>
      <c r="J1635" s="6">
        <v>238229</v>
      </c>
      <c r="K1635" s="6">
        <v>705190</v>
      </c>
      <c r="L1635" s="6">
        <v>225286</v>
      </c>
      <c r="M1635" s="6">
        <v>2140848</v>
      </c>
      <c r="N1635" s="42">
        <v>1263583</v>
      </c>
      <c r="O1635" s="42"/>
      <c r="P1635" s="42">
        <v>79388</v>
      </c>
      <c r="Q1635" s="42">
        <v>223713</v>
      </c>
      <c r="R1635" s="42">
        <v>2695841</v>
      </c>
      <c r="S1635" s="5">
        <v>119822</v>
      </c>
      <c r="T1635" s="42">
        <v>470821</v>
      </c>
    </row>
    <row r="1636" spans="1:20" x14ac:dyDescent="0.3">
      <c r="A1636" s="7">
        <v>43776</v>
      </c>
      <c r="B1636" s="5"/>
      <c r="C1636" s="6">
        <v>153772</v>
      </c>
      <c r="D1636" s="6">
        <v>205031</v>
      </c>
      <c r="E1636" s="6">
        <v>189601</v>
      </c>
      <c r="F1636" s="14">
        <v>568189</v>
      </c>
      <c r="G1636" s="6">
        <v>185332</v>
      </c>
      <c r="H1636" s="6">
        <v>75293</v>
      </c>
      <c r="I1636" s="6">
        <v>70343</v>
      </c>
      <c r="J1636" s="6">
        <v>238251</v>
      </c>
      <c r="K1636" s="6">
        <v>708244</v>
      </c>
      <c r="L1636" s="6">
        <v>227524</v>
      </c>
      <c r="M1636" s="6">
        <v>2127057</v>
      </c>
      <c r="N1636" s="42">
        <v>1272929</v>
      </c>
      <c r="O1636" s="42"/>
      <c r="P1636" s="42">
        <v>78306</v>
      </c>
      <c r="Q1636" s="42">
        <v>220677</v>
      </c>
      <c r="R1636" s="42">
        <v>2690190</v>
      </c>
      <c r="S1636" s="5">
        <v>121252</v>
      </c>
      <c r="T1636" s="42">
        <v>469685</v>
      </c>
    </row>
    <row r="1637" spans="1:20" x14ac:dyDescent="0.3">
      <c r="A1637" s="7">
        <v>43775</v>
      </c>
      <c r="B1637" s="5"/>
      <c r="C1637" s="6">
        <v>154580</v>
      </c>
      <c r="D1637" s="6">
        <v>205331</v>
      </c>
      <c r="E1637" s="6">
        <v>192206</v>
      </c>
      <c r="F1637" s="14">
        <v>563841</v>
      </c>
      <c r="G1637" s="6">
        <v>180237</v>
      </c>
      <c r="H1637" s="6">
        <v>75052</v>
      </c>
      <c r="I1637" s="6">
        <v>68201</v>
      </c>
      <c r="J1637" s="6">
        <v>240937</v>
      </c>
      <c r="K1637" s="6">
        <v>693184</v>
      </c>
      <c r="L1637" s="6">
        <v>226194</v>
      </c>
      <c r="M1637" s="6">
        <v>2097117</v>
      </c>
      <c r="N1637" s="42">
        <v>1285527</v>
      </c>
      <c r="O1637" s="42"/>
      <c r="P1637" s="42">
        <v>78259</v>
      </c>
      <c r="Q1637" s="42">
        <v>219714</v>
      </c>
      <c r="R1637" s="42">
        <v>2691677</v>
      </c>
      <c r="S1637" s="5">
        <v>138480</v>
      </c>
      <c r="T1637" s="42">
        <v>464969</v>
      </c>
    </row>
    <row r="1638" spans="1:20" x14ac:dyDescent="0.3">
      <c r="A1638" s="7">
        <v>43774</v>
      </c>
      <c r="B1638" s="5"/>
      <c r="C1638" s="6">
        <v>161411</v>
      </c>
      <c r="D1638" s="6">
        <v>206317</v>
      </c>
      <c r="E1638" s="6">
        <v>192882</v>
      </c>
      <c r="F1638" s="14">
        <v>563336</v>
      </c>
      <c r="G1638" s="6">
        <v>177106</v>
      </c>
      <c r="H1638" s="6">
        <v>75326</v>
      </c>
      <c r="I1638" s="6">
        <v>67855</v>
      </c>
      <c r="J1638" s="6">
        <v>239147</v>
      </c>
      <c r="K1638" s="6">
        <v>690181</v>
      </c>
      <c r="L1638" s="6">
        <v>227509</v>
      </c>
      <c r="M1638" s="6">
        <v>2083893</v>
      </c>
      <c r="N1638" s="42">
        <v>1317936</v>
      </c>
      <c r="O1638" s="42"/>
      <c r="P1638" s="42">
        <v>76139</v>
      </c>
      <c r="Q1638" s="42">
        <v>217388</v>
      </c>
      <c r="R1638" s="42">
        <v>2669651</v>
      </c>
      <c r="S1638" s="5">
        <v>137975</v>
      </c>
      <c r="T1638" s="42">
        <v>460918</v>
      </c>
    </row>
    <row r="1639" spans="1:20" x14ac:dyDescent="0.3">
      <c r="A1639" s="7">
        <v>43773</v>
      </c>
      <c r="B1639" s="5"/>
      <c r="C1639" s="6">
        <v>153947</v>
      </c>
      <c r="D1639" s="6">
        <v>206981</v>
      </c>
      <c r="E1639" s="6">
        <v>193054</v>
      </c>
      <c r="F1639" s="14">
        <v>559143</v>
      </c>
      <c r="G1639" s="6">
        <v>163375</v>
      </c>
      <c r="H1639" s="6">
        <v>74684</v>
      </c>
      <c r="I1639" s="6">
        <v>65054</v>
      </c>
      <c r="J1639" s="6">
        <v>240867</v>
      </c>
      <c r="K1639" s="6">
        <v>688722</v>
      </c>
      <c r="L1639" s="6">
        <v>229450</v>
      </c>
      <c r="M1639" s="6">
        <v>2070874</v>
      </c>
      <c r="N1639" s="42">
        <v>1305622</v>
      </c>
      <c r="O1639" s="42"/>
      <c r="P1639" s="42">
        <v>77322</v>
      </c>
      <c r="Q1639" s="42">
        <v>216280</v>
      </c>
      <c r="R1639" s="42">
        <v>2653510</v>
      </c>
      <c r="S1639" s="5">
        <v>120860</v>
      </c>
      <c r="T1639" s="42">
        <v>459752</v>
      </c>
    </row>
    <row r="1640" spans="1:20" x14ac:dyDescent="0.3">
      <c r="A1640" s="7">
        <v>43770</v>
      </c>
      <c r="B1640" s="5"/>
      <c r="C1640" s="6">
        <v>155773</v>
      </c>
      <c r="D1640" s="6">
        <v>206788</v>
      </c>
      <c r="E1640" s="6">
        <v>190597</v>
      </c>
      <c r="F1640" s="14">
        <v>555262</v>
      </c>
      <c r="G1640" s="6">
        <v>156788</v>
      </c>
      <c r="H1640" s="6">
        <v>74316</v>
      </c>
      <c r="I1640" s="6">
        <v>64109</v>
      </c>
      <c r="J1640" s="6">
        <v>236772</v>
      </c>
      <c r="K1640" s="6">
        <v>681159</v>
      </c>
      <c r="L1640" s="6">
        <v>227782</v>
      </c>
      <c r="M1640" s="6">
        <v>2057606</v>
      </c>
      <c r="N1640" s="42">
        <v>1312071</v>
      </c>
      <c r="O1640" s="42"/>
      <c r="P1640" s="42">
        <v>77395</v>
      </c>
      <c r="Q1640" s="42">
        <v>219934</v>
      </c>
      <c r="R1640" s="42">
        <v>2660181</v>
      </c>
      <c r="S1640" s="5">
        <v>112229</v>
      </c>
      <c r="T1640" s="42">
        <v>459335</v>
      </c>
    </row>
    <row r="1641" spans="1:20" x14ac:dyDescent="0.3">
      <c r="A1641" s="7">
        <v>43769</v>
      </c>
      <c r="B1641" s="5"/>
      <c r="C1641" s="6">
        <v>155954</v>
      </c>
      <c r="D1641" s="6">
        <v>207549</v>
      </c>
      <c r="E1641" s="6">
        <v>188266</v>
      </c>
      <c r="F1641" s="14">
        <v>556961</v>
      </c>
      <c r="G1641" s="6">
        <v>160628</v>
      </c>
      <c r="H1641" s="6">
        <v>74421</v>
      </c>
      <c r="I1641" s="6">
        <v>64093</v>
      </c>
      <c r="J1641" s="6">
        <v>238590</v>
      </c>
      <c r="K1641" s="6">
        <v>681205</v>
      </c>
      <c r="L1641" s="6">
        <v>224936</v>
      </c>
      <c r="M1641" s="6">
        <v>2047643</v>
      </c>
      <c r="N1641" s="42">
        <v>1313278</v>
      </c>
      <c r="O1641" s="42"/>
      <c r="P1641" s="42">
        <v>76611</v>
      </c>
      <c r="Q1641" s="42">
        <v>217590</v>
      </c>
      <c r="R1641" s="42">
        <v>2658968</v>
      </c>
      <c r="S1641" s="5">
        <v>121932</v>
      </c>
      <c r="T1641" s="42">
        <v>456705</v>
      </c>
    </row>
    <row r="1642" spans="1:20" x14ac:dyDescent="0.3">
      <c r="A1642" s="7">
        <v>43768</v>
      </c>
      <c r="B1642" s="5"/>
      <c r="C1642" s="6">
        <v>156404</v>
      </c>
      <c r="D1642" s="6">
        <v>209006</v>
      </c>
      <c r="E1642" s="6">
        <v>189320</v>
      </c>
      <c r="F1642" s="14">
        <v>545787</v>
      </c>
      <c r="G1642" s="6">
        <v>164421</v>
      </c>
      <c r="H1642" s="6">
        <v>73871</v>
      </c>
      <c r="I1642" s="6">
        <v>65259</v>
      </c>
      <c r="J1642" s="6">
        <v>244430</v>
      </c>
      <c r="K1642" s="6">
        <v>647538</v>
      </c>
      <c r="L1642" s="6">
        <v>222396</v>
      </c>
      <c r="M1642" s="6">
        <v>2033498</v>
      </c>
      <c r="N1642" s="42">
        <v>1314535</v>
      </c>
      <c r="O1642" s="42"/>
      <c r="P1642" s="42">
        <v>78807</v>
      </c>
      <c r="Q1642" s="42">
        <v>220727</v>
      </c>
      <c r="R1642" s="42">
        <v>2651142</v>
      </c>
      <c r="S1642" s="5">
        <v>119611</v>
      </c>
      <c r="T1642" s="42">
        <v>450707</v>
      </c>
    </row>
    <row r="1643" spans="1:20" x14ac:dyDescent="0.3">
      <c r="A1643" s="7">
        <v>43767</v>
      </c>
      <c r="B1643" s="5"/>
      <c r="C1643" s="6">
        <v>153444</v>
      </c>
      <c r="D1643" s="6">
        <v>214406</v>
      </c>
      <c r="E1643" s="6">
        <v>189971</v>
      </c>
      <c r="F1643" s="14">
        <v>538847</v>
      </c>
      <c r="G1643" s="6">
        <v>163486</v>
      </c>
      <c r="H1643" s="6">
        <v>72478</v>
      </c>
      <c r="I1643" s="6">
        <v>65712</v>
      </c>
      <c r="J1643" s="6">
        <v>246252</v>
      </c>
      <c r="K1643" s="6">
        <v>643442</v>
      </c>
      <c r="L1643" s="6">
        <v>221384</v>
      </c>
      <c r="M1643" s="6">
        <v>2045914</v>
      </c>
      <c r="N1643" s="42">
        <v>1319652</v>
      </c>
      <c r="O1643" s="42"/>
      <c r="P1643" s="42">
        <v>78807</v>
      </c>
      <c r="Q1643" s="42">
        <v>217288</v>
      </c>
      <c r="R1643" s="42">
        <v>2650179</v>
      </c>
      <c r="S1643" s="5">
        <v>120390</v>
      </c>
      <c r="T1643" s="42">
        <v>447982</v>
      </c>
    </row>
    <row r="1644" spans="1:20" x14ac:dyDescent="0.3">
      <c r="A1644" s="7">
        <v>43766</v>
      </c>
      <c r="B1644" s="5"/>
      <c r="C1644" s="6">
        <v>153636</v>
      </c>
      <c r="D1644" s="6">
        <v>218137</v>
      </c>
      <c r="E1644" s="6">
        <v>189899</v>
      </c>
      <c r="F1644" s="14">
        <v>526796</v>
      </c>
      <c r="G1644" s="6">
        <v>163458</v>
      </c>
      <c r="H1644" s="6">
        <v>73548</v>
      </c>
      <c r="I1644" s="6">
        <v>65791</v>
      </c>
      <c r="J1644" s="6">
        <v>247282</v>
      </c>
      <c r="K1644" s="6">
        <v>650352</v>
      </c>
      <c r="L1644" s="6">
        <v>222133</v>
      </c>
      <c r="M1644" s="6">
        <v>2049877</v>
      </c>
      <c r="N1644" s="42">
        <v>1314279</v>
      </c>
      <c r="O1644" s="42"/>
      <c r="P1644" s="42">
        <v>80889</v>
      </c>
      <c r="Q1644" s="42">
        <v>216460</v>
      </c>
      <c r="R1644" s="42">
        <v>2660327</v>
      </c>
      <c r="S1644" s="5">
        <v>127878</v>
      </c>
      <c r="T1644" s="42">
        <v>444612</v>
      </c>
    </row>
    <row r="1645" spans="1:20" x14ac:dyDescent="0.3">
      <c r="A1645" s="7">
        <v>43763</v>
      </c>
      <c r="B1645" s="5"/>
      <c r="C1645" s="6">
        <v>154291</v>
      </c>
      <c r="D1645" s="6">
        <v>223964</v>
      </c>
      <c r="E1645" s="6">
        <v>184163</v>
      </c>
      <c r="F1645" s="14">
        <v>525587</v>
      </c>
      <c r="G1645" s="6">
        <v>157980</v>
      </c>
      <c r="H1645" s="6">
        <v>73200</v>
      </c>
      <c r="I1645" s="6">
        <v>65458</v>
      </c>
      <c r="J1645" s="6">
        <v>247992</v>
      </c>
      <c r="K1645" s="6">
        <v>659371</v>
      </c>
      <c r="L1645" s="6">
        <v>222887</v>
      </c>
      <c r="M1645" s="6">
        <v>2051975</v>
      </c>
      <c r="N1645" s="42">
        <v>1311030</v>
      </c>
      <c r="O1645" s="42"/>
      <c r="P1645" s="42">
        <v>83362</v>
      </c>
      <c r="Q1645" s="42">
        <v>218284</v>
      </c>
      <c r="R1645" s="42">
        <v>2679046</v>
      </c>
      <c r="S1645" s="5">
        <v>131073</v>
      </c>
      <c r="T1645" s="42">
        <v>442187</v>
      </c>
    </row>
    <row r="1646" spans="1:20" x14ac:dyDescent="0.3">
      <c r="A1646" s="7">
        <v>43762</v>
      </c>
      <c r="B1646" s="5"/>
      <c r="C1646" s="6">
        <v>155425</v>
      </c>
      <c r="D1646" s="6">
        <v>235020</v>
      </c>
      <c r="E1646" s="6">
        <v>180664</v>
      </c>
      <c r="F1646" s="14">
        <v>524326</v>
      </c>
      <c r="G1646" s="6">
        <v>157545</v>
      </c>
      <c r="H1646" s="6">
        <v>73662</v>
      </c>
      <c r="I1646" s="6">
        <v>64963</v>
      </c>
      <c r="J1646" s="6">
        <v>252096</v>
      </c>
      <c r="K1646" s="6">
        <v>652554</v>
      </c>
      <c r="L1646" s="6">
        <v>218498</v>
      </c>
      <c r="M1646" s="6">
        <v>2045803</v>
      </c>
      <c r="N1646" s="42">
        <v>1301572</v>
      </c>
      <c r="O1646" s="42"/>
      <c r="P1646" s="42">
        <v>83398</v>
      </c>
      <c r="Q1646" s="42">
        <v>216317</v>
      </c>
      <c r="R1646" s="42">
        <v>2639081</v>
      </c>
      <c r="S1646" s="5">
        <v>131000</v>
      </c>
      <c r="T1646" s="42">
        <v>443616</v>
      </c>
    </row>
    <row r="1647" spans="1:20" x14ac:dyDescent="0.3">
      <c r="A1647" s="7">
        <v>43761</v>
      </c>
      <c r="B1647" s="5"/>
      <c r="C1647" s="6">
        <v>156744</v>
      </c>
      <c r="D1647" s="6">
        <v>234725</v>
      </c>
      <c r="E1647" s="6">
        <v>175777</v>
      </c>
      <c r="F1647" s="14">
        <v>525214</v>
      </c>
      <c r="G1647" s="6">
        <v>159314</v>
      </c>
      <c r="H1647" s="6">
        <v>73279</v>
      </c>
      <c r="I1647" s="6">
        <v>63337</v>
      </c>
      <c r="J1647" s="6">
        <v>254236</v>
      </c>
      <c r="K1647" s="6">
        <v>637457</v>
      </c>
      <c r="L1647" s="6">
        <v>214781</v>
      </c>
      <c r="M1647" s="6">
        <v>2075256</v>
      </c>
      <c r="N1647" s="42">
        <v>1277320</v>
      </c>
      <c r="O1647" s="42"/>
      <c r="P1647" s="42">
        <v>84245</v>
      </c>
      <c r="Q1647" s="42">
        <v>214650</v>
      </c>
      <c r="R1647" s="42">
        <v>2644426</v>
      </c>
      <c r="S1647" s="5">
        <v>131249</v>
      </c>
      <c r="T1647" s="42">
        <v>443152</v>
      </c>
    </row>
    <row r="1648" spans="1:20" x14ac:dyDescent="0.3">
      <c r="A1648" s="7">
        <v>43760</v>
      </c>
      <c r="B1648" s="5"/>
      <c r="C1648" s="6">
        <v>157200</v>
      </c>
      <c r="D1648" s="6">
        <v>230224</v>
      </c>
      <c r="E1648" s="6">
        <v>170305</v>
      </c>
      <c r="F1648" s="14">
        <v>528545</v>
      </c>
      <c r="G1648" s="6">
        <v>159250</v>
      </c>
      <c r="H1648" s="6">
        <v>73499</v>
      </c>
      <c r="I1648" s="6">
        <v>61619</v>
      </c>
      <c r="J1648" s="6">
        <v>251164</v>
      </c>
      <c r="K1648" s="6">
        <v>625528</v>
      </c>
      <c r="L1648" s="6">
        <v>214529</v>
      </c>
      <c r="M1648" s="6">
        <v>2081290</v>
      </c>
      <c r="N1648" s="42">
        <v>1283924</v>
      </c>
      <c r="O1648" s="42"/>
      <c r="P1648" s="42">
        <v>84259</v>
      </c>
      <c r="Q1648" s="42">
        <v>212629</v>
      </c>
      <c r="R1648" s="42">
        <v>2636917</v>
      </c>
      <c r="S1648" s="5">
        <v>127077</v>
      </c>
      <c r="T1648" s="42">
        <v>445224</v>
      </c>
    </row>
    <row r="1649" spans="1:20" x14ac:dyDescent="0.3">
      <c r="A1649" s="7">
        <v>43759</v>
      </c>
      <c r="B1649" s="5"/>
      <c r="C1649" s="6">
        <v>159037</v>
      </c>
      <c r="D1649" s="6">
        <v>234077</v>
      </c>
      <c r="E1649" s="6">
        <v>161782</v>
      </c>
      <c r="F1649" s="14">
        <v>525402</v>
      </c>
      <c r="G1649" s="6">
        <v>159506</v>
      </c>
      <c r="H1649" s="6">
        <v>73915</v>
      </c>
      <c r="I1649" s="6">
        <v>60687</v>
      </c>
      <c r="J1649" s="6">
        <v>251990</v>
      </c>
      <c r="K1649" s="6">
        <v>625390</v>
      </c>
      <c r="L1649" s="6">
        <v>213778</v>
      </c>
      <c r="M1649" s="6">
        <v>2080592</v>
      </c>
      <c r="N1649" s="42">
        <v>1268920</v>
      </c>
      <c r="O1649" s="42"/>
      <c r="P1649" s="42">
        <v>82815</v>
      </c>
      <c r="Q1649" s="42">
        <v>208882</v>
      </c>
      <c r="R1649" s="42">
        <v>2642843</v>
      </c>
      <c r="S1649" s="5">
        <v>120739</v>
      </c>
      <c r="T1649" s="42">
        <v>446582</v>
      </c>
    </row>
    <row r="1650" spans="1:20" x14ac:dyDescent="0.3">
      <c r="A1650" s="7">
        <v>43756</v>
      </c>
      <c r="B1650" s="5"/>
      <c r="C1650" s="6">
        <v>162233</v>
      </c>
      <c r="D1650" s="6">
        <v>240275</v>
      </c>
      <c r="E1650" s="6">
        <v>157541</v>
      </c>
      <c r="F1650" s="14">
        <v>522545</v>
      </c>
      <c r="G1650" s="6">
        <v>160035</v>
      </c>
      <c r="H1650" s="6">
        <v>74252</v>
      </c>
      <c r="I1650" s="6">
        <v>60843</v>
      </c>
      <c r="J1650" s="6">
        <v>254459</v>
      </c>
      <c r="K1650" s="6">
        <v>621092</v>
      </c>
      <c r="L1650" s="6">
        <v>211348</v>
      </c>
      <c r="M1650" s="6">
        <v>2091188</v>
      </c>
      <c r="N1650" s="42">
        <v>1283333</v>
      </c>
      <c r="O1650" s="42"/>
      <c r="P1650" s="42">
        <v>83205</v>
      </c>
      <c r="Q1650" s="42">
        <v>214523</v>
      </c>
      <c r="R1650" s="42">
        <v>2653794</v>
      </c>
      <c r="S1650" s="5">
        <v>122566</v>
      </c>
      <c r="T1650" s="42">
        <v>448151</v>
      </c>
    </row>
    <row r="1651" spans="1:20" x14ac:dyDescent="0.3">
      <c r="A1651" s="7">
        <v>43755</v>
      </c>
      <c r="B1651" s="5"/>
      <c r="C1651" s="6">
        <v>167086</v>
      </c>
      <c r="D1651" s="6">
        <v>243678</v>
      </c>
      <c r="E1651" s="6">
        <v>153731</v>
      </c>
      <c r="F1651" s="14">
        <v>523324</v>
      </c>
      <c r="G1651" s="6">
        <v>158272</v>
      </c>
      <c r="H1651" s="6">
        <v>74992</v>
      </c>
      <c r="I1651" s="6">
        <v>61841</v>
      </c>
      <c r="J1651" s="6">
        <v>253939</v>
      </c>
      <c r="K1651" s="6">
        <v>620519</v>
      </c>
      <c r="L1651" s="6">
        <v>211398</v>
      </c>
      <c r="M1651" s="6">
        <v>2102841</v>
      </c>
      <c r="N1651" s="42">
        <v>1269534</v>
      </c>
      <c r="O1651" s="42"/>
      <c r="P1651" s="42">
        <v>79930</v>
      </c>
      <c r="Q1651" s="42">
        <v>218379</v>
      </c>
      <c r="R1651" s="42">
        <v>2660373</v>
      </c>
      <c r="S1651" s="5">
        <v>122966</v>
      </c>
      <c r="T1651" s="42">
        <v>446625</v>
      </c>
    </row>
    <row r="1652" spans="1:20" x14ac:dyDescent="0.3">
      <c r="A1652" s="7">
        <v>43754</v>
      </c>
      <c r="B1652" s="5"/>
      <c r="C1652" s="6">
        <v>169229</v>
      </c>
      <c r="D1652" s="6">
        <v>244369</v>
      </c>
      <c r="E1652" s="6">
        <v>145900</v>
      </c>
      <c r="F1652" s="14">
        <v>522198</v>
      </c>
      <c r="G1652" s="6">
        <v>159565</v>
      </c>
      <c r="H1652" s="6">
        <v>76806</v>
      </c>
      <c r="I1652" s="6">
        <v>62978</v>
      </c>
      <c r="J1652" s="6">
        <v>256582</v>
      </c>
      <c r="K1652" s="6">
        <v>610889</v>
      </c>
      <c r="L1652" s="6">
        <v>210204</v>
      </c>
      <c r="M1652" s="6">
        <v>2133863</v>
      </c>
      <c r="N1652" s="42">
        <v>1254001</v>
      </c>
      <c r="O1652" s="42"/>
      <c r="P1652" s="42">
        <v>79428</v>
      </c>
      <c r="Q1652" s="42">
        <v>211920</v>
      </c>
      <c r="R1652" s="42">
        <v>2658127</v>
      </c>
      <c r="S1652" s="5">
        <v>121724</v>
      </c>
      <c r="T1652" s="42">
        <v>442570</v>
      </c>
    </row>
    <row r="1653" spans="1:20" x14ac:dyDescent="0.3">
      <c r="A1653" s="7">
        <v>43753</v>
      </c>
      <c r="B1653" s="5"/>
      <c r="C1653" s="6">
        <v>163884</v>
      </c>
      <c r="D1653" s="6">
        <v>243309</v>
      </c>
      <c r="E1653" s="6">
        <v>149079</v>
      </c>
      <c r="F1653" s="14">
        <v>517182</v>
      </c>
      <c r="G1653" s="6">
        <v>159598</v>
      </c>
      <c r="H1653" s="6">
        <v>74796</v>
      </c>
      <c r="I1653" s="6">
        <v>64763</v>
      </c>
      <c r="J1653" s="6">
        <v>257178</v>
      </c>
      <c r="K1653" s="6">
        <v>607387</v>
      </c>
      <c r="L1653" s="6">
        <v>210916</v>
      </c>
      <c r="M1653" s="6">
        <v>2136717</v>
      </c>
      <c r="N1653" s="42">
        <v>1247591</v>
      </c>
      <c r="O1653" s="42"/>
      <c r="P1653" s="42">
        <v>79590</v>
      </c>
      <c r="Q1653" s="42">
        <v>213980</v>
      </c>
      <c r="R1653" s="42">
        <v>2660102</v>
      </c>
      <c r="S1653" s="5">
        <v>121356</v>
      </c>
      <c r="T1653" s="42">
        <v>444796</v>
      </c>
    </row>
    <row r="1654" spans="1:20" x14ac:dyDescent="0.3">
      <c r="A1654" s="7">
        <v>43752</v>
      </c>
      <c r="B1654" s="5"/>
      <c r="C1654" s="6">
        <v>164191</v>
      </c>
      <c r="D1654" s="6">
        <v>239944</v>
      </c>
      <c r="E1654" s="6">
        <v>149656</v>
      </c>
      <c r="F1654" s="14">
        <v>515268</v>
      </c>
      <c r="G1654" s="6">
        <v>156355</v>
      </c>
      <c r="H1654" s="6">
        <v>73384</v>
      </c>
      <c r="I1654" s="6">
        <v>64359</v>
      </c>
      <c r="J1654" s="6">
        <v>258457</v>
      </c>
      <c r="K1654" s="6">
        <v>606080</v>
      </c>
      <c r="L1654" s="6">
        <v>209672</v>
      </c>
      <c r="M1654" s="6">
        <v>2121548</v>
      </c>
      <c r="N1654" s="42">
        <v>1242789</v>
      </c>
      <c r="O1654" s="42"/>
      <c r="P1654" s="42">
        <v>82126</v>
      </c>
      <c r="Q1654" s="42">
        <v>219945</v>
      </c>
      <c r="R1654" s="42">
        <v>2638914</v>
      </c>
      <c r="S1654" s="5">
        <v>117309</v>
      </c>
      <c r="T1654" s="42">
        <v>443149</v>
      </c>
    </row>
    <row r="1655" spans="1:20" x14ac:dyDescent="0.3">
      <c r="A1655" s="7">
        <v>43749</v>
      </c>
      <c r="B1655" s="5"/>
      <c r="C1655" s="6">
        <v>166437</v>
      </c>
      <c r="D1655" s="6">
        <v>244207</v>
      </c>
      <c r="E1655" s="6">
        <v>150765</v>
      </c>
      <c r="F1655" s="14">
        <v>520544</v>
      </c>
      <c r="G1655" s="6">
        <v>158736</v>
      </c>
      <c r="H1655" s="6">
        <v>71697</v>
      </c>
      <c r="I1655" s="6">
        <v>64956</v>
      </c>
      <c r="J1655" s="6">
        <v>259114</v>
      </c>
      <c r="K1655" s="6">
        <v>605865</v>
      </c>
      <c r="L1655" s="6">
        <v>208980</v>
      </c>
      <c r="M1655" s="6">
        <v>2126604</v>
      </c>
      <c r="N1655" s="42">
        <v>1231481</v>
      </c>
      <c r="O1655" s="42"/>
      <c r="P1655" s="42">
        <v>80407</v>
      </c>
      <c r="Q1655" s="42">
        <v>212897</v>
      </c>
      <c r="R1655" s="42">
        <v>2652405</v>
      </c>
      <c r="S1655" s="5">
        <v>120591</v>
      </c>
      <c r="T1655" s="42">
        <v>439863</v>
      </c>
    </row>
    <row r="1656" spans="1:20" x14ac:dyDescent="0.3">
      <c r="A1656" s="7">
        <v>43748</v>
      </c>
      <c r="B1656" s="5"/>
      <c r="C1656" s="6">
        <v>171678</v>
      </c>
      <c r="D1656" s="6">
        <v>244355</v>
      </c>
      <c r="E1656" s="6">
        <v>137208</v>
      </c>
      <c r="F1656" s="14">
        <v>518373</v>
      </c>
      <c r="G1656" s="6">
        <v>151958</v>
      </c>
      <c r="H1656" s="6">
        <v>72946</v>
      </c>
      <c r="I1656" s="6">
        <v>64776</v>
      </c>
      <c r="J1656" s="6">
        <v>260431</v>
      </c>
      <c r="K1656" s="6">
        <v>614755</v>
      </c>
      <c r="L1656" s="6">
        <v>210039</v>
      </c>
      <c r="M1656" s="6">
        <v>2110752</v>
      </c>
      <c r="N1656" s="42">
        <v>1229686</v>
      </c>
      <c r="O1656" s="42"/>
      <c r="P1656" s="42">
        <v>78127</v>
      </c>
      <c r="Q1656" s="42">
        <v>215168</v>
      </c>
      <c r="R1656" s="42">
        <v>2673412</v>
      </c>
      <c r="S1656" s="5">
        <v>118581</v>
      </c>
      <c r="T1656" s="42">
        <v>444060</v>
      </c>
    </row>
    <row r="1657" spans="1:20" x14ac:dyDescent="0.3">
      <c r="A1657" s="7">
        <v>43747</v>
      </c>
      <c r="B1657" s="5"/>
      <c r="C1657" s="6">
        <v>170394</v>
      </c>
      <c r="D1657" s="6">
        <v>245757</v>
      </c>
      <c r="E1657" s="6">
        <v>138133</v>
      </c>
      <c r="F1657" s="14">
        <v>514988</v>
      </c>
      <c r="G1657" s="6">
        <v>149006</v>
      </c>
      <c r="H1657" s="6">
        <v>73536</v>
      </c>
      <c r="I1657" s="6">
        <v>65723</v>
      </c>
      <c r="J1657" s="6">
        <v>255946</v>
      </c>
      <c r="K1657" s="6">
        <v>619977</v>
      </c>
      <c r="L1657" s="6">
        <v>212092</v>
      </c>
      <c r="M1657" s="6">
        <v>2120165</v>
      </c>
      <c r="N1657" s="42">
        <v>1227428</v>
      </c>
      <c r="O1657" s="42"/>
      <c r="P1657" s="42">
        <v>78725</v>
      </c>
      <c r="Q1657" s="42">
        <v>218765</v>
      </c>
      <c r="R1657" s="42">
        <v>2665996</v>
      </c>
      <c r="S1657" s="5">
        <v>118423</v>
      </c>
      <c r="T1657" s="42">
        <v>439902</v>
      </c>
    </row>
    <row r="1658" spans="1:20" x14ac:dyDescent="0.3">
      <c r="A1658" s="7">
        <v>43746</v>
      </c>
      <c r="B1658" s="5"/>
      <c r="C1658" s="6">
        <v>168839</v>
      </c>
      <c r="D1658" s="6">
        <v>246896</v>
      </c>
      <c r="E1658" s="6">
        <v>136105</v>
      </c>
      <c r="F1658" s="14">
        <v>514638</v>
      </c>
      <c r="G1658" s="6">
        <v>150019</v>
      </c>
      <c r="H1658" s="6">
        <v>73793</v>
      </c>
      <c r="I1658" s="6">
        <v>64837</v>
      </c>
      <c r="J1658" s="6">
        <v>256724</v>
      </c>
      <c r="K1658" s="6">
        <v>616957</v>
      </c>
      <c r="L1658" s="6">
        <v>213968</v>
      </c>
      <c r="M1658" s="6">
        <v>2105717</v>
      </c>
      <c r="N1658" s="42">
        <v>1252336</v>
      </c>
      <c r="O1658" s="42"/>
      <c r="P1658" s="42">
        <v>80229</v>
      </c>
      <c r="Q1658" s="42">
        <v>218470</v>
      </c>
      <c r="R1658" s="42">
        <v>2664968</v>
      </c>
      <c r="S1658" s="5">
        <v>122897</v>
      </c>
      <c r="T1658" s="42">
        <v>439257</v>
      </c>
    </row>
    <row r="1659" spans="1:20" x14ac:dyDescent="0.3">
      <c r="A1659" s="7">
        <v>43745</v>
      </c>
      <c r="B1659" s="5"/>
      <c r="C1659" s="6">
        <v>171015</v>
      </c>
      <c r="D1659" s="6">
        <v>243836</v>
      </c>
      <c r="E1659" s="6">
        <v>134611</v>
      </c>
      <c r="F1659" s="14">
        <v>509810</v>
      </c>
      <c r="G1659" s="6">
        <v>149219</v>
      </c>
      <c r="H1659" s="6">
        <v>74412</v>
      </c>
      <c r="I1659" s="6">
        <v>64944</v>
      </c>
      <c r="J1659" s="6">
        <v>257324</v>
      </c>
      <c r="K1659" s="6">
        <v>614549</v>
      </c>
      <c r="L1659" s="6">
        <v>211282</v>
      </c>
      <c r="M1659" s="6">
        <v>2135674</v>
      </c>
      <c r="N1659" s="42">
        <v>1249926</v>
      </c>
      <c r="O1659" s="42"/>
      <c r="P1659" s="42">
        <v>80932</v>
      </c>
      <c r="Q1659" s="42">
        <v>217253</v>
      </c>
      <c r="R1659" s="42">
        <v>2682940</v>
      </c>
      <c r="S1659" s="5">
        <v>116736</v>
      </c>
      <c r="T1659" s="42">
        <v>428888</v>
      </c>
    </row>
    <row r="1660" spans="1:20" x14ac:dyDescent="0.3">
      <c r="A1660" s="7">
        <v>43742</v>
      </c>
      <c r="B1660" s="5"/>
      <c r="C1660" s="6">
        <v>175605</v>
      </c>
      <c r="D1660" s="6">
        <v>242922</v>
      </c>
      <c r="E1660" s="6">
        <v>132503</v>
      </c>
      <c r="F1660" s="14">
        <v>509655</v>
      </c>
      <c r="G1660" s="6">
        <v>149778</v>
      </c>
      <c r="H1660" s="6">
        <v>74047</v>
      </c>
      <c r="I1660" s="6">
        <v>65468</v>
      </c>
      <c r="J1660" s="6">
        <v>255887</v>
      </c>
      <c r="K1660" s="6">
        <v>619984</v>
      </c>
      <c r="L1660" s="6">
        <v>211836</v>
      </c>
      <c r="M1660" s="6">
        <v>2150195</v>
      </c>
      <c r="N1660" s="42">
        <v>1250986</v>
      </c>
      <c r="O1660" s="42"/>
      <c r="P1660" s="42">
        <v>79844</v>
      </c>
      <c r="Q1660" s="42">
        <v>206364</v>
      </c>
      <c r="R1660" s="42">
        <v>2640994</v>
      </c>
      <c r="S1660" s="5">
        <v>124812</v>
      </c>
      <c r="T1660" s="42">
        <v>430555</v>
      </c>
    </row>
    <row r="1661" spans="1:20" x14ac:dyDescent="0.3">
      <c r="A1661" s="7">
        <v>43741</v>
      </c>
      <c r="B1661" s="5"/>
      <c r="C1661" s="6">
        <v>179727</v>
      </c>
      <c r="D1661" s="6">
        <v>246117</v>
      </c>
      <c r="E1661" s="6">
        <v>132863</v>
      </c>
      <c r="F1661" s="14">
        <v>511822</v>
      </c>
      <c r="G1661" s="6">
        <v>145395</v>
      </c>
      <c r="H1661" s="6">
        <v>73906</v>
      </c>
      <c r="I1661" s="6">
        <v>66293</v>
      </c>
      <c r="J1661" s="6">
        <v>252120</v>
      </c>
      <c r="K1661" s="6">
        <v>619747</v>
      </c>
      <c r="L1661" s="6">
        <v>212647</v>
      </c>
      <c r="M1661" s="6">
        <v>2132422</v>
      </c>
      <c r="N1661" s="42">
        <v>1271143</v>
      </c>
      <c r="O1661" s="42"/>
      <c r="P1661" s="42">
        <v>83183</v>
      </c>
      <c r="Q1661" s="42">
        <v>205580</v>
      </c>
      <c r="R1661" s="42">
        <v>2649053</v>
      </c>
      <c r="S1661" s="5">
        <v>115618</v>
      </c>
      <c r="T1661" s="42">
        <v>436509</v>
      </c>
    </row>
    <row r="1662" spans="1:20" x14ac:dyDescent="0.3">
      <c r="A1662" s="7">
        <v>43740</v>
      </c>
      <c r="B1662" s="5"/>
      <c r="C1662" s="6">
        <v>175513</v>
      </c>
      <c r="D1662" s="6">
        <v>239306</v>
      </c>
      <c r="E1662" s="6">
        <v>132500</v>
      </c>
      <c r="F1662" s="14">
        <v>512136</v>
      </c>
      <c r="G1662" s="6">
        <v>145929</v>
      </c>
      <c r="H1662" s="6">
        <v>75844</v>
      </c>
      <c r="I1662" s="6">
        <v>66765</v>
      </c>
      <c r="J1662" s="6">
        <v>247056</v>
      </c>
      <c r="K1662" s="6">
        <v>615257</v>
      </c>
      <c r="L1662" s="6">
        <v>212640</v>
      </c>
      <c r="M1662" s="6">
        <v>2108987</v>
      </c>
      <c r="N1662" s="42">
        <v>1277931</v>
      </c>
      <c r="O1662" s="42"/>
      <c r="P1662" s="42">
        <v>82008</v>
      </c>
      <c r="Q1662" s="42">
        <v>210438</v>
      </c>
      <c r="R1662" s="42">
        <v>2637720</v>
      </c>
      <c r="S1662" s="5">
        <v>112211</v>
      </c>
      <c r="T1662" s="42">
        <v>441532</v>
      </c>
    </row>
    <row r="1663" spans="1:20" x14ac:dyDescent="0.3">
      <c r="A1663" s="7">
        <v>43739</v>
      </c>
      <c r="B1663" s="5"/>
      <c r="C1663" s="6">
        <v>171940</v>
      </c>
      <c r="D1663" s="6">
        <v>238392</v>
      </c>
      <c r="E1663" s="6">
        <v>130937</v>
      </c>
      <c r="F1663" s="14">
        <v>511934</v>
      </c>
      <c r="G1663" s="6">
        <v>151860</v>
      </c>
      <c r="H1663" s="6">
        <v>75163</v>
      </c>
      <c r="I1663" s="6">
        <v>65484</v>
      </c>
      <c r="J1663" s="6">
        <v>242951</v>
      </c>
      <c r="K1663" s="6">
        <v>604885</v>
      </c>
      <c r="L1663" s="6">
        <v>212266</v>
      </c>
      <c r="M1663" s="6">
        <v>2085676</v>
      </c>
      <c r="N1663" s="42">
        <v>1266147</v>
      </c>
      <c r="O1663" s="42"/>
      <c r="P1663" s="42">
        <v>81890</v>
      </c>
      <c r="Q1663" s="42">
        <v>209067</v>
      </c>
      <c r="R1663" s="42">
        <v>2621649</v>
      </c>
      <c r="S1663" s="5">
        <v>113122</v>
      </c>
      <c r="T1663" s="42">
        <v>441168</v>
      </c>
    </row>
    <row r="1664" spans="1:20" x14ac:dyDescent="0.3">
      <c r="A1664" s="7">
        <v>43738</v>
      </c>
      <c r="B1664" s="5"/>
      <c r="C1664" s="6">
        <v>165745</v>
      </c>
      <c r="D1664" s="6">
        <v>239429</v>
      </c>
      <c r="E1664" s="6">
        <v>130964</v>
      </c>
      <c r="F1664" s="14">
        <v>505577</v>
      </c>
      <c r="G1664" s="6">
        <v>149784</v>
      </c>
      <c r="H1664" s="6">
        <v>74616</v>
      </c>
      <c r="I1664" s="6">
        <v>65019</v>
      </c>
      <c r="J1664" s="6">
        <v>234852</v>
      </c>
      <c r="K1664" s="6">
        <v>610343</v>
      </c>
      <c r="L1664" s="6">
        <v>213288</v>
      </c>
      <c r="M1664" s="6">
        <v>2071478</v>
      </c>
      <c r="N1664" s="42">
        <v>1263310</v>
      </c>
      <c r="O1664" s="42"/>
      <c r="P1664" s="42">
        <v>80006</v>
      </c>
      <c r="Q1664" s="42">
        <v>205693</v>
      </c>
      <c r="R1664" s="42">
        <v>2604174</v>
      </c>
      <c r="S1664" s="5">
        <v>109025</v>
      </c>
      <c r="T1664" s="42">
        <v>440177</v>
      </c>
    </row>
    <row r="1665" spans="1:20" x14ac:dyDescent="0.3">
      <c r="A1665" s="7">
        <v>43735</v>
      </c>
      <c r="B1665" s="5"/>
      <c r="C1665" s="6">
        <v>169056</v>
      </c>
      <c r="D1665" s="6">
        <v>237140</v>
      </c>
      <c r="E1665" s="6">
        <v>130518</v>
      </c>
      <c r="F1665" s="14">
        <v>502575</v>
      </c>
      <c r="G1665" s="6">
        <v>148680</v>
      </c>
      <c r="H1665" s="6">
        <v>72875</v>
      </c>
      <c r="I1665" s="6">
        <v>62706</v>
      </c>
      <c r="J1665" s="6">
        <v>233886</v>
      </c>
      <c r="K1665" s="6">
        <v>629466</v>
      </c>
      <c r="L1665" s="6">
        <v>213543</v>
      </c>
      <c r="M1665" s="6">
        <v>2061481</v>
      </c>
      <c r="N1665" s="42">
        <v>1238284</v>
      </c>
      <c r="O1665" s="42"/>
      <c r="P1665" s="42">
        <v>81946</v>
      </c>
      <c r="Q1665" s="42">
        <v>205621</v>
      </c>
      <c r="R1665" s="42">
        <v>2605156</v>
      </c>
      <c r="S1665" s="5">
        <v>115941</v>
      </c>
      <c r="T1665" s="42">
        <v>438025</v>
      </c>
    </row>
    <row r="1666" spans="1:20" x14ac:dyDescent="0.3">
      <c r="A1666" s="7">
        <v>43734</v>
      </c>
      <c r="B1666" s="5"/>
      <c r="C1666" s="6">
        <v>167884</v>
      </c>
      <c r="D1666" s="6">
        <v>236334</v>
      </c>
      <c r="E1666" s="6">
        <v>125188</v>
      </c>
      <c r="F1666" s="14">
        <v>503940</v>
      </c>
      <c r="G1666" s="6">
        <v>142174</v>
      </c>
      <c r="H1666" s="6">
        <v>72768</v>
      </c>
      <c r="I1666" s="6">
        <v>61723</v>
      </c>
      <c r="J1666" s="6">
        <v>232977</v>
      </c>
      <c r="K1666" s="6">
        <v>631691</v>
      </c>
      <c r="L1666" s="6">
        <v>214480</v>
      </c>
      <c r="M1666" s="6">
        <v>2044953</v>
      </c>
      <c r="N1666" s="42">
        <v>1233531</v>
      </c>
      <c r="O1666" s="42"/>
      <c r="P1666" s="42">
        <v>81000</v>
      </c>
      <c r="Q1666" s="42">
        <v>204569</v>
      </c>
      <c r="R1666" s="42">
        <v>2569503</v>
      </c>
      <c r="S1666" s="5">
        <v>114309</v>
      </c>
      <c r="T1666" s="42">
        <v>436373</v>
      </c>
    </row>
    <row r="1667" spans="1:20" x14ac:dyDescent="0.3">
      <c r="A1667" s="7">
        <v>43733</v>
      </c>
      <c r="B1667" s="5"/>
      <c r="C1667" s="6">
        <v>162989</v>
      </c>
      <c r="D1667" s="6">
        <v>236483</v>
      </c>
      <c r="E1667" s="6">
        <v>124743</v>
      </c>
      <c r="F1667" s="14">
        <v>506913</v>
      </c>
      <c r="G1667" s="6">
        <v>145079</v>
      </c>
      <c r="H1667" s="6">
        <v>73791</v>
      </c>
      <c r="I1667" s="6">
        <v>59903</v>
      </c>
      <c r="J1667" s="6">
        <v>229090</v>
      </c>
      <c r="K1667" s="6">
        <v>633947</v>
      </c>
      <c r="L1667" s="6">
        <v>216403</v>
      </c>
      <c r="M1667" s="6">
        <v>2030292</v>
      </c>
      <c r="N1667" s="42">
        <v>1215033</v>
      </c>
      <c r="O1667" s="42"/>
      <c r="P1667" s="42">
        <v>81472</v>
      </c>
      <c r="Q1667" s="42">
        <v>203823</v>
      </c>
      <c r="R1667" s="42">
        <v>2577258</v>
      </c>
      <c r="S1667" s="5">
        <v>109830</v>
      </c>
      <c r="T1667" s="42">
        <v>440299</v>
      </c>
    </row>
    <row r="1668" spans="1:20" x14ac:dyDescent="0.3">
      <c r="A1668" s="7">
        <v>43732</v>
      </c>
      <c r="B1668" s="5"/>
      <c r="C1668" s="6">
        <v>160872</v>
      </c>
      <c r="D1668" s="6">
        <v>236081</v>
      </c>
      <c r="E1668" s="6">
        <v>123017</v>
      </c>
      <c r="F1668" s="14">
        <v>502612</v>
      </c>
      <c r="G1668" s="6">
        <v>142026</v>
      </c>
      <c r="H1668" s="6">
        <v>75074</v>
      </c>
      <c r="I1668" s="6">
        <v>56934</v>
      </c>
      <c r="J1668" s="6">
        <v>230727</v>
      </c>
      <c r="K1668" s="6">
        <v>658944</v>
      </c>
      <c r="L1668" s="6">
        <v>215217</v>
      </c>
      <c r="M1668" s="6">
        <v>2048088</v>
      </c>
      <c r="N1668" s="42">
        <v>1202068</v>
      </c>
      <c r="O1668" s="42"/>
      <c r="P1668" s="42">
        <v>79129</v>
      </c>
      <c r="Q1668" s="42">
        <v>201019</v>
      </c>
      <c r="R1668" s="42">
        <v>2558637</v>
      </c>
      <c r="S1668" s="5">
        <v>111831</v>
      </c>
      <c r="T1668" s="42">
        <v>440490</v>
      </c>
    </row>
    <row r="1669" spans="1:20" x14ac:dyDescent="0.3">
      <c r="A1669" s="7">
        <v>43731</v>
      </c>
      <c r="B1669" s="5"/>
      <c r="C1669" s="6">
        <v>157146</v>
      </c>
      <c r="D1669" s="6">
        <v>234734</v>
      </c>
      <c r="E1669" s="6">
        <v>123152</v>
      </c>
      <c r="F1669" s="14">
        <v>500375</v>
      </c>
      <c r="G1669" s="6">
        <v>140332</v>
      </c>
      <c r="H1669" s="6">
        <v>75524</v>
      </c>
      <c r="I1669" s="6">
        <v>55371</v>
      </c>
      <c r="J1669" s="6">
        <v>234459</v>
      </c>
      <c r="K1669" s="6">
        <v>647392</v>
      </c>
      <c r="L1669" s="6">
        <v>215615</v>
      </c>
      <c r="M1669" s="6">
        <v>2050214</v>
      </c>
      <c r="N1669" s="42">
        <v>1192194</v>
      </c>
      <c r="O1669" s="42"/>
      <c r="P1669" s="42">
        <v>79803</v>
      </c>
      <c r="Q1669" s="42">
        <v>197890</v>
      </c>
      <c r="R1669" s="42">
        <v>2549562</v>
      </c>
      <c r="S1669" s="5">
        <v>112738</v>
      </c>
      <c r="T1669" s="42">
        <v>440936</v>
      </c>
    </row>
    <row r="1670" spans="1:20" x14ac:dyDescent="0.3">
      <c r="A1670" s="7">
        <v>43728</v>
      </c>
      <c r="B1670" s="5"/>
      <c r="C1670" s="6">
        <v>151486</v>
      </c>
      <c r="D1670" s="6">
        <v>233843</v>
      </c>
      <c r="E1670" s="6">
        <v>123631</v>
      </c>
      <c r="F1670" s="14">
        <v>508210</v>
      </c>
      <c r="G1670" s="6">
        <v>141259</v>
      </c>
      <c r="H1670" s="6">
        <v>74617</v>
      </c>
      <c r="I1670" s="6">
        <v>53540</v>
      </c>
      <c r="J1670" s="6">
        <v>234780</v>
      </c>
      <c r="K1670" s="6">
        <v>634985</v>
      </c>
      <c r="L1670" s="6">
        <v>211963</v>
      </c>
      <c r="M1670" s="6">
        <v>2052136</v>
      </c>
      <c r="N1670" s="42">
        <v>1186478</v>
      </c>
      <c r="O1670" s="42"/>
      <c r="P1670" s="42">
        <v>79398</v>
      </c>
      <c r="Q1670" s="42">
        <v>194378</v>
      </c>
      <c r="R1670" s="42">
        <v>2550791</v>
      </c>
      <c r="S1670" s="5">
        <v>117656</v>
      </c>
      <c r="T1670" s="42">
        <v>520804</v>
      </c>
    </row>
    <row r="1671" spans="1:20" x14ac:dyDescent="0.3">
      <c r="A1671" s="7">
        <v>43727</v>
      </c>
      <c r="B1671" s="5"/>
      <c r="C1671" s="6">
        <v>144245</v>
      </c>
      <c r="D1671" s="6">
        <v>233976</v>
      </c>
      <c r="E1671" s="6">
        <v>127551</v>
      </c>
      <c r="F1671" s="14">
        <v>506635</v>
      </c>
      <c r="G1671" s="6">
        <v>139365</v>
      </c>
      <c r="H1671" s="6">
        <v>71605</v>
      </c>
      <c r="I1671" s="6">
        <v>53679</v>
      </c>
      <c r="J1671" s="6">
        <v>235202</v>
      </c>
      <c r="K1671" s="6">
        <v>632101</v>
      </c>
      <c r="L1671" s="6">
        <v>211198</v>
      </c>
      <c r="M1671" s="6">
        <v>2058358</v>
      </c>
      <c r="N1671" s="42">
        <v>1196771</v>
      </c>
      <c r="O1671" s="42"/>
      <c r="P1671" s="42">
        <v>79882</v>
      </c>
      <c r="Q1671" s="42">
        <v>194863</v>
      </c>
      <c r="R1671" s="42">
        <v>2544197</v>
      </c>
      <c r="S1671" s="5">
        <v>110745</v>
      </c>
      <c r="T1671" s="42">
        <v>514362</v>
      </c>
    </row>
    <row r="1672" spans="1:20" x14ac:dyDescent="0.3">
      <c r="A1672" s="7">
        <v>43726</v>
      </c>
      <c r="B1672" s="5"/>
      <c r="C1672" s="6">
        <v>142795</v>
      </c>
      <c r="D1672" s="6">
        <v>232507</v>
      </c>
      <c r="E1672" s="6">
        <v>128351</v>
      </c>
      <c r="F1672" s="14">
        <v>505388</v>
      </c>
      <c r="G1672" s="6">
        <v>135737</v>
      </c>
      <c r="H1672" s="6">
        <v>71182</v>
      </c>
      <c r="I1672" s="6">
        <v>56328</v>
      </c>
      <c r="J1672" s="6">
        <v>233944</v>
      </c>
      <c r="K1672" s="6">
        <v>628464</v>
      </c>
      <c r="L1672" s="6">
        <v>210878</v>
      </c>
      <c r="M1672" s="6">
        <v>2056396</v>
      </c>
      <c r="N1672" s="42">
        <v>1187059</v>
      </c>
      <c r="O1672" s="42"/>
      <c r="P1672" s="42">
        <v>76838</v>
      </c>
      <c r="Q1672" s="42">
        <v>195422</v>
      </c>
      <c r="R1672" s="42">
        <v>2544670</v>
      </c>
      <c r="S1672" s="5">
        <v>113612</v>
      </c>
      <c r="T1672" s="42">
        <v>508808</v>
      </c>
    </row>
    <row r="1673" spans="1:20" x14ac:dyDescent="0.3">
      <c r="A1673" s="7">
        <v>43725</v>
      </c>
      <c r="B1673" s="29"/>
      <c r="C1673" s="6">
        <v>165337</v>
      </c>
      <c r="D1673" s="6">
        <v>291204</v>
      </c>
      <c r="E1673" s="6">
        <v>187795</v>
      </c>
      <c r="F1673" s="14">
        <v>579230</v>
      </c>
      <c r="G1673" s="6">
        <v>169610</v>
      </c>
      <c r="H1673" s="6">
        <v>85167</v>
      </c>
      <c r="I1673" s="6">
        <v>74894</v>
      </c>
      <c r="J1673" s="6">
        <v>234574</v>
      </c>
      <c r="K1673" s="6">
        <v>630990</v>
      </c>
      <c r="L1673" s="6">
        <v>212514</v>
      </c>
      <c r="M1673" s="6">
        <v>2073041</v>
      </c>
      <c r="N1673" s="42">
        <v>1172418</v>
      </c>
      <c r="O1673" s="42"/>
      <c r="P1673" s="42">
        <v>79760</v>
      </c>
      <c r="Q1673" s="42">
        <v>196541</v>
      </c>
      <c r="R1673" s="42">
        <v>2527763</v>
      </c>
      <c r="S1673" s="5">
        <v>108099</v>
      </c>
      <c r="T1673" s="42">
        <v>512420</v>
      </c>
    </row>
    <row r="1674" spans="1:20" x14ac:dyDescent="0.3">
      <c r="A1674" s="7">
        <v>43724</v>
      </c>
      <c r="B1674" s="5"/>
      <c r="C1674" s="6">
        <v>164364</v>
      </c>
      <c r="D1674" s="6">
        <v>293274</v>
      </c>
      <c r="E1674" s="6">
        <v>190824</v>
      </c>
      <c r="F1674" s="14">
        <v>576252</v>
      </c>
      <c r="G1674" s="6">
        <v>170310</v>
      </c>
      <c r="H1674" s="6">
        <v>84808</v>
      </c>
      <c r="I1674" s="6">
        <v>75011</v>
      </c>
      <c r="J1674" s="6">
        <v>237994</v>
      </c>
      <c r="K1674" s="6">
        <v>625007</v>
      </c>
      <c r="L1674" s="6">
        <v>214641</v>
      </c>
      <c r="M1674" s="6">
        <v>2125121</v>
      </c>
      <c r="N1674" s="42">
        <v>1169191</v>
      </c>
      <c r="O1674" s="42"/>
      <c r="P1674" s="42">
        <v>84501</v>
      </c>
      <c r="Q1674" s="42">
        <v>195113</v>
      </c>
      <c r="R1674" s="42">
        <v>2531296</v>
      </c>
      <c r="S1674" s="5">
        <v>117469</v>
      </c>
      <c r="T1674" s="42">
        <v>517266</v>
      </c>
    </row>
    <row r="1675" spans="1:20" x14ac:dyDescent="0.3">
      <c r="A1675" s="7">
        <v>43721</v>
      </c>
      <c r="B1675" s="5"/>
      <c r="C1675" s="6">
        <v>162798</v>
      </c>
      <c r="D1675" s="6">
        <v>296355</v>
      </c>
      <c r="E1675" s="6">
        <v>188943</v>
      </c>
      <c r="F1675" s="14">
        <v>580954</v>
      </c>
      <c r="G1675" s="6">
        <v>167431</v>
      </c>
      <c r="H1675" s="6">
        <v>84713</v>
      </c>
      <c r="I1675" s="6">
        <v>73141</v>
      </c>
      <c r="J1675" s="6">
        <v>238571</v>
      </c>
      <c r="K1675" s="6">
        <v>621630</v>
      </c>
      <c r="L1675" s="6">
        <v>216366</v>
      </c>
      <c r="M1675" s="6">
        <v>2114089</v>
      </c>
      <c r="N1675" s="42">
        <v>1170677</v>
      </c>
      <c r="O1675" s="42"/>
      <c r="P1675" s="42">
        <v>81587</v>
      </c>
      <c r="Q1675" s="42">
        <v>194284</v>
      </c>
      <c r="R1675" s="42">
        <v>2507782</v>
      </c>
      <c r="S1675" s="5">
        <v>107485</v>
      </c>
      <c r="T1675" s="42">
        <v>493119</v>
      </c>
    </row>
    <row r="1676" spans="1:20" x14ac:dyDescent="0.3">
      <c r="A1676" s="7">
        <v>43720</v>
      </c>
      <c r="B1676" s="5"/>
      <c r="C1676" s="6">
        <v>166401</v>
      </c>
      <c r="D1676" s="6">
        <v>301639</v>
      </c>
      <c r="E1676" s="6">
        <v>198218</v>
      </c>
      <c r="F1676" s="14">
        <v>589494</v>
      </c>
      <c r="G1676" s="6">
        <v>165094</v>
      </c>
      <c r="H1676" s="6">
        <v>87440</v>
      </c>
      <c r="I1676" s="6">
        <v>73806</v>
      </c>
      <c r="J1676" s="6">
        <v>237575</v>
      </c>
      <c r="K1676" s="6">
        <v>623637</v>
      </c>
      <c r="L1676" s="6">
        <v>218184</v>
      </c>
      <c r="M1676" s="6">
        <v>2092716</v>
      </c>
      <c r="N1676" s="42">
        <v>1156569</v>
      </c>
      <c r="O1676" s="42"/>
      <c r="P1676" s="42">
        <v>80341</v>
      </c>
      <c r="Q1676" s="42">
        <v>193379</v>
      </c>
      <c r="R1676" s="42">
        <v>2504695</v>
      </c>
      <c r="S1676" s="5">
        <v>108470</v>
      </c>
      <c r="T1676" s="42">
        <v>484125</v>
      </c>
    </row>
    <row r="1677" spans="1:20" x14ac:dyDescent="0.3">
      <c r="A1677" s="7">
        <v>43719</v>
      </c>
      <c r="B1677" s="5"/>
      <c r="C1677" s="6">
        <v>179833</v>
      </c>
      <c r="D1677" s="6">
        <v>299923</v>
      </c>
      <c r="E1677" s="6">
        <v>187260</v>
      </c>
      <c r="F1677" s="14">
        <v>603142</v>
      </c>
      <c r="G1677" s="6">
        <v>161658</v>
      </c>
      <c r="H1677" s="6">
        <v>79890</v>
      </c>
      <c r="I1677" s="6">
        <v>69678</v>
      </c>
      <c r="J1677" s="6">
        <v>240935</v>
      </c>
      <c r="K1677" s="6">
        <v>620212</v>
      </c>
      <c r="L1677" s="6">
        <v>217690</v>
      </c>
      <c r="M1677" s="6">
        <v>2076864</v>
      </c>
      <c r="N1677" s="42">
        <v>1161049</v>
      </c>
      <c r="O1677" s="42"/>
      <c r="P1677" s="42">
        <v>79442</v>
      </c>
      <c r="Q1677" s="42">
        <v>193748</v>
      </c>
      <c r="R1677" s="42">
        <v>2508103</v>
      </c>
      <c r="S1677" s="5">
        <v>109131</v>
      </c>
      <c r="T1677" s="42">
        <v>472047</v>
      </c>
    </row>
    <row r="1678" spans="1:20" x14ac:dyDescent="0.3">
      <c r="A1678" s="7">
        <v>43718</v>
      </c>
      <c r="B1678" s="29"/>
      <c r="C1678" s="6">
        <v>182355</v>
      </c>
      <c r="D1678" s="6">
        <v>283161</v>
      </c>
      <c r="E1678" s="6">
        <v>183058</v>
      </c>
      <c r="F1678" s="14">
        <v>585117</v>
      </c>
      <c r="G1678" s="6">
        <v>151397</v>
      </c>
      <c r="H1678" s="6">
        <v>73148</v>
      </c>
      <c r="I1678" s="6">
        <v>64165</v>
      </c>
      <c r="J1678" s="6">
        <v>241910</v>
      </c>
      <c r="K1678" s="6">
        <v>614753</v>
      </c>
      <c r="L1678" s="6">
        <v>217433</v>
      </c>
      <c r="M1678" s="6">
        <v>2080994</v>
      </c>
      <c r="N1678" s="42">
        <v>1147078</v>
      </c>
      <c r="O1678" s="42"/>
      <c r="P1678" s="42">
        <v>78191</v>
      </c>
      <c r="Q1678" s="42">
        <v>193624</v>
      </c>
      <c r="R1678" s="42">
        <v>2504206</v>
      </c>
      <c r="S1678" s="5">
        <v>107250</v>
      </c>
      <c r="T1678" s="42">
        <v>464497</v>
      </c>
    </row>
    <row r="1679" spans="1:20" x14ac:dyDescent="0.3">
      <c r="A1679" s="7">
        <v>43717</v>
      </c>
      <c r="B1679" s="7"/>
      <c r="C1679" s="6">
        <v>176090</v>
      </c>
      <c r="D1679" s="6">
        <v>272142</v>
      </c>
      <c r="E1679" s="6">
        <v>169253</v>
      </c>
      <c r="F1679" s="14">
        <v>564628</v>
      </c>
      <c r="G1679" s="6">
        <v>156551</v>
      </c>
      <c r="H1679" s="6">
        <v>72366</v>
      </c>
      <c r="I1679" s="6">
        <v>59455</v>
      </c>
      <c r="J1679" s="6">
        <v>243060</v>
      </c>
      <c r="K1679" s="6">
        <v>617795</v>
      </c>
      <c r="L1679" s="6">
        <v>217798</v>
      </c>
      <c r="M1679" s="6">
        <v>2082002</v>
      </c>
      <c r="N1679" s="42">
        <v>1148638</v>
      </c>
      <c r="O1679" s="42"/>
      <c r="P1679" s="42">
        <v>77256</v>
      </c>
      <c r="Q1679" s="42">
        <v>193513</v>
      </c>
      <c r="R1679" s="42">
        <v>2503709</v>
      </c>
      <c r="S1679" s="5">
        <v>108733</v>
      </c>
      <c r="T1679" s="42">
        <v>457265</v>
      </c>
    </row>
    <row r="1680" spans="1:20" x14ac:dyDescent="0.3">
      <c r="A1680" s="7">
        <v>43714</v>
      </c>
      <c r="B1680" s="7"/>
      <c r="C1680" s="6">
        <v>177029</v>
      </c>
      <c r="D1680" s="6">
        <v>277010</v>
      </c>
      <c r="E1680" s="6">
        <v>168467</v>
      </c>
      <c r="F1680" s="14">
        <v>560201</v>
      </c>
      <c r="G1680" s="6">
        <v>159788</v>
      </c>
      <c r="H1680" s="6">
        <v>71987</v>
      </c>
      <c r="I1680" s="6">
        <v>58880</v>
      </c>
      <c r="J1680" s="6">
        <v>249268</v>
      </c>
      <c r="K1680" s="6">
        <v>617054</v>
      </c>
      <c r="L1680" s="6">
        <v>216199</v>
      </c>
      <c r="M1680" s="6">
        <v>2066092</v>
      </c>
      <c r="N1680" s="42">
        <v>1188157</v>
      </c>
      <c r="O1680" s="42"/>
      <c r="P1680" s="42">
        <v>87297</v>
      </c>
      <c r="Q1680" s="42">
        <v>230811</v>
      </c>
      <c r="R1680" s="42">
        <v>2673769</v>
      </c>
      <c r="S1680" s="5">
        <v>109466</v>
      </c>
      <c r="T1680" s="42">
        <v>459140</v>
      </c>
    </row>
    <row r="1681" spans="1:20" x14ac:dyDescent="0.3">
      <c r="A1681" s="7">
        <v>43713</v>
      </c>
      <c r="B1681" s="7"/>
      <c r="C1681" s="6">
        <v>175218</v>
      </c>
      <c r="D1681" s="6">
        <v>273717</v>
      </c>
      <c r="E1681" s="6">
        <v>163662</v>
      </c>
      <c r="F1681" s="14">
        <v>552228</v>
      </c>
      <c r="G1681" s="6">
        <v>159846</v>
      </c>
      <c r="H1681" s="6">
        <v>73344</v>
      </c>
      <c r="I1681" s="6">
        <v>60137</v>
      </c>
      <c r="J1681" s="6">
        <v>252339</v>
      </c>
      <c r="K1681" s="6">
        <v>618240</v>
      </c>
      <c r="L1681" s="6">
        <v>216682</v>
      </c>
      <c r="M1681" s="6">
        <v>2078708</v>
      </c>
      <c r="N1681" s="42">
        <v>1176625</v>
      </c>
      <c r="O1681" s="42"/>
      <c r="P1681" s="42">
        <v>88012</v>
      </c>
      <c r="Q1681" s="42">
        <v>227731</v>
      </c>
      <c r="R1681" s="42">
        <v>2680882</v>
      </c>
      <c r="S1681" s="5">
        <v>117854</v>
      </c>
      <c r="T1681" s="42">
        <v>457448</v>
      </c>
    </row>
    <row r="1682" spans="1:20" x14ac:dyDescent="0.3">
      <c r="A1682" s="7">
        <v>43712</v>
      </c>
      <c r="B1682" s="7"/>
      <c r="C1682" s="6">
        <v>175505</v>
      </c>
      <c r="D1682" s="6">
        <v>272690</v>
      </c>
      <c r="E1682" s="6">
        <v>169532</v>
      </c>
      <c r="F1682" s="14">
        <v>546197</v>
      </c>
      <c r="G1682" s="6">
        <v>163500</v>
      </c>
      <c r="H1682" s="6">
        <v>72450</v>
      </c>
      <c r="I1682" s="6">
        <v>59388</v>
      </c>
      <c r="J1682" s="6">
        <v>253852</v>
      </c>
      <c r="K1682" s="6">
        <v>643563</v>
      </c>
      <c r="L1682" s="6">
        <v>222986</v>
      </c>
      <c r="M1682" s="6">
        <v>2086107</v>
      </c>
      <c r="N1682" s="42">
        <v>1166733</v>
      </c>
      <c r="O1682" s="42"/>
      <c r="P1682" s="42">
        <v>87848</v>
      </c>
      <c r="Q1682" s="42">
        <v>228668</v>
      </c>
      <c r="R1682" s="42">
        <v>2693689</v>
      </c>
      <c r="S1682" s="5">
        <v>113105</v>
      </c>
      <c r="T1682" s="42">
        <v>460311</v>
      </c>
    </row>
    <row r="1683" spans="1:20" x14ac:dyDescent="0.3">
      <c r="A1683" s="7">
        <v>43711</v>
      </c>
      <c r="B1683" s="7"/>
      <c r="C1683" s="6">
        <v>174021</v>
      </c>
      <c r="D1683" s="6">
        <v>272396</v>
      </c>
      <c r="E1683" s="6">
        <v>167396</v>
      </c>
      <c r="F1683" s="14">
        <v>546954</v>
      </c>
      <c r="G1683" s="6">
        <v>157788</v>
      </c>
      <c r="H1683" s="6">
        <v>67827</v>
      </c>
      <c r="I1683" s="6">
        <v>60867</v>
      </c>
      <c r="J1683" s="6">
        <v>260040</v>
      </c>
      <c r="K1683" s="6">
        <v>634358</v>
      </c>
      <c r="L1683" s="6">
        <v>225688</v>
      </c>
      <c r="M1683" s="6">
        <v>2082415</v>
      </c>
      <c r="N1683" s="42">
        <v>1165221</v>
      </c>
      <c r="O1683" s="42"/>
      <c r="P1683" s="42">
        <v>85414</v>
      </c>
      <c r="Q1683" s="42">
        <v>223287</v>
      </c>
      <c r="R1683" s="42">
        <v>2699419</v>
      </c>
      <c r="S1683" s="5">
        <v>108523</v>
      </c>
      <c r="T1683" s="42">
        <v>461893</v>
      </c>
    </row>
    <row r="1684" spans="1:20" x14ac:dyDescent="0.3">
      <c r="A1684" s="7">
        <v>43707</v>
      </c>
      <c r="B1684" s="7"/>
      <c r="C1684" s="6">
        <v>167709</v>
      </c>
      <c r="D1684" s="6">
        <v>266660</v>
      </c>
      <c r="E1684" s="6">
        <v>163487</v>
      </c>
      <c r="F1684" s="14">
        <v>538905</v>
      </c>
      <c r="G1684" s="6">
        <v>152498</v>
      </c>
      <c r="H1684" s="6">
        <v>69606</v>
      </c>
      <c r="I1684" s="6">
        <v>58268</v>
      </c>
      <c r="J1684" s="6">
        <v>258135</v>
      </c>
      <c r="K1684" s="6">
        <v>609472</v>
      </c>
      <c r="L1684" s="6">
        <v>218787</v>
      </c>
      <c r="M1684" s="6">
        <v>2062097</v>
      </c>
      <c r="N1684" s="42">
        <v>1168379</v>
      </c>
      <c r="O1684" s="42"/>
      <c r="P1684" s="42">
        <v>84658</v>
      </c>
      <c r="Q1684" s="42">
        <v>220025</v>
      </c>
      <c r="R1684" s="42">
        <v>2664296</v>
      </c>
      <c r="S1684" s="29">
        <v>109568</v>
      </c>
      <c r="T1684" s="42">
        <v>461681</v>
      </c>
    </row>
    <row r="1685" spans="1:20" x14ac:dyDescent="0.3">
      <c r="A1685" s="7">
        <v>43706</v>
      </c>
      <c r="B1685" s="7"/>
      <c r="C1685" s="6">
        <v>168588</v>
      </c>
      <c r="D1685" s="6">
        <v>267367</v>
      </c>
      <c r="E1685" s="6">
        <v>161999</v>
      </c>
      <c r="F1685" s="14">
        <v>533580</v>
      </c>
      <c r="G1685" s="6">
        <v>153041</v>
      </c>
      <c r="H1685" s="6">
        <v>70318</v>
      </c>
      <c r="I1685" s="6">
        <v>55938</v>
      </c>
      <c r="J1685" s="6">
        <v>254693</v>
      </c>
      <c r="K1685" s="6">
        <v>618946</v>
      </c>
      <c r="L1685" s="6">
        <v>224177</v>
      </c>
      <c r="M1685" s="6">
        <v>2051415</v>
      </c>
      <c r="N1685" s="42">
        <v>1166555</v>
      </c>
      <c r="O1685" s="42"/>
      <c r="P1685" s="42">
        <v>84362</v>
      </c>
      <c r="Q1685" s="42">
        <v>214987</v>
      </c>
      <c r="R1685" s="42">
        <v>2622592</v>
      </c>
      <c r="S1685">
        <v>110176</v>
      </c>
      <c r="T1685" s="42">
        <v>462231</v>
      </c>
    </row>
    <row r="1686" spans="1:20" x14ac:dyDescent="0.3">
      <c r="A1686" s="7">
        <v>43705</v>
      </c>
      <c r="B1686" s="7"/>
      <c r="C1686" s="6">
        <v>168532</v>
      </c>
      <c r="D1686" s="6">
        <v>271140</v>
      </c>
      <c r="E1686" s="6">
        <v>161743</v>
      </c>
      <c r="F1686" s="14">
        <v>530465</v>
      </c>
      <c r="G1686" s="6">
        <v>156294</v>
      </c>
      <c r="H1686" s="6">
        <v>66458</v>
      </c>
      <c r="I1686" s="6">
        <v>54562</v>
      </c>
      <c r="J1686" s="6">
        <v>260252</v>
      </c>
      <c r="K1686" s="6">
        <v>629729</v>
      </c>
      <c r="L1686" s="6">
        <v>227327</v>
      </c>
      <c r="M1686" s="6">
        <v>2017492</v>
      </c>
      <c r="N1686" s="42">
        <v>1171144</v>
      </c>
      <c r="O1686" s="42"/>
      <c r="P1686" s="42">
        <v>82253</v>
      </c>
      <c r="Q1686" s="42">
        <v>218063</v>
      </c>
      <c r="R1686" s="42">
        <v>2631143</v>
      </c>
      <c r="S1686">
        <v>112707</v>
      </c>
      <c r="T1686" s="42">
        <v>462925</v>
      </c>
    </row>
    <row r="1687" spans="1:20" x14ac:dyDescent="0.3">
      <c r="A1687" s="7">
        <v>43704</v>
      </c>
      <c r="B1687" s="7"/>
      <c r="C1687" s="6">
        <v>165752</v>
      </c>
      <c r="D1687" s="6">
        <v>273650</v>
      </c>
      <c r="E1687" s="6">
        <v>158921</v>
      </c>
      <c r="F1687" s="14">
        <v>525065</v>
      </c>
      <c r="G1687" s="6">
        <v>157862</v>
      </c>
      <c r="H1687" s="6">
        <v>64672</v>
      </c>
      <c r="I1687" s="6">
        <v>55251</v>
      </c>
      <c r="J1687" s="6">
        <v>262762</v>
      </c>
      <c r="K1687" s="6">
        <v>636183</v>
      </c>
      <c r="L1687" s="6">
        <v>239970</v>
      </c>
      <c r="M1687" s="6">
        <v>2003007</v>
      </c>
      <c r="N1687" s="42">
        <v>1177543</v>
      </c>
      <c r="O1687" s="42"/>
      <c r="P1687" s="42">
        <v>83138</v>
      </c>
      <c r="Q1687" s="42">
        <v>219063</v>
      </c>
      <c r="R1687" s="42">
        <v>2608978</v>
      </c>
      <c r="S1687">
        <v>106142</v>
      </c>
      <c r="T1687" s="42">
        <v>468827</v>
      </c>
    </row>
    <row r="1688" spans="1:20" x14ac:dyDescent="0.3">
      <c r="A1688" s="7">
        <v>43703</v>
      </c>
      <c r="B1688" s="7"/>
      <c r="C1688" s="6">
        <v>167970</v>
      </c>
      <c r="D1688" s="6">
        <v>274628</v>
      </c>
      <c r="E1688" s="6">
        <v>158807</v>
      </c>
      <c r="F1688" s="14">
        <v>524184</v>
      </c>
      <c r="G1688" s="6">
        <v>155915</v>
      </c>
      <c r="H1688" s="6">
        <v>63897</v>
      </c>
      <c r="I1688" s="6">
        <v>54936</v>
      </c>
      <c r="J1688" s="6">
        <v>272948</v>
      </c>
      <c r="K1688" s="6">
        <v>628862</v>
      </c>
      <c r="L1688" s="6">
        <v>238809</v>
      </c>
      <c r="M1688" s="6">
        <v>1991193</v>
      </c>
      <c r="N1688" s="42">
        <v>1214115</v>
      </c>
      <c r="O1688" s="42"/>
      <c r="P1688" s="42">
        <v>82138</v>
      </c>
      <c r="Q1688" s="42">
        <v>221601</v>
      </c>
      <c r="R1688" s="42">
        <v>2628240</v>
      </c>
      <c r="S1688">
        <v>112253</v>
      </c>
      <c r="T1688" s="42">
        <v>460343</v>
      </c>
    </row>
    <row r="1689" spans="1:20" x14ac:dyDescent="0.3">
      <c r="A1689" s="7">
        <v>43700</v>
      </c>
      <c r="B1689" s="7"/>
      <c r="C1689" s="6">
        <v>169182</v>
      </c>
      <c r="D1689" s="6">
        <v>272403</v>
      </c>
      <c r="E1689" s="6">
        <v>157567</v>
      </c>
      <c r="F1689" s="14">
        <v>527490</v>
      </c>
      <c r="G1689" s="6">
        <v>160592</v>
      </c>
      <c r="H1689" s="6">
        <v>63533</v>
      </c>
      <c r="I1689" s="6">
        <v>54499</v>
      </c>
      <c r="J1689" s="6">
        <v>274664</v>
      </c>
      <c r="K1689" s="6">
        <v>629465</v>
      </c>
      <c r="L1689" s="6">
        <v>239753</v>
      </c>
      <c r="M1689" s="6">
        <v>1978290</v>
      </c>
      <c r="N1689" s="42">
        <v>1231561</v>
      </c>
      <c r="O1689" s="42"/>
      <c r="P1689" s="42">
        <v>82483</v>
      </c>
      <c r="Q1689" s="42">
        <v>215474</v>
      </c>
      <c r="R1689" s="42">
        <v>2623277</v>
      </c>
      <c r="S1689">
        <v>106403</v>
      </c>
      <c r="T1689" s="42">
        <v>456938</v>
      </c>
    </row>
    <row r="1690" spans="1:20" x14ac:dyDescent="0.3">
      <c r="A1690" s="7">
        <v>43699</v>
      </c>
      <c r="B1690" s="7"/>
      <c r="C1690" s="6">
        <v>170331</v>
      </c>
      <c r="D1690" s="6">
        <v>275522</v>
      </c>
      <c r="E1690" s="6">
        <v>154775</v>
      </c>
      <c r="F1690" s="14">
        <v>527407</v>
      </c>
      <c r="G1690" s="6">
        <v>150736</v>
      </c>
      <c r="H1690" s="6">
        <v>62563</v>
      </c>
      <c r="I1690" s="6">
        <v>53714</v>
      </c>
      <c r="J1690" s="6">
        <v>276174</v>
      </c>
      <c r="K1690" s="6">
        <v>598402</v>
      </c>
      <c r="L1690" s="6">
        <v>235647</v>
      </c>
      <c r="M1690" s="6">
        <v>1986260</v>
      </c>
      <c r="N1690" s="42">
        <v>1239867</v>
      </c>
      <c r="O1690" s="42"/>
      <c r="P1690" s="42">
        <v>79831</v>
      </c>
      <c r="Q1690" s="42">
        <v>218936</v>
      </c>
      <c r="R1690" s="42">
        <v>2638867</v>
      </c>
      <c r="S1690">
        <v>42486</v>
      </c>
      <c r="T1690" s="42">
        <v>449957</v>
      </c>
    </row>
    <row r="1691" spans="1:20" x14ac:dyDescent="0.3">
      <c r="A1691" s="7">
        <v>43698</v>
      </c>
      <c r="B1691" s="7"/>
      <c r="C1691" s="6">
        <v>170482</v>
      </c>
      <c r="D1691" s="6">
        <v>273073</v>
      </c>
      <c r="E1691" s="6">
        <v>152879</v>
      </c>
      <c r="F1691" s="14">
        <v>543399</v>
      </c>
      <c r="G1691" s="6">
        <v>151891</v>
      </c>
      <c r="H1691" s="6">
        <v>62988</v>
      </c>
      <c r="I1691" s="6">
        <v>55012</v>
      </c>
      <c r="J1691" s="6">
        <v>275853</v>
      </c>
      <c r="K1691" s="6">
        <v>595486</v>
      </c>
      <c r="L1691" s="6">
        <v>234447</v>
      </c>
      <c r="M1691" s="6">
        <v>1986332</v>
      </c>
      <c r="N1691" s="42">
        <v>1254740</v>
      </c>
      <c r="O1691" s="42"/>
      <c r="P1691" s="42">
        <v>81446</v>
      </c>
      <c r="Q1691" s="42">
        <v>216030</v>
      </c>
      <c r="R1691" s="42">
        <v>2636568</v>
      </c>
      <c r="S1691">
        <v>79505</v>
      </c>
      <c r="T1691" s="42">
        <v>449930</v>
      </c>
    </row>
    <row r="1692" spans="1:20" x14ac:dyDescent="0.3">
      <c r="A1692" s="7">
        <v>43697</v>
      </c>
      <c r="B1692" s="7"/>
      <c r="C1692" s="6">
        <v>169713</v>
      </c>
      <c r="D1692" s="6">
        <v>274377</v>
      </c>
      <c r="E1692" s="6">
        <v>155837</v>
      </c>
      <c r="F1692" s="14">
        <v>543481</v>
      </c>
      <c r="G1692" s="6">
        <v>155481</v>
      </c>
      <c r="H1692" s="6">
        <v>62760</v>
      </c>
      <c r="I1692" s="6">
        <v>54941</v>
      </c>
      <c r="J1692" s="6">
        <v>281852</v>
      </c>
      <c r="K1692" s="6">
        <v>594807</v>
      </c>
      <c r="L1692" s="6">
        <v>238086</v>
      </c>
      <c r="M1692" s="6">
        <v>2002847</v>
      </c>
      <c r="N1692" s="42">
        <v>1264550</v>
      </c>
      <c r="O1692" s="42"/>
      <c r="P1692" s="42">
        <v>83668</v>
      </c>
      <c r="Q1692" s="42">
        <v>215006</v>
      </c>
      <c r="R1692" s="42">
        <v>2645788</v>
      </c>
      <c r="S1692">
        <v>100158</v>
      </c>
      <c r="T1692" s="42">
        <v>452305</v>
      </c>
    </row>
    <row r="1693" spans="1:20" x14ac:dyDescent="0.3">
      <c r="A1693" s="7">
        <v>43696</v>
      </c>
      <c r="B1693" s="7"/>
      <c r="C1693" s="6">
        <v>170775</v>
      </c>
      <c r="D1693" s="6">
        <v>274734</v>
      </c>
      <c r="E1693" s="6">
        <v>156437</v>
      </c>
      <c r="F1693" s="14">
        <v>548033</v>
      </c>
      <c r="G1693" s="6">
        <v>152204</v>
      </c>
      <c r="H1693" s="6">
        <v>61133</v>
      </c>
      <c r="I1693" s="6">
        <v>55377</v>
      </c>
      <c r="J1693" s="6">
        <v>286923</v>
      </c>
      <c r="K1693" s="6">
        <v>593610</v>
      </c>
      <c r="L1693" s="6">
        <v>230445</v>
      </c>
      <c r="M1693" s="6">
        <v>2017544</v>
      </c>
      <c r="N1693" s="42">
        <v>1289479</v>
      </c>
      <c r="O1693" s="42"/>
      <c r="P1693" s="42">
        <v>80509</v>
      </c>
      <c r="Q1693" s="42">
        <v>214077</v>
      </c>
      <c r="R1693" s="42">
        <v>2624850</v>
      </c>
      <c r="S1693">
        <v>107363</v>
      </c>
      <c r="T1693" s="42">
        <v>451639</v>
      </c>
    </row>
    <row r="1694" spans="1:20" x14ac:dyDescent="0.3">
      <c r="A1694" s="7">
        <v>43693</v>
      </c>
      <c r="B1694" s="7"/>
      <c r="C1694" s="6">
        <v>172506</v>
      </c>
      <c r="D1694" s="6">
        <v>274218</v>
      </c>
      <c r="E1694" s="6">
        <v>157408</v>
      </c>
      <c r="F1694" s="14">
        <v>550516</v>
      </c>
      <c r="G1694" s="6">
        <v>154547</v>
      </c>
      <c r="H1694" s="6">
        <v>59945</v>
      </c>
      <c r="I1694" s="6">
        <v>53594</v>
      </c>
      <c r="J1694" s="6">
        <v>288530</v>
      </c>
      <c r="K1694" s="6">
        <v>599357</v>
      </c>
      <c r="L1694" s="6">
        <v>227296</v>
      </c>
      <c r="M1694" s="6">
        <v>2031139</v>
      </c>
      <c r="N1694" s="42">
        <v>1331880</v>
      </c>
      <c r="O1694" s="42"/>
      <c r="P1694" s="42">
        <v>81182</v>
      </c>
      <c r="Q1694" s="42">
        <v>219181</v>
      </c>
      <c r="R1694" s="42">
        <v>2675200</v>
      </c>
      <c r="S1694">
        <v>104193</v>
      </c>
      <c r="T1694" s="42">
        <v>451732</v>
      </c>
    </row>
    <row r="1695" spans="1:20" x14ac:dyDescent="0.3">
      <c r="A1695" s="7">
        <v>43692</v>
      </c>
      <c r="B1695" s="7"/>
      <c r="C1695" s="6">
        <v>172509</v>
      </c>
      <c r="D1695" s="6">
        <v>276248</v>
      </c>
      <c r="E1695" s="6">
        <v>160725</v>
      </c>
      <c r="F1695" s="14">
        <v>548998</v>
      </c>
      <c r="G1695" s="6">
        <v>160206</v>
      </c>
      <c r="H1695" s="6">
        <v>59424</v>
      </c>
      <c r="I1695" s="6">
        <v>53741</v>
      </c>
      <c r="J1695" s="6">
        <v>288980</v>
      </c>
      <c r="K1695" s="6">
        <v>605885</v>
      </c>
      <c r="L1695" s="6">
        <v>228803</v>
      </c>
      <c r="M1695" s="6">
        <v>2022692</v>
      </c>
      <c r="N1695" s="42">
        <v>1320097</v>
      </c>
      <c r="O1695" s="42"/>
      <c r="P1695" s="42">
        <v>79306</v>
      </c>
      <c r="Q1695" s="42">
        <v>216570</v>
      </c>
      <c r="R1695" s="42">
        <v>2693544</v>
      </c>
      <c r="S1695">
        <v>114109</v>
      </c>
      <c r="T1695" s="42">
        <v>461020</v>
      </c>
    </row>
    <row r="1696" spans="1:20" x14ac:dyDescent="0.3">
      <c r="A1696" s="7">
        <v>43691</v>
      </c>
      <c r="B1696" s="7"/>
      <c r="C1696" s="6">
        <v>175729</v>
      </c>
      <c r="D1696" s="6">
        <v>271088</v>
      </c>
      <c r="E1696" s="6">
        <v>161970</v>
      </c>
      <c r="F1696" s="14">
        <v>550483</v>
      </c>
      <c r="G1696" s="6">
        <v>163132</v>
      </c>
      <c r="H1696" s="6">
        <v>59186</v>
      </c>
      <c r="I1696" s="6">
        <v>54727</v>
      </c>
      <c r="J1696" s="6">
        <v>290073</v>
      </c>
      <c r="K1696" s="6">
        <v>598906</v>
      </c>
      <c r="L1696" s="6">
        <v>233095</v>
      </c>
      <c r="M1696" s="6">
        <v>2050948</v>
      </c>
      <c r="N1696" s="42">
        <v>1333941</v>
      </c>
      <c r="O1696" s="42"/>
      <c r="P1696" s="42">
        <v>79347</v>
      </c>
      <c r="Q1696" s="42">
        <v>214740</v>
      </c>
      <c r="R1696" s="42">
        <v>2696404</v>
      </c>
      <c r="S1696">
        <v>106290</v>
      </c>
      <c r="T1696" s="42">
        <v>457067</v>
      </c>
    </row>
    <row r="1697" spans="1:20" x14ac:dyDescent="0.3">
      <c r="A1697" s="7">
        <v>43690</v>
      </c>
      <c r="B1697" s="7"/>
      <c r="C1697" s="6">
        <v>175597</v>
      </c>
      <c r="D1697" s="6">
        <v>273931</v>
      </c>
      <c r="E1697" s="6">
        <v>160861</v>
      </c>
      <c r="F1697" s="14">
        <v>550607</v>
      </c>
      <c r="G1697" s="6">
        <v>160271</v>
      </c>
      <c r="H1697" s="6">
        <v>59895</v>
      </c>
      <c r="I1697" s="6">
        <v>54267</v>
      </c>
      <c r="J1697" s="6">
        <v>295608</v>
      </c>
      <c r="K1697" s="6">
        <v>593962</v>
      </c>
      <c r="L1697" s="6">
        <v>233839</v>
      </c>
      <c r="M1697" s="6">
        <v>2059135</v>
      </c>
      <c r="N1697" s="42">
        <v>1339522</v>
      </c>
      <c r="O1697" s="42"/>
      <c r="P1697" s="42">
        <v>77019</v>
      </c>
      <c r="Q1697" s="42">
        <v>206783</v>
      </c>
      <c r="R1697" s="42">
        <v>2676983</v>
      </c>
      <c r="S1697">
        <v>108682</v>
      </c>
      <c r="T1697" s="42">
        <v>449075</v>
      </c>
    </row>
    <row r="1698" spans="1:20" x14ac:dyDescent="0.3">
      <c r="A1698" s="7">
        <v>43689</v>
      </c>
      <c r="B1698" s="7"/>
      <c r="C1698" s="6">
        <v>176048</v>
      </c>
      <c r="D1698" s="6">
        <v>272764</v>
      </c>
      <c r="E1698" s="6">
        <v>162746</v>
      </c>
      <c r="F1698" s="14">
        <v>532094</v>
      </c>
      <c r="G1698" s="6">
        <v>158092</v>
      </c>
      <c r="H1698" s="6">
        <v>57462</v>
      </c>
      <c r="I1698" s="6">
        <v>54637</v>
      </c>
      <c r="J1698" s="6">
        <v>295392</v>
      </c>
      <c r="K1698" s="6">
        <v>604394</v>
      </c>
      <c r="L1698" s="6">
        <v>232922</v>
      </c>
      <c r="M1698" s="6">
        <v>2053528</v>
      </c>
      <c r="N1698" s="42">
        <v>1327949</v>
      </c>
      <c r="O1698" s="42"/>
      <c r="P1698" s="42">
        <v>78885</v>
      </c>
      <c r="Q1698" s="42">
        <v>217102</v>
      </c>
      <c r="R1698" s="42">
        <v>2662238</v>
      </c>
      <c r="S1698">
        <v>104334</v>
      </c>
      <c r="T1698" s="42">
        <v>448990</v>
      </c>
    </row>
    <row r="1699" spans="1:20" x14ac:dyDescent="0.3">
      <c r="A1699" s="7">
        <v>43686</v>
      </c>
      <c r="B1699" s="7"/>
      <c r="C1699" s="6">
        <v>177393</v>
      </c>
      <c r="D1699" s="6">
        <v>278697</v>
      </c>
      <c r="E1699" s="6">
        <v>161867</v>
      </c>
      <c r="F1699" s="14">
        <v>532816</v>
      </c>
      <c r="G1699" s="6">
        <v>157274</v>
      </c>
      <c r="H1699" s="6">
        <v>57651</v>
      </c>
      <c r="I1699" s="6">
        <v>54440</v>
      </c>
      <c r="J1699" s="6">
        <v>296270</v>
      </c>
      <c r="K1699" s="6">
        <v>598150</v>
      </c>
      <c r="L1699" s="6">
        <v>237790</v>
      </c>
      <c r="M1699" s="6">
        <v>2058094</v>
      </c>
      <c r="N1699" s="42">
        <v>1310805</v>
      </c>
      <c r="O1699" s="42"/>
      <c r="P1699" s="42">
        <v>77836</v>
      </c>
      <c r="Q1699" s="42">
        <v>215708</v>
      </c>
      <c r="R1699" s="42">
        <v>2660428</v>
      </c>
      <c r="S1699">
        <v>105955</v>
      </c>
      <c r="T1699" s="42">
        <v>448651</v>
      </c>
    </row>
    <row r="1700" spans="1:20" x14ac:dyDescent="0.3">
      <c r="A1700" s="7">
        <v>43685</v>
      </c>
      <c r="B1700" s="7"/>
      <c r="C1700" s="6">
        <v>176882</v>
      </c>
      <c r="D1700" s="6">
        <v>288418</v>
      </c>
      <c r="E1700" s="6">
        <v>163966</v>
      </c>
      <c r="F1700" s="14">
        <v>537846</v>
      </c>
      <c r="G1700" s="6">
        <v>154363</v>
      </c>
      <c r="H1700" s="6">
        <v>58092</v>
      </c>
      <c r="I1700" s="6">
        <v>54518</v>
      </c>
      <c r="J1700" s="6">
        <v>297431</v>
      </c>
      <c r="K1700" s="6">
        <v>602423</v>
      </c>
      <c r="L1700" s="6">
        <v>243106</v>
      </c>
      <c r="M1700" s="6">
        <v>2057593</v>
      </c>
      <c r="N1700" s="42">
        <v>1318506</v>
      </c>
      <c r="O1700" s="42"/>
      <c r="P1700" s="42">
        <v>77944</v>
      </c>
      <c r="Q1700" s="42">
        <v>212579</v>
      </c>
      <c r="R1700" s="42">
        <v>2654580</v>
      </c>
      <c r="S1700">
        <v>111698</v>
      </c>
      <c r="T1700" s="42">
        <v>455422</v>
      </c>
    </row>
    <row r="1701" spans="1:20" x14ac:dyDescent="0.3">
      <c r="A1701" s="7">
        <v>43684</v>
      </c>
      <c r="B1701" s="7"/>
      <c r="C1701" s="6">
        <v>179116</v>
      </c>
      <c r="D1701" s="6">
        <v>291704</v>
      </c>
      <c r="E1701" s="6">
        <v>168684</v>
      </c>
      <c r="F1701" s="14">
        <v>539576</v>
      </c>
      <c r="G1701" s="6">
        <v>153367</v>
      </c>
      <c r="H1701" s="6">
        <v>59269</v>
      </c>
      <c r="I1701" s="6">
        <v>55112</v>
      </c>
      <c r="J1701" s="6">
        <v>304813</v>
      </c>
      <c r="K1701" s="6">
        <v>599966</v>
      </c>
      <c r="L1701" s="6">
        <v>244169</v>
      </c>
      <c r="M1701" s="6">
        <v>2057934</v>
      </c>
      <c r="N1701" s="42">
        <v>1315746</v>
      </c>
      <c r="O1701" s="42"/>
      <c r="P1701" s="42">
        <v>75219</v>
      </c>
      <c r="Q1701" s="42">
        <v>208903</v>
      </c>
      <c r="R1701" s="42">
        <v>2655210</v>
      </c>
      <c r="S1701">
        <v>112978</v>
      </c>
      <c r="T1701" s="42">
        <v>452499</v>
      </c>
    </row>
    <row r="1702" spans="1:20" x14ac:dyDescent="0.3">
      <c r="A1702" s="7">
        <v>43683</v>
      </c>
      <c r="B1702" s="7"/>
      <c r="C1702" s="6">
        <v>178037</v>
      </c>
      <c r="D1702" s="6">
        <v>296996</v>
      </c>
      <c r="E1702" s="6">
        <v>172676</v>
      </c>
      <c r="F1702" s="14">
        <v>546168</v>
      </c>
      <c r="G1702" s="6">
        <v>153641</v>
      </c>
      <c r="H1702" s="6">
        <v>57121</v>
      </c>
      <c r="I1702" s="6">
        <v>56707</v>
      </c>
      <c r="J1702" s="6">
        <v>303633</v>
      </c>
      <c r="K1702" s="6">
        <v>604580</v>
      </c>
      <c r="L1702" s="6">
        <v>239942</v>
      </c>
      <c r="M1702" s="6">
        <v>2075621</v>
      </c>
      <c r="N1702" s="42">
        <v>1327037</v>
      </c>
      <c r="O1702" s="42"/>
      <c r="P1702" s="42">
        <v>75767</v>
      </c>
      <c r="Q1702" s="42">
        <v>210477</v>
      </c>
      <c r="R1702" s="42">
        <v>2664243</v>
      </c>
      <c r="S1702">
        <v>116705</v>
      </c>
      <c r="T1702" s="42">
        <v>453751</v>
      </c>
    </row>
    <row r="1703" spans="1:20" x14ac:dyDescent="0.3">
      <c r="A1703" s="7">
        <v>43682</v>
      </c>
      <c r="B1703" s="7"/>
      <c r="C1703" s="6">
        <v>179121</v>
      </c>
      <c r="D1703" s="6">
        <v>288317</v>
      </c>
      <c r="E1703" s="6">
        <v>172893</v>
      </c>
      <c r="F1703" s="14">
        <v>561681</v>
      </c>
      <c r="G1703" s="6">
        <v>151678</v>
      </c>
      <c r="H1703" s="6">
        <v>57149</v>
      </c>
      <c r="I1703" s="6">
        <v>58106</v>
      </c>
      <c r="J1703" s="6">
        <v>298094</v>
      </c>
      <c r="K1703" s="6">
        <v>599832</v>
      </c>
      <c r="L1703" s="6">
        <v>238434</v>
      </c>
      <c r="M1703" s="6">
        <v>2049859</v>
      </c>
      <c r="N1703" s="42">
        <v>1300500</v>
      </c>
      <c r="O1703" s="42"/>
      <c r="P1703" s="42">
        <v>75961</v>
      </c>
      <c r="Q1703" s="42">
        <v>207852</v>
      </c>
      <c r="R1703" s="42">
        <v>2653471</v>
      </c>
      <c r="S1703">
        <v>107064</v>
      </c>
      <c r="T1703" s="42">
        <v>455110</v>
      </c>
    </row>
    <row r="1704" spans="1:20" x14ac:dyDescent="0.3">
      <c r="A1704" s="7">
        <v>43679</v>
      </c>
      <c r="B1704" s="7"/>
      <c r="C1704" s="6">
        <v>177165</v>
      </c>
      <c r="D1704" s="6">
        <v>295614</v>
      </c>
      <c r="E1704" s="6">
        <v>172482</v>
      </c>
      <c r="F1704" s="14">
        <v>565609</v>
      </c>
      <c r="G1704" s="6">
        <v>145838</v>
      </c>
      <c r="H1704" s="6">
        <v>56292</v>
      </c>
      <c r="I1704" s="6">
        <v>58574</v>
      </c>
      <c r="J1704" s="6">
        <v>289642</v>
      </c>
      <c r="K1704" s="6">
        <v>586247</v>
      </c>
      <c r="L1704" s="6">
        <v>237890</v>
      </c>
      <c r="M1704" s="6">
        <v>2071247</v>
      </c>
      <c r="N1704" s="42">
        <v>1307158</v>
      </c>
      <c r="O1704" s="42"/>
      <c r="P1704" s="42">
        <v>76301</v>
      </c>
      <c r="Q1704" s="42">
        <v>206035</v>
      </c>
      <c r="R1704" s="42">
        <v>2627773</v>
      </c>
      <c r="T1704" s="42">
        <v>447961</v>
      </c>
    </row>
    <row r="1705" spans="1:20" x14ac:dyDescent="0.3">
      <c r="A1705" s="7">
        <v>43678</v>
      </c>
      <c r="B1705" s="7"/>
      <c r="C1705" s="6">
        <v>174855</v>
      </c>
      <c r="D1705" s="6">
        <v>291254</v>
      </c>
      <c r="E1705" s="6">
        <v>179588</v>
      </c>
      <c r="F1705" s="14">
        <v>569157</v>
      </c>
      <c r="G1705" s="6">
        <v>140212</v>
      </c>
      <c r="H1705" s="6">
        <v>55226</v>
      </c>
      <c r="I1705" s="6">
        <v>59167</v>
      </c>
      <c r="J1705" s="6">
        <v>275025</v>
      </c>
      <c r="K1705" s="6">
        <v>572320</v>
      </c>
      <c r="L1705" s="6">
        <v>237568</v>
      </c>
      <c r="M1705" s="6">
        <v>2067584</v>
      </c>
      <c r="N1705" s="42">
        <v>1301340</v>
      </c>
      <c r="O1705" s="42"/>
      <c r="P1705" s="42">
        <v>75723</v>
      </c>
      <c r="Q1705" s="42">
        <v>206985</v>
      </c>
      <c r="R1705" s="42">
        <v>2639826</v>
      </c>
      <c r="T1705" s="42">
        <v>443136</v>
      </c>
    </row>
    <row r="1706" spans="1:20" x14ac:dyDescent="0.3">
      <c r="A1706" s="7">
        <v>43677</v>
      </c>
      <c r="B1706" s="7"/>
      <c r="C1706" s="6">
        <v>171261</v>
      </c>
      <c r="D1706" s="6">
        <v>289893</v>
      </c>
      <c r="E1706" s="6">
        <v>181082</v>
      </c>
      <c r="F1706" s="14">
        <v>567235</v>
      </c>
      <c r="G1706" s="6">
        <v>135884</v>
      </c>
      <c r="H1706" s="6">
        <v>54302</v>
      </c>
      <c r="I1706" s="6">
        <v>59823</v>
      </c>
      <c r="J1706" s="6">
        <v>273394</v>
      </c>
      <c r="K1706" s="6">
        <v>564084</v>
      </c>
      <c r="L1706" s="6">
        <v>236226</v>
      </c>
      <c r="M1706" s="6">
        <v>2055140</v>
      </c>
      <c r="N1706" s="42">
        <v>1286501</v>
      </c>
      <c r="O1706" s="42"/>
      <c r="P1706" s="42">
        <v>74455</v>
      </c>
      <c r="Q1706" s="42">
        <v>205311</v>
      </c>
      <c r="R1706" s="42">
        <v>2628458</v>
      </c>
      <c r="T1706" s="42">
        <v>444070</v>
      </c>
    </row>
    <row r="1707" spans="1:20" x14ac:dyDescent="0.3">
      <c r="A1707" s="7">
        <v>43676</v>
      </c>
      <c r="B1707" s="7"/>
      <c r="C1707" s="6">
        <v>162988</v>
      </c>
      <c r="D1707" s="6">
        <v>275984</v>
      </c>
      <c r="E1707" s="6">
        <v>182478</v>
      </c>
      <c r="F1707" s="14">
        <v>563024</v>
      </c>
      <c r="G1707" s="6">
        <v>138842</v>
      </c>
      <c r="H1707" s="6">
        <v>53172</v>
      </c>
      <c r="I1707" s="6">
        <v>57805</v>
      </c>
      <c r="J1707" s="6">
        <v>268804</v>
      </c>
      <c r="K1707" s="6">
        <v>563298</v>
      </c>
      <c r="L1707" s="6">
        <v>239059</v>
      </c>
      <c r="M1707" s="6">
        <v>2069072</v>
      </c>
      <c r="N1707" s="42">
        <v>1286027</v>
      </c>
      <c r="O1707" s="42"/>
      <c r="P1707" s="42">
        <v>73299</v>
      </c>
      <c r="Q1707" s="42">
        <v>201280</v>
      </c>
      <c r="R1707" s="42">
        <v>2675143</v>
      </c>
      <c r="T1707" s="42">
        <v>440072</v>
      </c>
    </row>
    <row r="1708" spans="1:20" x14ac:dyDescent="0.3">
      <c r="A1708" s="7">
        <v>43675</v>
      </c>
      <c r="B1708" s="7"/>
      <c r="C1708" s="6">
        <v>160101</v>
      </c>
      <c r="D1708" s="6">
        <v>272694</v>
      </c>
      <c r="E1708" s="6">
        <v>182097</v>
      </c>
      <c r="F1708" s="14">
        <v>562913</v>
      </c>
      <c r="G1708" s="6">
        <v>137734</v>
      </c>
      <c r="H1708" s="6">
        <v>53229</v>
      </c>
      <c r="I1708" s="6">
        <v>57069</v>
      </c>
      <c r="J1708" s="6">
        <v>266743</v>
      </c>
      <c r="K1708" s="6">
        <v>572201</v>
      </c>
      <c r="L1708" s="6">
        <v>237080</v>
      </c>
      <c r="M1708" s="6">
        <v>2061283</v>
      </c>
      <c r="N1708" s="42">
        <v>1271582</v>
      </c>
      <c r="O1708" s="42"/>
      <c r="P1708" s="42">
        <v>73086</v>
      </c>
      <c r="Q1708" s="42">
        <v>198320</v>
      </c>
      <c r="R1708" s="42">
        <v>2662884</v>
      </c>
      <c r="T1708" s="42">
        <v>439183</v>
      </c>
    </row>
    <row r="1709" spans="1:20" x14ac:dyDescent="0.3">
      <c r="A1709" s="7">
        <v>43672</v>
      </c>
      <c r="B1709" s="7"/>
      <c r="C1709" s="6">
        <v>156275</v>
      </c>
      <c r="D1709" s="6">
        <v>259771</v>
      </c>
      <c r="E1709" s="6">
        <v>182371</v>
      </c>
      <c r="F1709" s="14">
        <v>560671</v>
      </c>
      <c r="G1709" s="6">
        <v>138399</v>
      </c>
      <c r="H1709" s="6">
        <v>53093</v>
      </c>
      <c r="I1709" s="6">
        <v>56809</v>
      </c>
      <c r="J1709" s="6">
        <v>264455</v>
      </c>
      <c r="K1709" s="6">
        <v>599288</v>
      </c>
      <c r="L1709" s="6">
        <v>235045</v>
      </c>
      <c r="M1709" s="6">
        <v>2050154</v>
      </c>
      <c r="N1709" s="42">
        <v>1256874</v>
      </c>
      <c r="O1709" s="42"/>
      <c r="P1709" s="42">
        <v>74519</v>
      </c>
      <c r="Q1709" s="42">
        <v>218268</v>
      </c>
      <c r="R1709" s="42">
        <v>2728815</v>
      </c>
      <c r="T1709" s="42">
        <v>435664</v>
      </c>
    </row>
    <row r="1710" spans="1:20" x14ac:dyDescent="0.3">
      <c r="A1710" s="7">
        <v>43671</v>
      </c>
      <c r="B1710" s="7"/>
      <c r="C1710" s="6">
        <v>152161</v>
      </c>
      <c r="D1710" s="6">
        <v>252663</v>
      </c>
      <c r="E1710" s="6">
        <v>183643</v>
      </c>
      <c r="F1710" s="14">
        <v>550461</v>
      </c>
      <c r="G1710" s="6">
        <v>138300</v>
      </c>
      <c r="H1710" s="6">
        <v>54539</v>
      </c>
      <c r="I1710" s="6">
        <v>55723</v>
      </c>
      <c r="J1710" s="6">
        <v>259671</v>
      </c>
      <c r="K1710" s="6">
        <v>593878</v>
      </c>
      <c r="L1710" s="6">
        <v>233589</v>
      </c>
      <c r="M1710" s="6">
        <v>2058864</v>
      </c>
      <c r="N1710" s="42">
        <v>1247350</v>
      </c>
      <c r="O1710" s="42"/>
      <c r="P1710" s="42">
        <v>74808</v>
      </c>
      <c r="Q1710" s="42">
        <v>215298</v>
      </c>
      <c r="R1710" s="42">
        <v>2706562</v>
      </c>
      <c r="T1710" s="42">
        <v>437440</v>
      </c>
    </row>
    <row r="1711" spans="1:20" x14ac:dyDescent="0.3">
      <c r="A1711" s="7">
        <v>43670</v>
      </c>
      <c r="B1711" s="7"/>
      <c r="C1711" s="6">
        <v>153047</v>
      </c>
      <c r="D1711" s="6">
        <v>248612</v>
      </c>
      <c r="E1711" s="6">
        <v>186062</v>
      </c>
      <c r="F1711" s="14">
        <v>549031</v>
      </c>
      <c r="G1711" s="6">
        <v>138493</v>
      </c>
      <c r="H1711" s="6">
        <v>53512</v>
      </c>
      <c r="I1711" s="6">
        <v>52834</v>
      </c>
      <c r="J1711" s="6">
        <v>263270</v>
      </c>
      <c r="K1711" s="6">
        <v>614287</v>
      </c>
      <c r="L1711" s="6">
        <v>236257</v>
      </c>
      <c r="M1711" s="6">
        <v>2055262</v>
      </c>
      <c r="N1711" s="42">
        <v>1234072</v>
      </c>
      <c r="O1711" s="42"/>
      <c r="P1711" s="42">
        <v>73727</v>
      </c>
      <c r="Q1711" s="42">
        <v>203989</v>
      </c>
      <c r="R1711" s="42">
        <v>2694884</v>
      </c>
      <c r="T1711" s="42">
        <v>439998</v>
      </c>
    </row>
    <row r="1712" spans="1:20" x14ac:dyDescent="0.3">
      <c r="A1712" s="7">
        <v>43669</v>
      </c>
      <c r="B1712" s="7"/>
      <c r="C1712" s="6">
        <v>150525</v>
      </c>
      <c r="D1712" s="6">
        <v>248063</v>
      </c>
      <c r="E1712" s="6">
        <v>187397</v>
      </c>
      <c r="F1712" s="14">
        <v>541102</v>
      </c>
      <c r="G1712" s="6">
        <v>136245</v>
      </c>
      <c r="H1712" s="6">
        <v>54066</v>
      </c>
      <c r="I1712" s="6">
        <v>53369</v>
      </c>
      <c r="J1712" s="6">
        <v>264229</v>
      </c>
      <c r="K1712" s="6">
        <v>616859</v>
      </c>
      <c r="L1712" s="6">
        <v>234735</v>
      </c>
      <c r="M1712" s="6">
        <v>2056492</v>
      </c>
      <c r="N1712" s="42">
        <v>1215341</v>
      </c>
      <c r="O1712" s="42"/>
      <c r="P1712" s="42">
        <v>73463</v>
      </c>
      <c r="Q1712" s="42">
        <v>207911</v>
      </c>
      <c r="R1712" s="42">
        <v>2719467</v>
      </c>
      <c r="T1712" s="42">
        <v>436118</v>
      </c>
    </row>
    <row r="1713" spans="1:20" x14ac:dyDescent="0.3">
      <c r="A1713" s="7">
        <v>43668</v>
      </c>
      <c r="B1713" s="7"/>
      <c r="C1713" s="6">
        <v>150156</v>
      </c>
      <c r="D1713" s="6">
        <v>246028</v>
      </c>
      <c r="E1713" s="6">
        <v>189194</v>
      </c>
      <c r="F1713" s="14">
        <v>531964</v>
      </c>
      <c r="G1713" s="6">
        <v>136831</v>
      </c>
      <c r="H1713" s="6">
        <v>55229</v>
      </c>
      <c r="I1713" s="6">
        <v>52656</v>
      </c>
      <c r="J1713" s="6">
        <v>263935</v>
      </c>
      <c r="K1713" s="6">
        <v>632506</v>
      </c>
      <c r="L1713" s="6">
        <v>232877</v>
      </c>
      <c r="M1713" s="6">
        <v>2048387</v>
      </c>
      <c r="N1713" s="42">
        <v>1199178</v>
      </c>
      <c r="O1713" s="42"/>
      <c r="P1713" s="42">
        <v>75981</v>
      </c>
      <c r="Q1713" s="42">
        <v>208937</v>
      </c>
      <c r="R1713" s="42">
        <v>2740109</v>
      </c>
      <c r="T1713" s="42">
        <v>434339</v>
      </c>
    </row>
    <row r="1714" spans="1:20" x14ac:dyDescent="0.3">
      <c r="A1714" s="7">
        <v>43665</v>
      </c>
      <c r="B1714" s="7"/>
      <c r="C1714" s="6">
        <v>150515</v>
      </c>
      <c r="D1714" s="6">
        <v>247293</v>
      </c>
      <c r="E1714" s="6">
        <v>187483</v>
      </c>
      <c r="F1714" s="14">
        <v>532747</v>
      </c>
      <c r="G1714" s="6">
        <v>135307</v>
      </c>
      <c r="H1714" s="6">
        <v>54191</v>
      </c>
      <c r="I1714" s="6">
        <v>52313</v>
      </c>
      <c r="J1714" s="6">
        <v>263928</v>
      </c>
      <c r="K1714" s="6">
        <v>633013</v>
      </c>
      <c r="L1714" s="6">
        <v>230630</v>
      </c>
      <c r="M1714" s="6">
        <v>2051374</v>
      </c>
      <c r="N1714" s="42">
        <v>1210490</v>
      </c>
      <c r="O1714" s="42"/>
      <c r="P1714" s="42">
        <v>79285</v>
      </c>
      <c r="Q1714" s="42">
        <v>206187</v>
      </c>
      <c r="R1714" s="42">
        <v>2782431</v>
      </c>
      <c r="T1714" s="42">
        <v>428755</v>
      </c>
    </row>
    <row r="1715" spans="1:20" x14ac:dyDescent="0.3">
      <c r="A1715" s="7">
        <v>43664</v>
      </c>
      <c r="B1715" s="7"/>
      <c r="C1715" s="6">
        <v>154893</v>
      </c>
      <c r="D1715" s="6">
        <v>252163</v>
      </c>
      <c r="E1715" s="6">
        <v>187109</v>
      </c>
      <c r="F1715" s="14">
        <v>537320</v>
      </c>
      <c r="G1715" s="6">
        <v>137408</v>
      </c>
      <c r="H1715" s="6">
        <v>53156</v>
      </c>
      <c r="I1715" s="6">
        <v>51725</v>
      </c>
      <c r="J1715" s="6">
        <v>267277</v>
      </c>
      <c r="K1715" s="6">
        <v>642851</v>
      </c>
      <c r="L1715" s="6">
        <v>231429</v>
      </c>
      <c r="M1715" s="6">
        <v>2089232</v>
      </c>
      <c r="N1715" s="42">
        <v>1232998</v>
      </c>
      <c r="O1715" s="42"/>
      <c r="P1715" s="42">
        <v>83425</v>
      </c>
      <c r="Q1715" s="42">
        <v>208265</v>
      </c>
      <c r="R1715" s="42">
        <v>2808750</v>
      </c>
      <c r="T1715" s="42">
        <v>430941</v>
      </c>
    </row>
    <row r="1716" spans="1:20" x14ac:dyDescent="0.3">
      <c r="A1716" s="7">
        <v>43663</v>
      </c>
      <c r="B1716" s="7"/>
      <c r="C1716" s="6">
        <v>153037</v>
      </c>
      <c r="D1716" s="6">
        <v>257967</v>
      </c>
      <c r="E1716" s="6">
        <v>183905</v>
      </c>
      <c r="F1716" s="14">
        <v>536317</v>
      </c>
      <c r="G1716" s="6">
        <v>132088</v>
      </c>
      <c r="H1716" s="6">
        <v>50943</v>
      </c>
      <c r="I1716" s="6">
        <v>51827</v>
      </c>
      <c r="J1716" s="6">
        <v>267208</v>
      </c>
      <c r="K1716" s="6">
        <v>621121</v>
      </c>
      <c r="L1716" s="6">
        <v>233360</v>
      </c>
      <c r="M1716" s="6">
        <v>2089701</v>
      </c>
      <c r="N1716" s="42">
        <v>1230861</v>
      </c>
      <c r="O1716" s="42"/>
      <c r="P1716" s="42">
        <v>105863</v>
      </c>
      <c r="Q1716" s="42">
        <v>268510</v>
      </c>
      <c r="R1716" s="42">
        <v>3433603</v>
      </c>
      <c r="T1716" s="42">
        <v>429794</v>
      </c>
    </row>
    <row r="1717" spans="1:20" x14ac:dyDescent="0.3">
      <c r="A1717" s="7">
        <v>43662</v>
      </c>
      <c r="B1717" s="7"/>
      <c r="C1717" s="6">
        <v>158612</v>
      </c>
      <c r="D1717" s="6">
        <v>255849</v>
      </c>
      <c r="E1717" s="6">
        <v>182946</v>
      </c>
      <c r="F1717" s="14">
        <v>536204</v>
      </c>
      <c r="G1717" s="6">
        <v>131516</v>
      </c>
      <c r="H1717" s="6">
        <v>50025</v>
      </c>
      <c r="I1717" s="6">
        <v>52203</v>
      </c>
      <c r="J1717" s="6">
        <v>266882</v>
      </c>
      <c r="K1717" s="6">
        <v>601900</v>
      </c>
      <c r="L1717" s="6">
        <v>229465</v>
      </c>
      <c r="M1717" s="6">
        <v>2089629</v>
      </c>
      <c r="N1717" s="42">
        <v>1248894</v>
      </c>
      <c r="O1717" s="42"/>
      <c r="P1717" s="42">
        <v>104992</v>
      </c>
      <c r="Q1717" s="42">
        <v>264342</v>
      </c>
      <c r="R1717" s="42">
        <v>3333417</v>
      </c>
      <c r="T1717" s="42">
        <v>426299</v>
      </c>
    </row>
    <row r="1718" spans="1:20" x14ac:dyDescent="0.3">
      <c r="A1718" s="7">
        <v>43651</v>
      </c>
      <c r="B1718" s="7"/>
      <c r="C1718" s="6">
        <v>162389</v>
      </c>
      <c r="D1718" s="6">
        <v>241857</v>
      </c>
      <c r="E1718" s="6">
        <v>162752</v>
      </c>
      <c r="F1718" s="14">
        <v>522220</v>
      </c>
      <c r="G1718" s="6">
        <v>140258</v>
      </c>
      <c r="H1718" s="6">
        <v>54373</v>
      </c>
      <c r="I1718" s="6">
        <v>51408</v>
      </c>
      <c r="J1718" s="6">
        <v>260068</v>
      </c>
      <c r="K1718" s="6">
        <v>608572</v>
      </c>
      <c r="L1718" s="6">
        <v>222557</v>
      </c>
      <c r="M1718" s="6">
        <v>2034431</v>
      </c>
      <c r="N1718" s="42">
        <v>1253758</v>
      </c>
      <c r="O1718" s="42"/>
      <c r="P1718" s="42">
        <v>99120</v>
      </c>
      <c r="Q1718" s="42">
        <v>269233</v>
      </c>
      <c r="R1718" s="42">
        <v>3240151</v>
      </c>
      <c r="T1718" s="42">
        <v>425404</v>
      </c>
    </row>
    <row r="1719" spans="1:20" x14ac:dyDescent="0.3">
      <c r="A1719" s="7">
        <v>43649</v>
      </c>
      <c r="B1719" s="7"/>
      <c r="C1719" s="6">
        <v>161905</v>
      </c>
      <c r="D1719" s="6">
        <v>231076</v>
      </c>
      <c r="E1719" s="6">
        <v>159743</v>
      </c>
      <c r="F1719" s="14">
        <v>516294</v>
      </c>
      <c r="G1719" s="6">
        <v>139618</v>
      </c>
      <c r="H1719" s="6">
        <v>55311</v>
      </c>
      <c r="I1719" s="6">
        <v>50469</v>
      </c>
      <c r="J1719" s="6">
        <v>256428</v>
      </c>
      <c r="K1719" s="6">
        <v>604687</v>
      </c>
      <c r="L1719" s="6">
        <v>222167</v>
      </c>
      <c r="M1719" s="6">
        <v>2021547</v>
      </c>
      <c r="N1719" s="42">
        <v>1260962</v>
      </c>
      <c r="O1719" s="42"/>
      <c r="P1719" s="42">
        <v>94413</v>
      </c>
      <c r="Q1719" s="42">
        <v>272148</v>
      </c>
      <c r="R1719" s="42">
        <v>3220465</v>
      </c>
      <c r="T1719" s="42">
        <v>426114</v>
      </c>
    </row>
    <row r="1720" spans="1:20" x14ac:dyDescent="0.3">
      <c r="A1720" s="7">
        <v>43648</v>
      </c>
      <c r="B1720" s="7"/>
      <c r="C1720" s="6">
        <v>162186</v>
      </c>
      <c r="D1720" s="6">
        <v>224591</v>
      </c>
      <c r="E1720" s="6">
        <v>157998</v>
      </c>
      <c r="F1720" s="14">
        <v>520970</v>
      </c>
      <c r="G1720" s="6">
        <v>139355</v>
      </c>
      <c r="H1720" s="6">
        <v>55017</v>
      </c>
      <c r="I1720" s="6">
        <v>50766</v>
      </c>
      <c r="J1720" s="6">
        <v>254342</v>
      </c>
      <c r="K1720" s="6">
        <v>605949</v>
      </c>
      <c r="L1720" s="6">
        <v>221224</v>
      </c>
      <c r="M1720" s="6">
        <v>2031169</v>
      </c>
      <c r="N1720" s="42">
        <v>1283754</v>
      </c>
      <c r="O1720" s="42"/>
      <c r="P1720" s="42">
        <v>86396</v>
      </c>
      <c r="Q1720" s="42">
        <v>273407</v>
      </c>
      <c r="R1720" s="42">
        <v>3202662</v>
      </c>
      <c r="T1720" s="42">
        <v>425112</v>
      </c>
    </row>
    <row r="1721" spans="1:20" x14ac:dyDescent="0.3">
      <c r="A1721" s="7">
        <v>43647</v>
      </c>
      <c r="B1721" s="7"/>
      <c r="C1721" s="6">
        <v>167180</v>
      </c>
      <c r="D1721" s="6">
        <v>222752</v>
      </c>
      <c r="E1721" s="6">
        <v>154719</v>
      </c>
      <c r="F1721" s="14">
        <v>522281</v>
      </c>
      <c r="G1721" s="6">
        <v>136725</v>
      </c>
      <c r="H1721" s="6">
        <v>55470</v>
      </c>
      <c r="I1721" s="6">
        <v>50608</v>
      </c>
      <c r="J1721" s="6">
        <v>252080</v>
      </c>
      <c r="K1721" s="6">
        <v>591164</v>
      </c>
      <c r="L1721" s="6">
        <v>218519</v>
      </c>
      <c r="M1721" s="6">
        <v>2028276</v>
      </c>
      <c r="N1721" s="42">
        <v>1284613</v>
      </c>
      <c r="O1721" s="42"/>
      <c r="P1721" s="42">
        <v>80756</v>
      </c>
      <c r="Q1721" s="42">
        <v>260826</v>
      </c>
      <c r="R1721" s="42">
        <v>3083677</v>
      </c>
      <c r="T1721" s="42">
        <v>423041</v>
      </c>
    </row>
    <row r="1722" spans="1:20" x14ac:dyDescent="0.3">
      <c r="A1722" s="7">
        <v>43644</v>
      </c>
      <c r="B1722" s="7"/>
      <c r="C1722" s="6">
        <v>160364</v>
      </c>
      <c r="D1722" s="6">
        <v>213684</v>
      </c>
      <c r="E1722" s="6">
        <v>154785</v>
      </c>
      <c r="F1722" s="14">
        <v>520747</v>
      </c>
      <c r="G1722" s="6">
        <v>137015</v>
      </c>
      <c r="H1722" s="6">
        <v>56826</v>
      </c>
      <c r="I1722" s="6">
        <v>50999</v>
      </c>
      <c r="J1722" s="6">
        <v>247503</v>
      </c>
      <c r="K1722" s="6">
        <v>580855</v>
      </c>
      <c r="L1722" s="6">
        <v>218355</v>
      </c>
      <c r="M1722" s="6">
        <v>2020929</v>
      </c>
      <c r="N1722" s="42">
        <v>1289844</v>
      </c>
      <c r="O1722" s="42"/>
      <c r="P1722" s="42">
        <v>75721</v>
      </c>
      <c r="Q1722" s="42">
        <v>250410</v>
      </c>
      <c r="R1722" s="42">
        <v>3135222</v>
      </c>
      <c r="T1722" s="42">
        <v>422345</v>
      </c>
    </row>
    <row r="1723" spans="1:20" x14ac:dyDescent="0.3">
      <c r="A1723" s="7">
        <v>43643</v>
      </c>
      <c r="B1723" s="7"/>
      <c r="C1723" s="6">
        <v>161920</v>
      </c>
      <c r="D1723" s="6">
        <v>211911</v>
      </c>
      <c r="E1723" s="6">
        <v>151538</v>
      </c>
      <c r="F1723" s="14">
        <v>520358</v>
      </c>
      <c r="G1723" s="6">
        <v>138505</v>
      </c>
      <c r="H1723" s="6">
        <v>57443</v>
      </c>
      <c r="I1723" s="6">
        <v>54442</v>
      </c>
      <c r="J1723" s="6">
        <v>244928</v>
      </c>
      <c r="K1723" s="6">
        <v>579514</v>
      </c>
      <c r="L1723" s="6">
        <v>220612</v>
      </c>
      <c r="M1723" s="6">
        <v>2016572</v>
      </c>
      <c r="N1723" s="42">
        <v>1288246</v>
      </c>
      <c r="O1723" s="42"/>
      <c r="P1723" s="42">
        <v>75776</v>
      </c>
      <c r="Q1723" s="42">
        <v>249233</v>
      </c>
      <c r="R1723" s="42">
        <v>3133420</v>
      </c>
      <c r="T1723" s="42">
        <v>421110</v>
      </c>
    </row>
    <row r="1724" spans="1:20" x14ac:dyDescent="0.3">
      <c r="A1724" s="7">
        <v>43642</v>
      </c>
      <c r="B1724" s="7"/>
      <c r="C1724" s="6">
        <v>161809</v>
      </c>
      <c r="D1724" s="6">
        <v>209359</v>
      </c>
      <c r="E1724" s="6">
        <v>142472</v>
      </c>
      <c r="F1724" s="14">
        <v>520738</v>
      </c>
      <c r="G1724" s="6">
        <v>140768</v>
      </c>
      <c r="H1724" s="6">
        <v>59477</v>
      </c>
      <c r="I1724" s="6">
        <v>56169</v>
      </c>
      <c r="J1724" s="6">
        <v>244236</v>
      </c>
      <c r="K1724" s="6">
        <v>574460</v>
      </c>
      <c r="L1724" s="6">
        <v>223138</v>
      </c>
      <c r="M1724" s="6">
        <v>2011753</v>
      </c>
      <c r="N1724" s="42">
        <v>1276983</v>
      </c>
      <c r="O1724" s="42"/>
      <c r="P1724" s="42">
        <v>73622</v>
      </c>
      <c r="Q1724" s="42">
        <v>253480</v>
      </c>
      <c r="R1724" s="42">
        <v>3135184</v>
      </c>
      <c r="T1724" s="42">
        <v>417865</v>
      </c>
    </row>
    <row r="1725" spans="1:20" x14ac:dyDescent="0.3">
      <c r="A1725" s="7">
        <v>43641</v>
      </c>
      <c r="B1725" s="7"/>
      <c r="C1725" s="6">
        <v>164741</v>
      </c>
      <c r="D1725" s="6">
        <v>207543</v>
      </c>
      <c r="E1725" s="6">
        <v>137543</v>
      </c>
      <c r="F1725" s="14">
        <v>521907</v>
      </c>
      <c r="G1725" s="6">
        <v>139439</v>
      </c>
      <c r="H1725" s="6">
        <v>61828</v>
      </c>
      <c r="I1725" s="6">
        <v>55740</v>
      </c>
      <c r="J1725" s="6">
        <v>244461</v>
      </c>
      <c r="K1725" s="6">
        <v>577605</v>
      </c>
      <c r="L1725" s="6">
        <v>229007</v>
      </c>
      <c r="M1725" s="6">
        <v>2004961</v>
      </c>
      <c r="N1725" s="42">
        <v>1278485</v>
      </c>
      <c r="O1725" s="42"/>
      <c r="P1725" s="42">
        <v>74376</v>
      </c>
      <c r="Q1725" s="42">
        <v>253943</v>
      </c>
      <c r="R1725" s="42">
        <v>3153628</v>
      </c>
      <c r="T1725" s="42">
        <v>415184</v>
      </c>
    </row>
    <row r="1726" spans="1:20" x14ac:dyDescent="0.3">
      <c r="A1726" s="7">
        <v>43640</v>
      </c>
      <c r="B1726" s="7"/>
      <c r="C1726" s="6">
        <v>167614</v>
      </c>
      <c r="D1726" s="6">
        <v>209010</v>
      </c>
      <c r="E1726" s="6">
        <v>132806</v>
      </c>
      <c r="F1726" s="14">
        <v>520643</v>
      </c>
      <c r="G1726" s="6">
        <v>138849</v>
      </c>
      <c r="H1726" s="6">
        <v>62668</v>
      </c>
      <c r="I1726" s="6">
        <v>57628</v>
      </c>
      <c r="J1726" s="6">
        <v>255073</v>
      </c>
      <c r="K1726" s="6">
        <v>583907</v>
      </c>
      <c r="L1726" s="6">
        <v>231601</v>
      </c>
      <c r="M1726" s="6">
        <v>1996570</v>
      </c>
      <c r="N1726" s="42">
        <v>1287037</v>
      </c>
      <c r="O1726" s="42"/>
      <c r="P1726" s="42">
        <v>75505</v>
      </c>
      <c r="Q1726" s="42">
        <v>253735</v>
      </c>
      <c r="R1726" s="42">
        <v>3151437</v>
      </c>
      <c r="T1726" s="42">
        <v>414369</v>
      </c>
    </row>
    <row r="1727" spans="1:20" x14ac:dyDescent="0.3">
      <c r="A1727" s="7">
        <v>43637</v>
      </c>
      <c r="B1727" s="7"/>
      <c r="C1727" s="6">
        <v>171644</v>
      </c>
      <c r="D1727" s="6">
        <v>209021</v>
      </c>
      <c r="E1727" s="6">
        <v>133853</v>
      </c>
      <c r="F1727" s="14">
        <v>514418</v>
      </c>
      <c r="G1727" s="6">
        <v>136116</v>
      </c>
      <c r="H1727" s="6">
        <v>63648</v>
      </c>
      <c r="I1727" s="6">
        <v>58774</v>
      </c>
      <c r="J1727" s="6">
        <v>261354</v>
      </c>
      <c r="K1727" s="6">
        <v>572893</v>
      </c>
      <c r="L1727" s="6">
        <v>229295</v>
      </c>
      <c r="M1727" s="6">
        <v>1997619</v>
      </c>
      <c r="N1727" s="42">
        <v>1274221</v>
      </c>
      <c r="O1727" s="42"/>
      <c r="P1727" s="42">
        <v>79390</v>
      </c>
      <c r="Q1727" s="42">
        <v>251064</v>
      </c>
      <c r="R1727" s="42">
        <v>3109055</v>
      </c>
      <c r="T1727" s="42">
        <v>413940</v>
      </c>
    </row>
    <row r="1728" spans="1:20" x14ac:dyDescent="0.3">
      <c r="A1728" s="7">
        <v>43636</v>
      </c>
      <c r="B1728" s="7"/>
      <c r="C1728" s="6">
        <v>173103</v>
      </c>
      <c r="D1728" s="6">
        <v>207022</v>
      </c>
      <c r="E1728" s="6">
        <v>128672</v>
      </c>
      <c r="F1728" s="14">
        <v>506898</v>
      </c>
      <c r="G1728" s="6">
        <v>136570</v>
      </c>
      <c r="H1728" s="6">
        <v>64483</v>
      </c>
      <c r="I1728" s="6">
        <v>59426</v>
      </c>
      <c r="J1728" s="6">
        <v>268719</v>
      </c>
      <c r="K1728" s="6">
        <v>571676</v>
      </c>
      <c r="L1728" s="6">
        <v>236657</v>
      </c>
      <c r="M1728" s="6">
        <v>1978677</v>
      </c>
      <c r="N1728" s="42">
        <v>1280251</v>
      </c>
      <c r="O1728" s="42"/>
      <c r="P1728" s="42">
        <v>75065</v>
      </c>
      <c r="Q1728" s="42">
        <v>241377</v>
      </c>
      <c r="R1728" s="42">
        <v>3068100</v>
      </c>
      <c r="T1728" s="42">
        <v>417375</v>
      </c>
    </row>
    <row r="1729" spans="1:20" x14ac:dyDescent="0.3">
      <c r="A1729" s="7">
        <v>43635</v>
      </c>
      <c r="B1729" s="7"/>
      <c r="C1729" s="6">
        <v>179027</v>
      </c>
      <c r="D1729" s="6">
        <v>207522</v>
      </c>
      <c r="E1729" s="6">
        <v>124211</v>
      </c>
      <c r="F1729" s="14">
        <v>503660</v>
      </c>
      <c r="G1729" s="6">
        <v>128447</v>
      </c>
      <c r="H1729" s="6">
        <v>64195</v>
      </c>
      <c r="I1729" s="6">
        <v>59071</v>
      </c>
      <c r="J1729" s="6">
        <v>278677</v>
      </c>
      <c r="K1729" s="6">
        <v>538951</v>
      </c>
      <c r="L1729" s="6">
        <v>239505</v>
      </c>
      <c r="M1729" s="6">
        <v>1985353</v>
      </c>
      <c r="N1729" s="42">
        <v>1277468</v>
      </c>
      <c r="O1729" s="42"/>
      <c r="P1729" s="42">
        <v>77071</v>
      </c>
      <c r="Q1729" s="42">
        <v>243099</v>
      </c>
      <c r="R1729" s="42">
        <v>3072144</v>
      </c>
      <c r="T1729" s="42">
        <v>427697</v>
      </c>
    </row>
    <row r="1730" spans="1:20" x14ac:dyDescent="0.3">
      <c r="A1730" s="7">
        <v>43634</v>
      </c>
      <c r="B1730" s="7"/>
      <c r="C1730" s="6">
        <v>208431</v>
      </c>
      <c r="D1730" s="6">
        <v>242559</v>
      </c>
      <c r="E1730" s="6">
        <v>160795</v>
      </c>
      <c r="F1730" s="14">
        <v>559710</v>
      </c>
      <c r="G1730" s="6">
        <v>166116</v>
      </c>
      <c r="H1730" s="6">
        <v>89722</v>
      </c>
      <c r="I1730" s="6">
        <v>70442</v>
      </c>
      <c r="J1730" s="6">
        <v>280643</v>
      </c>
      <c r="K1730" s="6">
        <v>525636</v>
      </c>
      <c r="L1730" s="6">
        <v>239466</v>
      </c>
      <c r="M1730" s="6">
        <v>2003618</v>
      </c>
      <c r="N1730" s="42">
        <v>1269165</v>
      </c>
      <c r="O1730" s="42"/>
      <c r="P1730" s="42">
        <v>76978</v>
      </c>
      <c r="Q1730" s="42">
        <v>242098</v>
      </c>
      <c r="R1730" s="42">
        <v>3049688</v>
      </c>
      <c r="T1730" s="42">
        <v>415503</v>
      </c>
    </row>
    <row r="1731" spans="1:20" x14ac:dyDescent="0.3">
      <c r="A1731" s="7">
        <v>43633</v>
      </c>
      <c r="B1731" s="7"/>
      <c r="C1731" s="6">
        <v>202496</v>
      </c>
      <c r="D1731" s="6">
        <v>242487</v>
      </c>
      <c r="E1731" s="6">
        <v>160590</v>
      </c>
      <c r="F1731" s="14">
        <v>547411</v>
      </c>
      <c r="G1731" s="6">
        <v>162440</v>
      </c>
      <c r="H1731" s="6">
        <v>89163</v>
      </c>
      <c r="I1731" s="6">
        <v>70007</v>
      </c>
      <c r="J1731" s="6">
        <v>289410</v>
      </c>
      <c r="K1731" s="6">
        <v>523341</v>
      </c>
      <c r="L1731" s="6">
        <v>232997</v>
      </c>
      <c r="M1731" s="6">
        <v>2006676</v>
      </c>
      <c r="N1731" s="42">
        <v>1262223</v>
      </c>
      <c r="O1731" s="42"/>
      <c r="P1731" s="42">
        <v>78223</v>
      </c>
      <c r="Q1731" s="42">
        <v>236855</v>
      </c>
      <c r="R1731" s="42">
        <v>3040324</v>
      </c>
      <c r="T1731" s="42">
        <v>411906</v>
      </c>
    </row>
    <row r="1732" spans="1:20" x14ac:dyDescent="0.3">
      <c r="A1732" s="7">
        <v>43630</v>
      </c>
      <c r="B1732" s="7"/>
      <c r="C1732" s="6">
        <v>198592</v>
      </c>
      <c r="D1732" s="6">
        <v>241535</v>
      </c>
      <c r="E1732" s="6">
        <v>162779</v>
      </c>
      <c r="F1732" s="14">
        <v>550241</v>
      </c>
      <c r="G1732" s="6">
        <v>163032</v>
      </c>
      <c r="H1732" s="6">
        <v>88265</v>
      </c>
      <c r="I1732" s="6">
        <v>69834</v>
      </c>
      <c r="J1732" s="6">
        <v>293430</v>
      </c>
      <c r="K1732" s="6">
        <v>522378</v>
      </c>
      <c r="L1732" s="6">
        <v>232913</v>
      </c>
      <c r="M1732" s="6">
        <v>2049309</v>
      </c>
      <c r="N1732" s="42">
        <v>1272749</v>
      </c>
      <c r="O1732" s="42"/>
      <c r="P1732" s="42">
        <v>76483</v>
      </c>
      <c r="Q1732" s="42">
        <v>236315</v>
      </c>
      <c r="R1732" s="42">
        <v>3044059</v>
      </c>
      <c r="T1732" s="42">
        <v>409565</v>
      </c>
    </row>
    <row r="1733" spans="1:20" x14ac:dyDescent="0.3">
      <c r="A1733" s="7">
        <v>43629</v>
      </c>
      <c r="B1733" s="7"/>
      <c r="C1733" s="6">
        <v>204507</v>
      </c>
      <c r="D1733" s="6">
        <v>234972</v>
      </c>
      <c r="E1733" s="6">
        <v>166131</v>
      </c>
      <c r="F1733" s="14">
        <v>550690</v>
      </c>
      <c r="G1733" s="6">
        <v>169005</v>
      </c>
      <c r="H1733" s="6">
        <v>84861</v>
      </c>
      <c r="I1733" s="6">
        <v>72754</v>
      </c>
      <c r="J1733" s="6">
        <v>290147</v>
      </c>
      <c r="K1733" s="6">
        <v>511471</v>
      </c>
      <c r="L1733" s="6">
        <v>233556</v>
      </c>
      <c r="M1733" s="6">
        <v>2062778</v>
      </c>
      <c r="N1733" s="42">
        <v>1278217</v>
      </c>
      <c r="O1733" s="42"/>
      <c r="P1733" s="42">
        <v>77679</v>
      </c>
      <c r="Q1733" s="42">
        <v>243795</v>
      </c>
      <c r="R1733" s="42">
        <v>3062240</v>
      </c>
      <c r="T1733" s="42">
        <v>466178</v>
      </c>
    </row>
    <row r="1734" spans="1:20" x14ac:dyDescent="0.3">
      <c r="A1734" s="7">
        <v>43628</v>
      </c>
      <c r="B1734" s="7"/>
      <c r="C1734" s="6">
        <v>191894</v>
      </c>
      <c r="D1734" s="6">
        <v>223385</v>
      </c>
      <c r="E1734" s="6">
        <v>161516</v>
      </c>
      <c r="F1734" s="14">
        <v>549379</v>
      </c>
      <c r="G1734" s="6">
        <v>166027</v>
      </c>
      <c r="H1734" s="6">
        <v>79887</v>
      </c>
      <c r="I1734" s="6">
        <v>72168</v>
      </c>
      <c r="J1734" s="6">
        <v>286523</v>
      </c>
      <c r="K1734" s="6">
        <v>502540</v>
      </c>
      <c r="L1734" s="6">
        <v>230580</v>
      </c>
      <c r="M1734" s="6">
        <v>2062113</v>
      </c>
      <c r="N1734" s="42">
        <v>1276922</v>
      </c>
      <c r="O1734" s="42"/>
      <c r="P1734" s="42">
        <v>78325</v>
      </c>
      <c r="Q1734" s="42">
        <v>240730</v>
      </c>
      <c r="R1734" s="42">
        <v>3037661</v>
      </c>
      <c r="T1734" s="42">
        <v>465746</v>
      </c>
    </row>
    <row r="1735" spans="1:20" x14ac:dyDescent="0.3">
      <c r="A1735" s="7">
        <v>43627</v>
      </c>
      <c r="B1735" s="7"/>
      <c r="C1735" s="6">
        <v>198112</v>
      </c>
      <c r="D1735" s="6">
        <v>221181</v>
      </c>
      <c r="E1735" s="6">
        <v>159212</v>
      </c>
      <c r="F1735" s="14">
        <v>542810</v>
      </c>
      <c r="G1735" s="6">
        <v>169387</v>
      </c>
      <c r="H1735" s="6">
        <v>62497</v>
      </c>
      <c r="I1735" s="6">
        <v>72177</v>
      </c>
      <c r="J1735" s="6">
        <v>284848</v>
      </c>
      <c r="K1735" s="6">
        <v>496663</v>
      </c>
      <c r="L1735" s="6">
        <v>226513</v>
      </c>
      <c r="M1735" s="6">
        <v>2057046</v>
      </c>
      <c r="N1735" s="42">
        <v>1308945</v>
      </c>
      <c r="O1735" s="42"/>
      <c r="P1735" s="42">
        <v>78258</v>
      </c>
      <c r="Q1735" s="42">
        <v>243022</v>
      </c>
      <c r="R1735" s="42">
        <v>3046088</v>
      </c>
      <c r="T1735" s="42">
        <v>466291</v>
      </c>
    </row>
    <row r="1736" spans="1:20" x14ac:dyDescent="0.3">
      <c r="A1736" s="7">
        <v>43626</v>
      </c>
      <c r="B1736" s="7"/>
      <c r="C1736" s="6">
        <v>204282</v>
      </c>
      <c r="D1736" s="6">
        <v>221770</v>
      </c>
      <c r="E1736" s="6">
        <v>160898</v>
      </c>
      <c r="F1736" s="14">
        <v>559170</v>
      </c>
      <c r="G1736" s="6">
        <v>163599</v>
      </c>
      <c r="H1736" s="6">
        <v>62702</v>
      </c>
      <c r="I1736" s="6">
        <v>71837</v>
      </c>
      <c r="J1736" s="6">
        <v>282773</v>
      </c>
      <c r="K1736" s="6">
        <v>499227</v>
      </c>
      <c r="L1736" s="6">
        <v>222086</v>
      </c>
      <c r="M1736" s="6">
        <v>2066191</v>
      </c>
      <c r="N1736" s="42">
        <v>1316668</v>
      </c>
      <c r="O1736" s="42"/>
      <c r="P1736" s="42">
        <v>77914</v>
      </c>
      <c r="Q1736" s="42">
        <v>250390</v>
      </c>
      <c r="R1736" s="42">
        <v>3048401</v>
      </c>
      <c r="T1736" s="42">
        <v>472174</v>
      </c>
    </row>
    <row r="1737" spans="1:20" x14ac:dyDescent="0.3">
      <c r="A1737" s="7">
        <v>43623</v>
      </c>
      <c r="B1737" s="7"/>
      <c r="C1737" s="6">
        <v>170862</v>
      </c>
      <c r="D1737" s="6">
        <v>217575</v>
      </c>
      <c r="E1737" s="6">
        <v>159127</v>
      </c>
      <c r="F1737" s="14">
        <v>535442</v>
      </c>
      <c r="G1737" s="6">
        <v>165611</v>
      </c>
      <c r="H1737" s="6">
        <v>64839</v>
      </c>
      <c r="I1737" s="6">
        <v>71752</v>
      </c>
      <c r="J1737" s="6">
        <v>285476</v>
      </c>
      <c r="K1737" s="6">
        <v>501322</v>
      </c>
      <c r="L1737" s="6">
        <v>221823</v>
      </c>
      <c r="M1737" s="6">
        <v>2090683</v>
      </c>
      <c r="N1737" s="42">
        <v>1324453</v>
      </c>
      <c r="O1737" s="42"/>
      <c r="P1737" s="42">
        <v>76054</v>
      </c>
      <c r="Q1737" s="42">
        <v>249532</v>
      </c>
      <c r="R1737" s="42">
        <v>3049198</v>
      </c>
      <c r="T1737" s="42">
        <v>489428</v>
      </c>
    </row>
    <row r="1738" spans="1:20" x14ac:dyDescent="0.3">
      <c r="A1738" s="7">
        <v>43622</v>
      </c>
      <c r="B1738" s="7"/>
      <c r="C1738" s="6">
        <v>171589</v>
      </c>
      <c r="D1738" s="6">
        <v>216349</v>
      </c>
      <c r="E1738" s="6">
        <v>154086</v>
      </c>
      <c r="F1738" s="14">
        <v>529168</v>
      </c>
      <c r="G1738" s="6">
        <v>167489</v>
      </c>
      <c r="H1738" s="6">
        <v>63751</v>
      </c>
      <c r="I1738" s="6">
        <v>75208</v>
      </c>
      <c r="J1738" s="6">
        <v>285152</v>
      </c>
      <c r="K1738" s="6">
        <v>492947</v>
      </c>
      <c r="L1738" s="6">
        <v>219051</v>
      </c>
      <c r="M1738" s="6">
        <v>2109204</v>
      </c>
      <c r="N1738" s="42"/>
      <c r="O1738" s="42"/>
      <c r="P1738" s="42"/>
      <c r="Q1738" s="42"/>
      <c r="R1738" s="42"/>
      <c r="T1738" s="42">
        <v>462485</v>
      </c>
    </row>
    <row r="1739" spans="1:20" x14ac:dyDescent="0.3">
      <c r="A1739" s="7">
        <v>43621</v>
      </c>
      <c r="B1739" s="7"/>
      <c r="C1739" s="6">
        <v>172290</v>
      </c>
      <c r="D1739" s="6">
        <v>219078</v>
      </c>
      <c r="E1739" s="6">
        <v>153563</v>
      </c>
      <c r="F1739" s="14">
        <v>528231</v>
      </c>
      <c r="G1739" s="6">
        <v>166130</v>
      </c>
      <c r="H1739" s="6">
        <v>66360</v>
      </c>
      <c r="I1739" s="6">
        <v>78777</v>
      </c>
      <c r="J1739" s="6">
        <v>287391</v>
      </c>
      <c r="K1739" s="6">
        <v>489676</v>
      </c>
      <c r="L1739" s="6">
        <v>215494</v>
      </c>
      <c r="M1739" s="6">
        <v>2104404</v>
      </c>
      <c r="N1739" s="42"/>
      <c r="O1739" s="42"/>
      <c r="P1739" s="42"/>
      <c r="Q1739" s="42"/>
      <c r="R1739" s="42"/>
      <c r="T1739" s="42">
        <v>447513</v>
      </c>
    </row>
    <row r="1740" spans="1:20" x14ac:dyDescent="0.3">
      <c r="A1740" s="7">
        <v>43620</v>
      </c>
      <c r="B1740" s="7"/>
      <c r="C1740" s="6">
        <v>170251</v>
      </c>
      <c r="D1740" s="6">
        <v>220728</v>
      </c>
      <c r="E1740" s="6">
        <v>151970</v>
      </c>
      <c r="F1740" s="14">
        <v>517428</v>
      </c>
      <c r="G1740" s="6">
        <v>167810</v>
      </c>
      <c r="H1740" s="6">
        <v>68760</v>
      </c>
      <c r="I1740" s="6">
        <v>82843</v>
      </c>
      <c r="J1740" s="6">
        <v>281813</v>
      </c>
      <c r="K1740" s="6">
        <v>481495</v>
      </c>
      <c r="L1740" s="6">
        <v>216145</v>
      </c>
      <c r="M1740" s="6">
        <v>2078407</v>
      </c>
      <c r="N1740" s="42"/>
      <c r="O1740" s="42"/>
      <c r="P1740" s="42"/>
      <c r="Q1740" s="42"/>
      <c r="R1740" s="42"/>
      <c r="T1740" s="42">
        <v>426443</v>
      </c>
    </row>
    <row r="1741" spans="1:20" x14ac:dyDescent="0.3">
      <c r="A1741" s="7">
        <v>43619</v>
      </c>
      <c r="B1741" s="7"/>
      <c r="C1741" s="6">
        <v>173358</v>
      </c>
      <c r="D1741" s="6">
        <v>225285</v>
      </c>
      <c r="E1741" s="6">
        <v>150899</v>
      </c>
      <c r="F1741" s="14">
        <v>518436</v>
      </c>
      <c r="G1741" s="6">
        <v>176247</v>
      </c>
      <c r="H1741" s="6">
        <v>68102</v>
      </c>
      <c r="I1741" s="6">
        <v>84694</v>
      </c>
      <c r="J1741" s="6">
        <v>283367</v>
      </c>
      <c r="K1741" s="6">
        <v>476704</v>
      </c>
      <c r="L1741" s="6">
        <v>213481</v>
      </c>
      <c r="M1741" s="6">
        <v>2079916</v>
      </c>
      <c r="N1741" s="42"/>
      <c r="O1741" s="42"/>
      <c r="P1741" s="42"/>
      <c r="Q1741" s="42"/>
      <c r="R1741" s="42"/>
      <c r="T1741" s="42">
        <v>424631</v>
      </c>
    </row>
    <row r="1742" spans="1:20" x14ac:dyDescent="0.3">
      <c r="A1742" s="7">
        <v>43616</v>
      </c>
      <c r="B1742" s="7"/>
      <c r="C1742" s="6">
        <v>178633</v>
      </c>
      <c r="D1742" s="6">
        <v>226240</v>
      </c>
      <c r="E1742" s="6">
        <v>148141</v>
      </c>
      <c r="F1742" s="14">
        <v>519421</v>
      </c>
      <c r="G1742" s="6">
        <v>177698</v>
      </c>
      <c r="H1742" s="6">
        <v>66182</v>
      </c>
      <c r="I1742" s="6">
        <v>84810</v>
      </c>
      <c r="J1742" s="6">
        <v>282827</v>
      </c>
      <c r="K1742" s="6">
        <v>465077</v>
      </c>
      <c r="L1742" s="6">
        <v>209964</v>
      </c>
      <c r="M1742" s="6">
        <v>2072010</v>
      </c>
      <c r="N1742" s="42"/>
      <c r="O1742" s="42"/>
      <c r="P1742" s="42"/>
      <c r="Q1742" s="42"/>
      <c r="R1742" s="42"/>
      <c r="T1742" s="42">
        <v>421140</v>
      </c>
    </row>
    <row r="1743" spans="1:20" x14ac:dyDescent="0.3">
      <c r="A1743" s="7">
        <v>43615</v>
      </c>
      <c r="B1743" s="7"/>
      <c r="C1743" s="6">
        <v>182284</v>
      </c>
      <c r="D1743" s="6">
        <v>226668</v>
      </c>
      <c r="E1743" s="6">
        <v>147724</v>
      </c>
      <c r="F1743" s="14">
        <v>531776</v>
      </c>
      <c r="G1743" s="6">
        <v>169580</v>
      </c>
      <c r="H1743" s="6">
        <v>67097</v>
      </c>
      <c r="I1743" s="6">
        <v>85057</v>
      </c>
      <c r="J1743" s="6">
        <v>282529</v>
      </c>
      <c r="K1743" s="6">
        <v>443231</v>
      </c>
      <c r="L1743" s="6">
        <v>212579</v>
      </c>
      <c r="M1743" s="6">
        <v>2077229</v>
      </c>
      <c r="N1743" s="42"/>
      <c r="O1743" s="42"/>
      <c r="P1743" s="42"/>
      <c r="Q1743" s="42"/>
      <c r="R1743" s="42"/>
      <c r="T1743" s="42">
        <v>424933</v>
      </c>
    </row>
    <row r="1744" spans="1:20" x14ac:dyDescent="0.3">
      <c r="A1744" s="7">
        <v>43614</v>
      </c>
      <c r="B1744" s="7"/>
      <c r="C1744" s="6">
        <v>178884</v>
      </c>
      <c r="D1744" s="6">
        <v>218063</v>
      </c>
      <c r="E1744" s="6">
        <v>145257</v>
      </c>
      <c r="F1744" s="14">
        <v>533471</v>
      </c>
      <c r="G1744" s="6">
        <v>167742</v>
      </c>
      <c r="H1744" s="6">
        <v>61766</v>
      </c>
      <c r="I1744" s="6">
        <v>84953</v>
      </c>
      <c r="J1744" s="6">
        <v>276114</v>
      </c>
      <c r="K1744" s="6">
        <v>454175</v>
      </c>
      <c r="L1744" s="6">
        <v>213540</v>
      </c>
      <c r="M1744" s="6">
        <v>2079336</v>
      </c>
      <c r="N1744" s="42"/>
      <c r="O1744" s="42"/>
      <c r="P1744" s="42"/>
      <c r="Q1744" s="42"/>
      <c r="R1744" s="42"/>
      <c r="T1744" s="42">
        <v>428160</v>
      </c>
    </row>
    <row r="1745" spans="1:20" x14ac:dyDescent="0.3">
      <c r="A1745" s="7">
        <v>43613</v>
      </c>
      <c r="B1745" s="7"/>
      <c r="C1745" s="6">
        <v>179990</v>
      </c>
      <c r="D1745" s="6">
        <v>213930</v>
      </c>
      <c r="E1745" s="6">
        <v>140449</v>
      </c>
      <c r="F1745" s="14">
        <v>536798</v>
      </c>
      <c r="G1745" s="6">
        <v>169790</v>
      </c>
      <c r="H1745" s="6">
        <v>61961</v>
      </c>
      <c r="I1745" s="6">
        <v>85660</v>
      </c>
      <c r="J1745" s="6">
        <v>272194</v>
      </c>
      <c r="K1745" s="6">
        <v>505126</v>
      </c>
      <c r="L1745" s="6">
        <v>217605</v>
      </c>
      <c r="M1745" s="6">
        <v>2102854</v>
      </c>
      <c r="N1745" s="42"/>
      <c r="O1745" s="42"/>
      <c r="P1745" s="42"/>
      <c r="Q1745" s="42"/>
      <c r="R1745" s="42"/>
      <c r="T1745" s="42">
        <v>423850</v>
      </c>
    </row>
    <row r="1746" spans="1:20" x14ac:dyDescent="0.3">
      <c r="A1746" s="7">
        <v>43609</v>
      </c>
      <c r="B1746" s="7"/>
      <c r="C1746" s="6">
        <v>182441</v>
      </c>
      <c r="D1746" s="6">
        <v>207195</v>
      </c>
      <c r="E1746" s="6">
        <v>140757</v>
      </c>
      <c r="F1746" s="14">
        <v>535859</v>
      </c>
      <c r="G1746" s="6">
        <v>169364</v>
      </c>
      <c r="H1746" s="6">
        <v>60486</v>
      </c>
      <c r="I1746" s="6">
        <v>86829</v>
      </c>
      <c r="J1746" s="6">
        <v>271495</v>
      </c>
      <c r="K1746" s="6">
        <v>517279</v>
      </c>
      <c r="L1746" s="6">
        <v>211578</v>
      </c>
      <c r="M1746" s="6">
        <v>2101395</v>
      </c>
      <c r="N1746" s="42"/>
      <c r="O1746" s="42"/>
      <c r="P1746" s="42"/>
      <c r="Q1746" s="42"/>
      <c r="R1746" s="42"/>
      <c r="T1746" s="42">
        <v>421937</v>
      </c>
    </row>
    <row r="1747" spans="1:20" x14ac:dyDescent="0.3">
      <c r="A1747" s="7">
        <v>43608</v>
      </c>
      <c r="B1747" s="7"/>
      <c r="C1747" s="6">
        <v>183991</v>
      </c>
      <c r="D1747" s="6">
        <v>204399</v>
      </c>
      <c r="E1747" s="6">
        <v>141710</v>
      </c>
      <c r="F1747" s="14">
        <v>541890</v>
      </c>
      <c r="G1747" s="6">
        <v>171530</v>
      </c>
      <c r="H1747" s="6">
        <v>59636</v>
      </c>
      <c r="I1747" s="6">
        <v>88436</v>
      </c>
      <c r="J1747" s="6">
        <v>272570</v>
      </c>
      <c r="K1747" s="6">
        <v>519715</v>
      </c>
      <c r="L1747" s="6">
        <v>210149</v>
      </c>
      <c r="M1747" s="6">
        <v>2103109</v>
      </c>
      <c r="N1747" s="42"/>
      <c r="O1747" s="42"/>
      <c r="P1747" s="42"/>
      <c r="Q1747" s="42"/>
      <c r="R1747" s="42"/>
      <c r="T1747" s="42">
        <v>427642</v>
      </c>
    </row>
    <row r="1748" spans="1:20" x14ac:dyDescent="0.3">
      <c r="A1748" s="7">
        <v>43607</v>
      </c>
      <c r="B1748" s="7"/>
      <c r="C1748" s="6">
        <v>184108</v>
      </c>
      <c r="D1748" s="6">
        <v>197251</v>
      </c>
      <c r="E1748" s="6">
        <v>137558</v>
      </c>
      <c r="F1748" s="14">
        <v>521493</v>
      </c>
      <c r="G1748" s="6">
        <v>169175</v>
      </c>
      <c r="H1748" s="6">
        <v>59624</v>
      </c>
      <c r="I1748" s="6">
        <v>88096</v>
      </c>
      <c r="J1748" s="6">
        <v>270812</v>
      </c>
      <c r="K1748" s="6">
        <v>514515</v>
      </c>
      <c r="L1748" s="6">
        <v>210796</v>
      </c>
      <c r="M1748" s="6">
        <v>2096571</v>
      </c>
      <c r="N1748" s="42"/>
      <c r="O1748" s="42"/>
      <c r="P1748" s="42"/>
      <c r="Q1748" s="42"/>
      <c r="R1748" s="42"/>
      <c r="T1748" s="42">
        <v>434342</v>
      </c>
    </row>
    <row r="1749" spans="1:20" x14ac:dyDescent="0.3">
      <c r="A1749" s="7">
        <v>43606</v>
      </c>
      <c r="B1749" s="7"/>
      <c r="C1749" s="6">
        <v>183247</v>
      </c>
      <c r="D1749" s="6">
        <v>190191</v>
      </c>
      <c r="E1749" s="6">
        <v>140682</v>
      </c>
      <c r="F1749" s="14">
        <v>516122</v>
      </c>
      <c r="G1749" s="6">
        <v>170834</v>
      </c>
      <c r="H1749" s="6">
        <v>58548</v>
      </c>
      <c r="I1749" s="6">
        <v>88283</v>
      </c>
      <c r="J1749" s="6">
        <v>261724</v>
      </c>
      <c r="K1749" s="6">
        <v>508643</v>
      </c>
      <c r="L1749" s="6">
        <v>210356</v>
      </c>
      <c r="M1749" s="6">
        <v>2085029</v>
      </c>
      <c r="N1749" s="42"/>
      <c r="O1749" s="42"/>
      <c r="P1749" s="42"/>
      <c r="Q1749" s="42"/>
      <c r="R1749" s="42"/>
      <c r="T1749" s="42">
        <v>427441</v>
      </c>
    </row>
    <row r="1750" spans="1:20" x14ac:dyDescent="0.3">
      <c r="A1750" s="7">
        <v>43605</v>
      </c>
      <c r="B1750" s="7"/>
      <c r="C1750" s="6">
        <v>187248</v>
      </c>
      <c r="D1750" s="6">
        <v>185530</v>
      </c>
      <c r="E1750" s="6">
        <v>141409</v>
      </c>
      <c r="F1750" s="14">
        <v>515623</v>
      </c>
      <c r="G1750" s="6">
        <v>175356</v>
      </c>
      <c r="H1750" s="6">
        <v>57416</v>
      </c>
      <c r="I1750" s="6">
        <v>88149</v>
      </c>
      <c r="J1750" s="6">
        <v>258728</v>
      </c>
      <c r="K1750" s="6">
        <v>508422</v>
      </c>
      <c r="L1750" s="6">
        <v>210432</v>
      </c>
      <c r="M1750" s="6">
        <v>2102736</v>
      </c>
      <c r="N1750" s="42"/>
      <c r="O1750" s="42"/>
      <c r="P1750" s="42"/>
      <c r="Q1750" s="42"/>
      <c r="R1750" s="42"/>
      <c r="T1750" s="42">
        <v>425670</v>
      </c>
    </row>
    <row r="1751" spans="1:20" x14ac:dyDescent="0.3">
      <c r="A1751" s="7">
        <v>43602</v>
      </c>
      <c r="B1751" s="7"/>
      <c r="C1751" s="6">
        <v>179043</v>
      </c>
      <c r="D1751" s="6">
        <v>178530</v>
      </c>
      <c r="E1751" s="6">
        <v>144992</v>
      </c>
      <c r="F1751" s="14">
        <v>512789</v>
      </c>
      <c r="G1751" s="6">
        <v>174461</v>
      </c>
      <c r="H1751" s="6">
        <v>55460</v>
      </c>
      <c r="I1751" s="6">
        <v>89645</v>
      </c>
      <c r="J1751" s="6">
        <v>258238</v>
      </c>
      <c r="K1751" s="6">
        <v>517232</v>
      </c>
      <c r="L1751" s="6">
        <v>209727</v>
      </c>
      <c r="M1751" s="6">
        <v>2127892</v>
      </c>
      <c r="N1751" s="42"/>
      <c r="O1751" s="42"/>
      <c r="P1751" s="42"/>
      <c r="Q1751" s="42"/>
      <c r="R1751" s="42"/>
      <c r="T1751" s="42">
        <v>424897</v>
      </c>
    </row>
    <row r="1752" spans="1:20" x14ac:dyDescent="0.3">
      <c r="A1752" s="7">
        <v>43601</v>
      </c>
      <c r="B1752" s="7"/>
      <c r="C1752" s="6">
        <v>175452</v>
      </c>
      <c r="D1752" s="6">
        <v>171188</v>
      </c>
      <c r="E1752" s="6">
        <v>142878</v>
      </c>
      <c r="F1752" s="14">
        <v>510218</v>
      </c>
      <c r="G1752" s="6">
        <v>177366</v>
      </c>
      <c r="H1752" s="6">
        <v>53576</v>
      </c>
      <c r="I1752" s="6">
        <v>90880</v>
      </c>
      <c r="J1752" s="6">
        <v>256098</v>
      </c>
      <c r="K1752" s="6">
        <v>521243</v>
      </c>
      <c r="L1752" s="6">
        <v>209508</v>
      </c>
      <c r="M1752" s="6">
        <v>2124290</v>
      </c>
      <c r="N1752" s="42"/>
      <c r="O1752" s="42"/>
      <c r="P1752" s="42"/>
      <c r="Q1752" s="42"/>
      <c r="R1752" s="42"/>
      <c r="T1752" s="42">
        <v>427960</v>
      </c>
    </row>
    <row r="1753" spans="1:20" x14ac:dyDescent="0.3">
      <c r="A1753" s="7">
        <v>43600</v>
      </c>
      <c r="B1753" s="7"/>
      <c r="C1753" s="6">
        <v>168859</v>
      </c>
      <c r="D1753" s="6">
        <v>164694</v>
      </c>
      <c r="E1753" s="6">
        <v>147433</v>
      </c>
      <c r="F1753" s="14">
        <v>502689</v>
      </c>
      <c r="G1753" s="6">
        <v>178624</v>
      </c>
      <c r="H1753" s="6">
        <v>51591</v>
      </c>
      <c r="I1753" s="6">
        <v>91814</v>
      </c>
      <c r="J1753" s="6">
        <v>257016</v>
      </c>
      <c r="K1753" s="6">
        <v>524355</v>
      </c>
      <c r="L1753" s="6">
        <v>204318</v>
      </c>
      <c r="M1753" s="6">
        <v>2161397</v>
      </c>
      <c r="N1753" s="42"/>
      <c r="O1753" s="42"/>
      <c r="P1753" s="42"/>
      <c r="Q1753" s="42"/>
      <c r="R1753" s="42"/>
      <c r="T1753" s="42">
        <v>427434</v>
      </c>
    </row>
    <row r="1754" spans="1:20" x14ac:dyDescent="0.3">
      <c r="A1754" s="7">
        <v>43599</v>
      </c>
      <c r="B1754" s="7"/>
      <c r="C1754" s="6">
        <v>165865</v>
      </c>
      <c r="D1754" s="6">
        <v>157783</v>
      </c>
      <c r="E1754" s="6">
        <v>148058</v>
      </c>
      <c r="F1754" s="14">
        <v>505523</v>
      </c>
      <c r="G1754" s="6">
        <v>181293</v>
      </c>
      <c r="H1754" s="6">
        <v>50262</v>
      </c>
      <c r="I1754" s="6">
        <v>93782</v>
      </c>
      <c r="J1754" s="6">
        <v>256800</v>
      </c>
      <c r="K1754" s="6">
        <v>517995</v>
      </c>
      <c r="L1754" s="6">
        <v>203788</v>
      </c>
      <c r="M1754" s="6">
        <v>2153657</v>
      </c>
      <c r="N1754" s="42"/>
      <c r="O1754" s="42"/>
      <c r="P1754" s="42"/>
      <c r="Q1754" s="42"/>
      <c r="R1754" s="42"/>
      <c r="T1754" s="42">
        <v>424616</v>
      </c>
    </row>
    <row r="1755" spans="1:20" x14ac:dyDescent="0.3">
      <c r="A1755" s="7">
        <v>43598</v>
      </c>
      <c r="B1755" s="7"/>
      <c r="C1755" s="6">
        <v>166734</v>
      </c>
      <c r="D1755" s="6">
        <v>155250</v>
      </c>
      <c r="E1755" s="6">
        <v>148138</v>
      </c>
      <c r="F1755" s="14">
        <v>509005</v>
      </c>
      <c r="G1755" s="6">
        <v>187038</v>
      </c>
      <c r="H1755" s="6">
        <v>52196</v>
      </c>
      <c r="I1755" s="6">
        <v>95240</v>
      </c>
      <c r="J1755" s="6">
        <v>253535</v>
      </c>
      <c r="K1755" s="6">
        <v>520485</v>
      </c>
      <c r="L1755" s="6">
        <v>203890</v>
      </c>
      <c r="M1755" s="6">
        <v>2147924</v>
      </c>
      <c r="N1755" s="42"/>
      <c r="O1755" s="42"/>
      <c r="P1755" s="42"/>
      <c r="Q1755" s="42"/>
      <c r="R1755" s="42"/>
      <c r="T1755" s="42">
        <v>426573</v>
      </c>
    </row>
    <row r="1756" spans="1:20" x14ac:dyDescent="0.3">
      <c r="A1756" s="7">
        <v>43595</v>
      </c>
      <c r="B1756" s="7"/>
      <c r="C1756" s="6">
        <v>159212</v>
      </c>
      <c r="D1756" s="6">
        <v>153763</v>
      </c>
      <c r="E1756" s="6">
        <v>146812</v>
      </c>
      <c r="F1756" s="14">
        <v>511567</v>
      </c>
      <c r="G1756" s="6">
        <v>192596</v>
      </c>
      <c r="H1756" s="6">
        <v>49747</v>
      </c>
      <c r="I1756" s="6">
        <v>97121</v>
      </c>
      <c r="J1756" s="6">
        <v>248539</v>
      </c>
      <c r="K1756" s="6">
        <v>488720</v>
      </c>
      <c r="L1756" s="6">
        <v>201956</v>
      </c>
      <c r="M1756" s="6">
        <v>2136409</v>
      </c>
      <c r="N1756" s="42"/>
      <c r="O1756" s="42"/>
      <c r="P1756" s="42"/>
      <c r="Q1756" s="42"/>
      <c r="R1756" s="42"/>
      <c r="T1756" s="42">
        <v>425467</v>
      </c>
    </row>
    <row r="1757" spans="1:20" x14ac:dyDescent="0.3">
      <c r="A1757" s="7">
        <v>43594</v>
      </c>
      <c r="B1757" s="7"/>
      <c r="C1757" s="6">
        <v>160159</v>
      </c>
      <c r="D1757" s="6">
        <v>154574</v>
      </c>
      <c r="E1757" s="6">
        <v>149241</v>
      </c>
      <c r="F1757" s="14">
        <v>515785</v>
      </c>
      <c r="G1757" s="6">
        <v>198247</v>
      </c>
      <c r="H1757" s="6">
        <v>49834</v>
      </c>
      <c r="I1757" s="6">
        <v>97293</v>
      </c>
      <c r="J1757" s="6">
        <v>246026</v>
      </c>
      <c r="K1757" s="6">
        <v>474094</v>
      </c>
      <c r="L1757" s="6">
        <v>200473</v>
      </c>
      <c r="M1757" s="6">
        <v>2146351</v>
      </c>
      <c r="N1757" s="42"/>
      <c r="O1757" s="42"/>
      <c r="P1757" s="42"/>
      <c r="Q1757" s="42"/>
      <c r="R1757" s="42"/>
      <c r="T1757" s="42">
        <v>422533</v>
      </c>
    </row>
    <row r="1758" spans="1:20" x14ac:dyDescent="0.3">
      <c r="A1758" s="7">
        <v>43593</v>
      </c>
      <c r="B1758" s="7"/>
      <c r="C1758" s="6">
        <v>161314</v>
      </c>
      <c r="D1758" s="6">
        <v>155024</v>
      </c>
      <c r="E1758" s="6">
        <v>147955</v>
      </c>
      <c r="F1758" s="14">
        <v>512399</v>
      </c>
      <c r="G1758" s="6">
        <v>201794</v>
      </c>
      <c r="H1758" s="6">
        <v>50591</v>
      </c>
      <c r="I1758" s="6">
        <v>99585</v>
      </c>
      <c r="J1758" s="6">
        <v>244742</v>
      </c>
      <c r="K1758" s="6">
        <v>462825</v>
      </c>
      <c r="L1758" s="6">
        <v>198782</v>
      </c>
      <c r="M1758" s="6">
        <v>2124980</v>
      </c>
      <c r="N1758" s="42"/>
      <c r="O1758" s="42"/>
      <c r="P1758" s="42"/>
      <c r="Q1758" s="42"/>
      <c r="R1758" s="42"/>
      <c r="T1758" s="42">
        <v>423027</v>
      </c>
    </row>
    <row r="1759" spans="1:20" x14ac:dyDescent="0.3">
      <c r="A1759" s="7">
        <v>43592</v>
      </c>
      <c r="B1759" s="7"/>
      <c r="C1759" s="6">
        <v>162579</v>
      </c>
      <c r="D1759" s="6">
        <v>154991</v>
      </c>
      <c r="E1759" s="6">
        <v>151258</v>
      </c>
      <c r="F1759" s="14">
        <v>516282</v>
      </c>
      <c r="G1759" s="6">
        <v>201462</v>
      </c>
      <c r="H1759" s="6">
        <v>48392</v>
      </c>
      <c r="I1759" s="6">
        <v>101595</v>
      </c>
      <c r="J1759" s="6">
        <v>245088</v>
      </c>
      <c r="K1759" s="6">
        <v>450039</v>
      </c>
      <c r="L1759" s="6">
        <v>199467</v>
      </c>
      <c r="M1759" s="6">
        <v>2133539</v>
      </c>
      <c r="N1759" s="42"/>
      <c r="O1759" s="42"/>
      <c r="P1759" s="42"/>
      <c r="Q1759" s="42"/>
      <c r="R1759" s="42"/>
      <c r="T1759" s="42">
        <v>421835</v>
      </c>
    </row>
    <row r="1760" spans="1:20" x14ac:dyDescent="0.3">
      <c r="A1760" s="7">
        <v>43591</v>
      </c>
      <c r="B1760" s="7"/>
      <c r="C1760" s="6">
        <v>165914</v>
      </c>
      <c r="D1760" s="6">
        <v>156518</v>
      </c>
      <c r="E1760" s="6">
        <v>151448</v>
      </c>
      <c r="F1760" s="14">
        <v>514651</v>
      </c>
      <c r="G1760" s="6">
        <v>199500</v>
      </c>
      <c r="H1760" s="6">
        <v>48009</v>
      </c>
      <c r="I1760" s="6">
        <v>101087</v>
      </c>
      <c r="J1760" s="6">
        <v>248075</v>
      </c>
      <c r="K1760" s="6">
        <v>442488</v>
      </c>
      <c r="L1760" s="6">
        <v>200172</v>
      </c>
      <c r="M1760" s="6">
        <v>2146575</v>
      </c>
      <c r="N1760" s="42"/>
      <c r="O1760" s="42"/>
      <c r="P1760" s="42"/>
      <c r="Q1760" s="42"/>
      <c r="R1760" s="42"/>
      <c r="T1760" s="42">
        <v>424824</v>
      </c>
    </row>
    <row r="1761" spans="1:20" x14ac:dyDescent="0.3">
      <c r="A1761" s="7">
        <v>43588</v>
      </c>
      <c r="B1761" s="7"/>
      <c r="C1761" s="6">
        <v>163641</v>
      </c>
      <c r="D1761" s="6">
        <v>161731</v>
      </c>
      <c r="E1761" s="6">
        <v>152654</v>
      </c>
      <c r="F1761" s="14">
        <v>514268</v>
      </c>
      <c r="G1761" s="6">
        <v>202185</v>
      </c>
      <c r="H1761" s="6">
        <v>47764</v>
      </c>
      <c r="I1761" s="6">
        <v>99641</v>
      </c>
      <c r="J1761" s="6">
        <v>251079</v>
      </c>
      <c r="K1761" s="6">
        <v>440217</v>
      </c>
      <c r="L1761" s="6">
        <v>200109</v>
      </c>
      <c r="M1761" s="6">
        <v>2139675</v>
      </c>
      <c r="N1761" s="42"/>
      <c r="O1761" s="42"/>
      <c r="P1761" s="42"/>
      <c r="Q1761" s="42"/>
      <c r="R1761" s="42"/>
      <c r="T1761" s="42">
        <v>431378</v>
      </c>
    </row>
    <row r="1762" spans="1:20" x14ac:dyDescent="0.3">
      <c r="A1762" s="7">
        <v>43587</v>
      </c>
      <c r="B1762" s="7"/>
      <c r="C1762" s="6">
        <v>162799</v>
      </c>
      <c r="D1762" s="6">
        <v>156843</v>
      </c>
      <c r="E1762" s="6">
        <v>152861</v>
      </c>
      <c r="F1762" s="14">
        <v>518686</v>
      </c>
      <c r="G1762" s="6">
        <v>201355</v>
      </c>
      <c r="H1762" s="6">
        <v>49105</v>
      </c>
      <c r="I1762" s="6">
        <v>100259</v>
      </c>
      <c r="J1762" s="6">
        <v>257092</v>
      </c>
      <c r="K1762" s="6">
        <v>442992</v>
      </c>
      <c r="L1762" s="6">
        <v>202302</v>
      </c>
      <c r="M1762" s="6">
        <v>2154276</v>
      </c>
      <c r="N1762" s="42"/>
      <c r="O1762" s="42"/>
      <c r="P1762" s="42"/>
      <c r="Q1762" s="42"/>
      <c r="R1762" s="42"/>
      <c r="T1762" s="42">
        <v>431561</v>
      </c>
    </row>
    <row r="1763" spans="1:20" x14ac:dyDescent="0.3">
      <c r="A1763" s="7">
        <v>43586</v>
      </c>
      <c r="B1763" s="7"/>
      <c r="C1763" s="6">
        <v>160247</v>
      </c>
      <c r="D1763" s="6">
        <v>159323</v>
      </c>
      <c r="E1763" s="6">
        <v>153446</v>
      </c>
      <c r="F1763" s="14">
        <v>520547</v>
      </c>
      <c r="G1763" s="6">
        <v>201457</v>
      </c>
      <c r="H1763" s="6">
        <v>49108</v>
      </c>
      <c r="I1763" s="6">
        <v>99701</v>
      </c>
      <c r="J1763" s="6">
        <v>260750</v>
      </c>
      <c r="K1763" s="6">
        <v>433874</v>
      </c>
      <c r="L1763" s="6">
        <v>201540</v>
      </c>
      <c r="M1763" s="6">
        <v>2160626</v>
      </c>
      <c r="N1763" s="42"/>
      <c r="O1763" s="42"/>
      <c r="P1763" s="42"/>
      <c r="Q1763" s="42"/>
      <c r="R1763" s="42"/>
      <c r="T1763" s="42">
        <v>431284</v>
      </c>
    </row>
    <row r="1764" spans="1:20" x14ac:dyDescent="0.3">
      <c r="A1764" s="7">
        <v>43585</v>
      </c>
      <c r="B1764" s="7"/>
      <c r="C1764" s="6">
        <v>159857</v>
      </c>
      <c r="D1764" s="6">
        <v>161764</v>
      </c>
      <c r="E1764" s="6">
        <v>154565</v>
      </c>
      <c r="F1764" s="14">
        <v>517935</v>
      </c>
      <c r="G1764" s="6">
        <v>203323</v>
      </c>
      <c r="H1764" s="6">
        <v>49266</v>
      </c>
      <c r="I1764" s="6">
        <v>102722</v>
      </c>
      <c r="J1764" s="6">
        <v>249602</v>
      </c>
      <c r="K1764" s="6">
        <v>430011</v>
      </c>
      <c r="L1764" s="6">
        <v>196610</v>
      </c>
      <c r="M1764" s="6">
        <v>2144648</v>
      </c>
      <c r="N1764" s="42"/>
      <c r="O1764" s="42"/>
      <c r="P1764" s="42"/>
      <c r="Q1764" s="42"/>
      <c r="R1764" s="42"/>
      <c r="T1764" s="42">
        <v>435023</v>
      </c>
    </row>
    <row r="1765" spans="1:20" x14ac:dyDescent="0.3">
      <c r="A1765" s="7">
        <v>43584</v>
      </c>
      <c r="B1765" s="7"/>
      <c r="C1765" s="6">
        <v>159892</v>
      </c>
      <c r="D1765" s="6">
        <v>165241</v>
      </c>
      <c r="E1765" s="6">
        <v>157475</v>
      </c>
      <c r="F1765" s="14">
        <v>515227</v>
      </c>
      <c r="G1765" s="6">
        <v>205919</v>
      </c>
      <c r="H1765" s="6">
        <v>49389</v>
      </c>
      <c r="I1765" s="6">
        <v>100637</v>
      </c>
      <c r="J1765" s="6">
        <v>249462</v>
      </c>
      <c r="K1765" s="6">
        <v>427589</v>
      </c>
      <c r="L1765" s="6">
        <v>197286</v>
      </c>
      <c r="M1765" s="6">
        <v>2142893</v>
      </c>
      <c r="N1765" s="42"/>
      <c r="O1765" s="42"/>
      <c r="P1765" s="42"/>
      <c r="Q1765" s="42"/>
      <c r="R1765" s="42"/>
      <c r="T1765" s="42">
        <v>436608</v>
      </c>
    </row>
    <row r="1766" spans="1:20" x14ac:dyDescent="0.3">
      <c r="A1766" s="7">
        <v>43581</v>
      </c>
      <c r="B1766" s="7"/>
      <c r="C1766" s="6">
        <v>160244</v>
      </c>
      <c r="D1766" s="6">
        <v>164514</v>
      </c>
      <c r="E1766" s="6">
        <v>157399</v>
      </c>
      <c r="F1766" s="14">
        <v>512071</v>
      </c>
      <c r="G1766" s="6">
        <v>201176</v>
      </c>
      <c r="H1766" s="6">
        <v>47357</v>
      </c>
      <c r="I1766" s="6">
        <v>97649</v>
      </c>
      <c r="J1766" s="6">
        <v>250461</v>
      </c>
      <c r="K1766" s="6">
        <v>429551</v>
      </c>
      <c r="L1766" s="6">
        <v>201099</v>
      </c>
      <c r="M1766" s="6">
        <v>2149649</v>
      </c>
      <c r="N1766" s="42"/>
      <c r="O1766" s="42"/>
      <c r="P1766" s="42"/>
      <c r="Q1766" s="42"/>
      <c r="R1766" s="42"/>
      <c r="T1766" s="42">
        <v>436587</v>
      </c>
    </row>
    <row r="1767" spans="1:20" x14ac:dyDescent="0.3">
      <c r="A1767" s="7">
        <v>43580</v>
      </c>
      <c r="B1767" s="7"/>
      <c r="C1767" s="6">
        <v>161741</v>
      </c>
      <c r="D1767" s="6">
        <v>161820</v>
      </c>
      <c r="E1767" s="6">
        <v>157952</v>
      </c>
      <c r="F1767" s="14">
        <v>511041</v>
      </c>
      <c r="G1767" s="6">
        <v>206823</v>
      </c>
      <c r="H1767" s="6">
        <v>50501</v>
      </c>
      <c r="I1767" s="6">
        <v>95996</v>
      </c>
      <c r="J1767" s="6">
        <v>255177</v>
      </c>
      <c r="K1767" s="6">
        <v>435049</v>
      </c>
      <c r="L1767" s="6">
        <v>212944</v>
      </c>
      <c r="M1767" s="6">
        <v>2154923</v>
      </c>
      <c r="N1767" s="42"/>
      <c r="O1767" s="42"/>
      <c r="P1767" s="42"/>
      <c r="Q1767" s="42"/>
      <c r="R1767" s="42"/>
      <c r="T1767" s="42">
        <v>432344</v>
      </c>
    </row>
    <row r="1768" spans="1:20" x14ac:dyDescent="0.3">
      <c r="A1768" s="7">
        <v>43579</v>
      </c>
      <c r="B1768" s="7"/>
      <c r="C1768" s="6">
        <v>154344</v>
      </c>
      <c r="D1768" s="6">
        <v>157887</v>
      </c>
      <c r="E1768" s="6">
        <v>159085</v>
      </c>
      <c r="F1768" s="14">
        <v>508377</v>
      </c>
      <c r="G1768" s="6">
        <v>214166</v>
      </c>
      <c r="H1768" s="6">
        <v>48515</v>
      </c>
      <c r="I1768" s="6">
        <v>95537</v>
      </c>
      <c r="J1768" s="6">
        <v>256006</v>
      </c>
      <c r="K1768" s="6">
        <v>441859</v>
      </c>
      <c r="L1768" s="6">
        <v>214262</v>
      </c>
      <c r="M1768" s="6">
        <v>2150596</v>
      </c>
      <c r="N1768" s="42"/>
      <c r="O1768" s="42"/>
      <c r="P1768" s="42"/>
      <c r="Q1768" s="42"/>
      <c r="R1768" s="42"/>
      <c r="T1768" s="42">
        <v>427822</v>
      </c>
    </row>
    <row r="1769" spans="1:20" x14ac:dyDescent="0.3">
      <c r="A1769" s="7">
        <v>43578</v>
      </c>
      <c r="B1769" s="7"/>
      <c r="C1769" s="6">
        <v>142394</v>
      </c>
      <c r="D1769" s="6">
        <v>157851</v>
      </c>
      <c r="E1769" s="6">
        <v>152998</v>
      </c>
      <c r="F1769" s="14">
        <v>507722</v>
      </c>
      <c r="G1769" s="6">
        <v>207316</v>
      </c>
      <c r="H1769" s="6">
        <v>45134</v>
      </c>
      <c r="I1769" s="6">
        <v>94115</v>
      </c>
      <c r="J1769" s="6">
        <v>256267</v>
      </c>
      <c r="K1769" s="6">
        <v>440048</v>
      </c>
      <c r="L1769" s="6">
        <v>219113</v>
      </c>
      <c r="M1769" s="6">
        <v>2139213</v>
      </c>
      <c r="N1769" s="42"/>
      <c r="O1769" s="42"/>
      <c r="P1769" s="42"/>
      <c r="Q1769" s="42"/>
      <c r="R1769" s="42"/>
      <c r="T1769" s="42">
        <v>428209</v>
      </c>
    </row>
    <row r="1770" spans="1:20" x14ac:dyDescent="0.3">
      <c r="A1770" s="7">
        <v>43577</v>
      </c>
      <c r="B1770" s="7"/>
      <c r="C1770" s="6">
        <v>137086</v>
      </c>
      <c r="D1770" s="6">
        <v>151528</v>
      </c>
      <c r="E1770" s="6">
        <v>143183</v>
      </c>
      <c r="F1770" s="14">
        <v>503014</v>
      </c>
      <c r="G1770" s="6">
        <v>205886</v>
      </c>
      <c r="H1770" s="6">
        <v>42290</v>
      </c>
      <c r="I1770" s="6">
        <v>91984</v>
      </c>
      <c r="J1770" s="6">
        <v>256398</v>
      </c>
      <c r="K1770" s="6">
        <v>438529</v>
      </c>
      <c r="L1770" s="6">
        <v>217858</v>
      </c>
      <c r="M1770" s="6">
        <v>2116204</v>
      </c>
      <c r="N1770" s="42"/>
      <c r="O1770" s="42"/>
      <c r="P1770" s="42"/>
      <c r="Q1770" s="42"/>
      <c r="R1770" s="42"/>
      <c r="T1770" s="42">
        <v>427572</v>
      </c>
    </row>
    <row r="1771" spans="1:20" x14ac:dyDescent="0.3">
      <c r="A1771" s="7">
        <v>43573</v>
      </c>
      <c r="B1771" s="7"/>
      <c r="C1771" s="6">
        <v>135884</v>
      </c>
      <c r="D1771" s="6">
        <v>151038</v>
      </c>
      <c r="E1771" s="6">
        <v>144535</v>
      </c>
      <c r="F1771" s="14">
        <v>502519</v>
      </c>
      <c r="G1771" s="6">
        <v>200915</v>
      </c>
      <c r="H1771" s="6">
        <v>40952</v>
      </c>
      <c r="I1771" s="6">
        <v>89534</v>
      </c>
      <c r="J1771" s="6">
        <v>257880</v>
      </c>
      <c r="K1771" s="6">
        <v>436092</v>
      </c>
      <c r="L1771" s="6">
        <v>220936</v>
      </c>
      <c r="M1771" s="6">
        <v>2094584</v>
      </c>
      <c r="N1771" s="42"/>
      <c r="O1771" s="42"/>
      <c r="P1771" s="42"/>
      <c r="Q1771" s="42"/>
      <c r="R1771" s="42"/>
      <c r="T1771" s="42">
        <v>434335</v>
      </c>
    </row>
    <row r="1772" spans="1:20" x14ac:dyDescent="0.3">
      <c r="A1772" s="7">
        <v>43572</v>
      </c>
      <c r="B1772" s="7"/>
      <c r="C1772" s="6">
        <v>138209</v>
      </c>
      <c r="D1772" s="6">
        <v>150609</v>
      </c>
      <c r="E1772" s="6">
        <v>144577</v>
      </c>
      <c r="F1772" s="14">
        <v>501751</v>
      </c>
      <c r="G1772" s="6">
        <v>201170</v>
      </c>
      <c r="H1772" s="6">
        <v>39324</v>
      </c>
      <c r="I1772" s="6">
        <v>84735</v>
      </c>
      <c r="J1772" s="6">
        <v>259276</v>
      </c>
      <c r="K1772" s="6">
        <v>438429</v>
      </c>
      <c r="L1772" s="6">
        <v>219907</v>
      </c>
      <c r="M1772" s="6">
        <v>2108708</v>
      </c>
      <c r="N1772" s="42"/>
      <c r="O1772" s="42"/>
      <c r="P1772" s="42"/>
      <c r="Q1772" s="42"/>
      <c r="R1772" s="42"/>
      <c r="T1772" s="42">
        <v>430172</v>
      </c>
    </row>
    <row r="1773" spans="1:20" x14ac:dyDescent="0.3">
      <c r="A1773" s="7">
        <v>43571</v>
      </c>
      <c r="B1773" s="7"/>
      <c r="C1773" s="6">
        <v>140772</v>
      </c>
      <c r="D1773" s="6">
        <v>148894</v>
      </c>
      <c r="E1773" s="6">
        <v>145041</v>
      </c>
      <c r="F1773" s="14">
        <v>501600</v>
      </c>
      <c r="G1773" s="6">
        <v>200994</v>
      </c>
      <c r="H1773" s="6">
        <v>37770</v>
      </c>
      <c r="I1773" s="6">
        <v>81940</v>
      </c>
      <c r="J1773" s="6">
        <v>257913</v>
      </c>
      <c r="K1773" s="6">
        <v>440581</v>
      </c>
      <c r="L1773" s="6">
        <v>224783</v>
      </c>
      <c r="M1773" s="6">
        <v>2092151</v>
      </c>
      <c r="N1773" s="42"/>
      <c r="O1773" s="42"/>
      <c r="P1773" s="42"/>
      <c r="Q1773" s="42"/>
      <c r="R1773" s="42"/>
      <c r="T1773" s="42">
        <v>429344</v>
      </c>
    </row>
    <row r="1774" spans="1:20" x14ac:dyDescent="0.3">
      <c r="A1774" s="7">
        <v>43570</v>
      </c>
      <c r="B1774" s="7"/>
      <c r="C1774" s="6">
        <v>142639</v>
      </c>
      <c r="D1774" s="6">
        <v>151327</v>
      </c>
      <c r="E1774" s="6">
        <v>147162</v>
      </c>
      <c r="F1774" s="14">
        <v>498286</v>
      </c>
      <c r="G1774" s="6">
        <v>194139</v>
      </c>
      <c r="H1774" s="6">
        <v>37921</v>
      </c>
      <c r="I1774" s="6">
        <v>78710</v>
      </c>
      <c r="J1774" s="6">
        <v>253932</v>
      </c>
      <c r="K1774" s="6">
        <v>439508</v>
      </c>
      <c r="L1774" s="6">
        <v>223117</v>
      </c>
      <c r="M1774" s="6">
        <v>2117614</v>
      </c>
      <c r="N1774" s="42"/>
      <c r="O1774" s="42"/>
      <c r="P1774" s="42"/>
      <c r="Q1774" s="42"/>
      <c r="R1774" s="42"/>
      <c r="T1774" s="42">
        <v>430863</v>
      </c>
    </row>
    <row r="1775" spans="1:20" x14ac:dyDescent="0.3">
      <c r="A1775" s="7">
        <v>43567</v>
      </c>
      <c r="B1775" s="7"/>
      <c r="C1775" s="6">
        <v>145944</v>
      </c>
      <c r="D1775" s="6">
        <v>147629</v>
      </c>
      <c r="E1775" s="6">
        <v>146727</v>
      </c>
      <c r="F1775" s="14">
        <v>500343</v>
      </c>
      <c r="G1775" s="6">
        <v>191093</v>
      </c>
      <c r="H1775" s="6">
        <v>37556</v>
      </c>
      <c r="I1775" s="6">
        <v>77025</v>
      </c>
      <c r="J1775" s="6">
        <v>254177</v>
      </c>
      <c r="K1775" s="6">
        <v>444280</v>
      </c>
      <c r="L1775" s="6">
        <v>218290</v>
      </c>
      <c r="M1775" s="6">
        <v>2106636</v>
      </c>
      <c r="N1775" s="42"/>
      <c r="O1775" s="42"/>
      <c r="P1775" s="42"/>
      <c r="Q1775" s="42"/>
      <c r="R1775" s="42"/>
      <c r="T1775" s="42">
        <v>425504</v>
      </c>
    </row>
    <row r="1776" spans="1:20" x14ac:dyDescent="0.3">
      <c r="A1776" s="7">
        <v>43566</v>
      </c>
      <c r="B1776" s="7"/>
      <c r="C1776" s="6">
        <v>144314</v>
      </c>
      <c r="D1776" s="6">
        <v>144587</v>
      </c>
      <c r="E1776" s="6">
        <v>154052</v>
      </c>
      <c r="F1776" s="14">
        <v>493950</v>
      </c>
      <c r="G1776" s="6">
        <v>176152</v>
      </c>
      <c r="H1776" s="6">
        <v>38261</v>
      </c>
      <c r="I1776" s="6">
        <v>77344</v>
      </c>
      <c r="J1776" s="6">
        <v>252685</v>
      </c>
      <c r="K1776" s="6">
        <v>447425</v>
      </c>
      <c r="L1776" s="6">
        <v>219843</v>
      </c>
      <c r="M1776" s="6">
        <v>2078578</v>
      </c>
      <c r="N1776" s="42"/>
      <c r="O1776" s="42"/>
      <c r="P1776" s="42"/>
      <c r="Q1776" s="42"/>
      <c r="R1776" s="42"/>
      <c r="T1776" s="42">
        <v>423286</v>
      </c>
    </row>
    <row r="1777" spans="1:20" x14ac:dyDescent="0.3">
      <c r="A1777" s="7">
        <v>43565</v>
      </c>
      <c r="B1777" s="7"/>
      <c r="C1777" s="6">
        <v>147283</v>
      </c>
      <c r="D1777" s="6">
        <v>141864</v>
      </c>
      <c r="E1777" s="6">
        <v>146034</v>
      </c>
      <c r="F1777" s="14">
        <v>494556</v>
      </c>
      <c r="G1777" s="6">
        <v>166206</v>
      </c>
      <c r="H1777" s="6">
        <v>36769</v>
      </c>
      <c r="I1777" s="6">
        <v>76708</v>
      </c>
      <c r="J1777" s="6">
        <v>251283</v>
      </c>
      <c r="K1777" s="6">
        <v>454943</v>
      </c>
      <c r="L1777" s="6">
        <v>211404</v>
      </c>
      <c r="M1777" s="6">
        <v>2062079</v>
      </c>
      <c r="N1777" s="42"/>
      <c r="O1777" s="42"/>
      <c r="P1777" s="42"/>
      <c r="Q1777" s="42"/>
      <c r="R1777" s="42"/>
      <c r="T1777" s="42">
        <v>422879</v>
      </c>
    </row>
    <row r="1778" spans="1:20" x14ac:dyDescent="0.3">
      <c r="A1778" s="7">
        <v>43564</v>
      </c>
      <c r="B1778" s="7"/>
      <c r="C1778" s="6">
        <v>146576</v>
      </c>
      <c r="D1778" s="6">
        <v>142525</v>
      </c>
      <c r="E1778" s="6">
        <v>149544</v>
      </c>
      <c r="F1778" s="14">
        <v>494804</v>
      </c>
      <c r="G1778" s="6">
        <v>165736</v>
      </c>
      <c r="H1778" s="6">
        <v>37599</v>
      </c>
      <c r="I1778" s="6">
        <v>74157</v>
      </c>
      <c r="J1778" s="6">
        <v>246628</v>
      </c>
      <c r="K1778" s="6">
        <v>447539</v>
      </c>
      <c r="L1778" s="6">
        <v>208784</v>
      </c>
      <c r="M1778" s="6">
        <v>2021814</v>
      </c>
      <c r="N1778" s="42"/>
      <c r="O1778" s="42"/>
      <c r="P1778" s="42"/>
      <c r="Q1778" s="42"/>
      <c r="R1778" s="42"/>
      <c r="T1778" s="42">
        <v>429749</v>
      </c>
    </row>
    <row r="1779" spans="1:20" x14ac:dyDescent="0.3">
      <c r="A1779" s="7">
        <v>43563</v>
      </c>
      <c r="B1779" s="7"/>
      <c r="C1779" s="6">
        <v>146595</v>
      </c>
      <c r="D1779" s="6">
        <v>141781</v>
      </c>
      <c r="E1779" s="6">
        <v>147080</v>
      </c>
      <c r="F1779" s="14">
        <v>496785</v>
      </c>
      <c r="G1779" s="6">
        <v>169698</v>
      </c>
      <c r="H1779" s="6">
        <v>38564</v>
      </c>
      <c r="I1779" s="6">
        <v>73956</v>
      </c>
      <c r="J1779" s="6">
        <v>246505</v>
      </c>
      <c r="K1779" s="6">
        <v>439655</v>
      </c>
      <c r="L1779" s="6">
        <v>206691</v>
      </c>
      <c r="M1779" s="6">
        <v>2017901</v>
      </c>
      <c r="N1779" s="42"/>
      <c r="O1779" s="42"/>
      <c r="P1779" s="42"/>
      <c r="Q1779" s="42"/>
      <c r="R1779" s="42"/>
      <c r="T1779" s="42">
        <v>429688</v>
      </c>
    </row>
    <row r="1780" spans="1:20" x14ac:dyDescent="0.3">
      <c r="A1780" s="7">
        <v>43560</v>
      </c>
      <c r="B1780" s="7"/>
      <c r="C1780" s="6">
        <v>146634</v>
      </c>
      <c r="D1780" s="6">
        <v>145030</v>
      </c>
      <c r="E1780" s="6">
        <v>151436</v>
      </c>
      <c r="F1780" s="14">
        <v>498110</v>
      </c>
      <c r="G1780" s="6">
        <v>168522</v>
      </c>
      <c r="H1780" s="6">
        <v>39196</v>
      </c>
      <c r="I1780" s="6">
        <v>73806</v>
      </c>
      <c r="J1780" s="6">
        <v>248745</v>
      </c>
      <c r="K1780" s="6">
        <v>435913</v>
      </c>
      <c r="L1780" s="6">
        <v>205679</v>
      </c>
      <c r="M1780" s="6">
        <v>2013241</v>
      </c>
      <c r="N1780" s="42"/>
      <c r="O1780" s="42"/>
      <c r="P1780" s="42"/>
      <c r="Q1780" s="42"/>
      <c r="R1780" s="42"/>
      <c r="T1780" s="42">
        <v>433075</v>
      </c>
    </row>
    <row r="1781" spans="1:20" x14ac:dyDescent="0.3">
      <c r="A1781" s="7">
        <v>43559</v>
      </c>
      <c r="B1781" s="7"/>
      <c r="C1781" s="6">
        <v>144202</v>
      </c>
      <c r="D1781" s="6">
        <v>144889</v>
      </c>
      <c r="E1781" s="6">
        <v>149145</v>
      </c>
      <c r="F1781" s="14">
        <v>498366</v>
      </c>
      <c r="G1781" s="6">
        <v>167903</v>
      </c>
      <c r="H1781" s="6">
        <v>38438</v>
      </c>
      <c r="I1781" s="6">
        <v>73021</v>
      </c>
      <c r="J1781" s="6">
        <v>249946</v>
      </c>
      <c r="K1781" s="6">
        <v>436656</v>
      </c>
      <c r="L1781" s="6">
        <v>204897</v>
      </c>
      <c r="M1781" s="6">
        <v>1997579</v>
      </c>
      <c r="N1781" s="42"/>
      <c r="O1781" s="42"/>
      <c r="P1781" s="42"/>
      <c r="Q1781" s="42"/>
      <c r="R1781" s="42"/>
      <c r="T1781" s="42">
        <v>438285</v>
      </c>
    </row>
    <row r="1782" spans="1:20" x14ac:dyDescent="0.3">
      <c r="A1782" s="7">
        <v>43558</v>
      </c>
      <c r="B1782" s="7"/>
      <c r="C1782" s="6">
        <v>145395</v>
      </c>
      <c r="D1782" s="6">
        <v>146129</v>
      </c>
      <c r="E1782" s="6">
        <v>149580</v>
      </c>
      <c r="F1782" s="14">
        <v>495577</v>
      </c>
      <c r="G1782" s="6">
        <v>164515</v>
      </c>
      <c r="H1782" s="6">
        <v>38731</v>
      </c>
      <c r="I1782" s="6">
        <v>73240</v>
      </c>
      <c r="J1782" s="6">
        <v>250365</v>
      </c>
      <c r="K1782" s="6">
        <v>440260</v>
      </c>
      <c r="L1782" s="6">
        <v>201229</v>
      </c>
      <c r="M1782" s="6">
        <v>1978334</v>
      </c>
      <c r="N1782" s="42"/>
      <c r="O1782" s="42"/>
      <c r="P1782" s="42"/>
      <c r="Q1782" s="42"/>
      <c r="R1782" s="42"/>
      <c r="T1782" s="42">
        <v>439315</v>
      </c>
    </row>
    <row r="1783" spans="1:20" x14ac:dyDescent="0.3">
      <c r="A1783" s="7">
        <v>43557</v>
      </c>
      <c r="B1783" s="7"/>
      <c r="C1783" s="6">
        <v>149828</v>
      </c>
      <c r="D1783" s="6">
        <v>147431</v>
      </c>
      <c r="E1783" s="6">
        <v>151140</v>
      </c>
      <c r="F1783" s="14">
        <v>497717</v>
      </c>
      <c r="G1783" s="6">
        <v>156838</v>
      </c>
      <c r="H1783" s="6">
        <v>39164</v>
      </c>
      <c r="I1783" s="6">
        <v>73617</v>
      </c>
      <c r="J1783" s="6">
        <v>250309</v>
      </c>
      <c r="K1783" s="6">
        <v>440170</v>
      </c>
      <c r="L1783" s="6">
        <v>199592</v>
      </c>
      <c r="M1783" s="6">
        <v>1975009</v>
      </c>
      <c r="N1783" s="42"/>
      <c r="O1783" s="42"/>
      <c r="P1783" s="42"/>
      <c r="Q1783" s="42"/>
      <c r="R1783" s="42"/>
      <c r="T1783" s="42">
        <v>437902</v>
      </c>
    </row>
    <row r="1784" spans="1:20" x14ac:dyDescent="0.3">
      <c r="A1784" s="7">
        <v>43556</v>
      </c>
      <c r="B1784" s="7"/>
      <c r="C1784" s="6">
        <v>144599</v>
      </c>
      <c r="D1784" s="6">
        <v>146930</v>
      </c>
      <c r="E1784" s="6">
        <v>149439</v>
      </c>
      <c r="F1784" s="14">
        <v>494697</v>
      </c>
      <c r="G1784" s="6">
        <v>157433</v>
      </c>
      <c r="H1784" s="6">
        <v>39079</v>
      </c>
      <c r="I1784" s="6">
        <v>73712</v>
      </c>
      <c r="J1784" s="6">
        <v>249643</v>
      </c>
      <c r="K1784" s="6">
        <v>442811</v>
      </c>
      <c r="L1784" s="6">
        <v>199260</v>
      </c>
      <c r="M1784" s="6">
        <v>1967926</v>
      </c>
      <c r="N1784" s="42"/>
      <c r="O1784" s="42"/>
      <c r="P1784" s="42"/>
      <c r="Q1784" s="42"/>
      <c r="R1784" s="42"/>
      <c r="T1784" s="42">
        <v>436040</v>
      </c>
    </row>
    <row r="1785" spans="1:20" x14ac:dyDescent="0.3">
      <c r="A1785" s="7">
        <v>43553</v>
      </c>
      <c r="B1785" s="7"/>
      <c r="C1785" s="6">
        <v>145046</v>
      </c>
      <c r="D1785" s="6">
        <v>148969</v>
      </c>
      <c r="E1785" s="6">
        <v>150620</v>
      </c>
      <c r="F1785" s="14">
        <v>490246</v>
      </c>
      <c r="G1785" s="6">
        <v>154970</v>
      </c>
      <c r="H1785" s="6">
        <v>39571</v>
      </c>
      <c r="I1785" s="6">
        <v>73017</v>
      </c>
      <c r="J1785" s="6">
        <v>249520</v>
      </c>
      <c r="K1785" s="6">
        <v>445714</v>
      </c>
      <c r="L1785" s="6">
        <v>195711</v>
      </c>
      <c r="M1785" s="6">
        <v>1956908</v>
      </c>
      <c r="N1785" s="42"/>
      <c r="O1785" s="42"/>
      <c r="P1785" s="42"/>
      <c r="Q1785" s="42"/>
      <c r="R1785" s="42"/>
      <c r="T1785" s="42">
        <v>432036</v>
      </c>
    </row>
    <row r="1786" spans="1:20" x14ac:dyDescent="0.3">
      <c r="A1786" s="7">
        <v>43552</v>
      </c>
      <c r="B1786" s="7"/>
      <c r="C1786" s="6">
        <v>143401</v>
      </c>
      <c r="D1786" s="6">
        <v>148739</v>
      </c>
      <c r="E1786" s="6">
        <v>152287</v>
      </c>
      <c r="F1786" s="14">
        <v>487078</v>
      </c>
      <c r="G1786" s="6">
        <v>155316</v>
      </c>
      <c r="H1786" s="6">
        <v>40424</v>
      </c>
      <c r="I1786" s="6">
        <v>73124</v>
      </c>
      <c r="J1786" s="6">
        <v>249899</v>
      </c>
      <c r="K1786" s="6">
        <v>456179</v>
      </c>
      <c r="L1786" s="6">
        <v>197403</v>
      </c>
      <c r="M1786" s="6">
        <v>1943381</v>
      </c>
      <c r="N1786" s="42"/>
      <c r="O1786" s="42"/>
      <c r="P1786" s="42"/>
      <c r="Q1786" s="42"/>
      <c r="R1786" s="42"/>
      <c r="T1786" s="42">
        <v>428627</v>
      </c>
    </row>
    <row r="1787" spans="1:20" x14ac:dyDescent="0.3">
      <c r="A1787" s="7">
        <v>43551</v>
      </c>
      <c r="B1787" s="7"/>
      <c r="C1787" s="6">
        <v>144084</v>
      </c>
      <c r="D1787" s="6">
        <v>143396</v>
      </c>
      <c r="E1787" s="6">
        <v>147893</v>
      </c>
      <c r="F1787" s="14">
        <v>485346</v>
      </c>
      <c r="G1787" s="6">
        <v>154976</v>
      </c>
      <c r="H1787" s="6">
        <v>40930</v>
      </c>
      <c r="I1787" s="6">
        <v>72867</v>
      </c>
      <c r="J1787" s="6">
        <v>250657</v>
      </c>
      <c r="K1787" s="6">
        <v>504744</v>
      </c>
      <c r="L1787" s="6">
        <v>194082</v>
      </c>
      <c r="M1787" s="6">
        <v>1945815</v>
      </c>
      <c r="N1787" s="42"/>
      <c r="O1787" s="42"/>
      <c r="P1787" s="42"/>
      <c r="Q1787" s="42"/>
      <c r="R1787" s="42"/>
      <c r="T1787" s="42">
        <v>433552</v>
      </c>
    </row>
    <row r="1788" spans="1:20" x14ac:dyDescent="0.3">
      <c r="A1788" s="7">
        <v>43550</v>
      </c>
      <c r="B1788" s="7"/>
      <c r="C1788" s="6">
        <v>141322</v>
      </c>
      <c r="D1788" s="6">
        <v>142957</v>
      </c>
      <c r="E1788" s="6">
        <v>144311</v>
      </c>
      <c r="F1788" s="14">
        <v>486804</v>
      </c>
      <c r="G1788" s="6">
        <v>157145</v>
      </c>
      <c r="H1788" s="6">
        <v>42640</v>
      </c>
      <c r="I1788" s="6">
        <v>72539</v>
      </c>
      <c r="J1788" s="6">
        <v>251953</v>
      </c>
      <c r="K1788" s="6">
        <v>509575</v>
      </c>
      <c r="L1788" s="6">
        <v>192676</v>
      </c>
      <c r="M1788" s="6">
        <v>1968511</v>
      </c>
      <c r="N1788" s="42"/>
      <c r="O1788" s="42"/>
      <c r="P1788" s="42"/>
      <c r="Q1788" s="42"/>
      <c r="R1788" s="42"/>
      <c r="T1788" s="42">
        <v>435359</v>
      </c>
    </row>
    <row r="1789" spans="1:20" x14ac:dyDescent="0.3">
      <c r="A1789" s="7">
        <v>43549</v>
      </c>
      <c r="B1789" s="7"/>
      <c r="C1789" s="6">
        <v>143655</v>
      </c>
      <c r="D1789" s="6">
        <v>144846</v>
      </c>
      <c r="E1789" s="6">
        <v>145537</v>
      </c>
      <c r="F1789" s="14">
        <v>485575</v>
      </c>
      <c r="G1789" s="6">
        <v>157826</v>
      </c>
      <c r="H1789" s="6">
        <v>41790</v>
      </c>
      <c r="I1789" s="6">
        <v>72018</v>
      </c>
      <c r="J1789" s="6">
        <v>253159</v>
      </c>
      <c r="K1789" s="6">
        <v>524865</v>
      </c>
      <c r="L1789" s="6">
        <v>193116</v>
      </c>
      <c r="M1789" s="6">
        <v>1972283</v>
      </c>
      <c r="N1789" s="42"/>
      <c r="O1789" s="42"/>
      <c r="P1789" s="42"/>
      <c r="Q1789" s="42"/>
      <c r="R1789" s="42"/>
      <c r="T1789" s="42">
        <v>439956</v>
      </c>
    </row>
    <row r="1790" spans="1:20" x14ac:dyDescent="0.3">
      <c r="A1790" s="7">
        <v>43546</v>
      </c>
      <c r="B1790" s="7"/>
      <c r="C1790" s="6">
        <v>143859</v>
      </c>
      <c r="D1790" s="6">
        <v>146827</v>
      </c>
      <c r="E1790" s="6">
        <v>141569</v>
      </c>
      <c r="F1790" s="14">
        <v>484855</v>
      </c>
      <c r="G1790" s="6">
        <v>158665</v>
      </c>
      <c r="H1790" s="6">
        <v>40866</v>
      </c>
      <c r="I1790" s="6">
        <v>73162</v>
      </c>
      <c r="J1790" s="6">
        <v>259440</v>
      </c>
      <c r="K1790" s="6">
        <v>518742</v>
      </c>
      <c r="L1790" s="6">
        <v>192250</v>
      </c>
      <c r="M1790" s="6">
        <v>1952971</v>
      </c>
      <c r="N1790" s="42"/>
      <c r="O1790" s="42"/>
      <c r="P1790" s="42"/>
      <c r="Q1790" s="42"/>
      <c r="R1790" s="42"/>
      <c r="T1790" s="42">
        <v>443570</v>
      </c>
    </row>
    <row r="1791" spans="1:20" x14ac:dyDescent="0.3">
      <c r="A1791" s="7">
        <v>43545</v>
      </c>
      <c r="B1791" s="7"/>
      <c r="C1791" s="6">
        <v>146128</v>
      </c>
      <c r="D1791" s="6">
        <v>146569</v>
      </c>
      <c r="E1791" s="6">
        <v>138902</v>
      </c>
      <c r="F1791" s="14">
        <v>485307</v>
      </c>
      <c r="G1791" s="6">
        <v>158005</v>
      </c>
      <c r="H1791" s="6">
        <v>39371</v>
      </c>
      <c r="I1791" s="6">
        <v>73928</v>
      </c>
      <c r="J1791" s="6">
        <v>257095</v>
      </c>
      <c r="K1791" s="6">
        <v>516180</v>
      </c>
      <c r="L1791" s="6">
        <v>190915</v>
      </c>
      <c r="M1791" s="6">
        <v>1952150</v>
      </c>
      <c r="N1791" s="42"/>
      <c r="O1791" s="42"/>
      <c r="P1791" s="42"/>
      <c r="Q1791" s="42"/>
      <c r="R1791" s="42"/>
      <c r="T1791" s="42">
        <v>448319</v>
      </c>
    </row>
    <row r="1792" spans="1:20" x14ac:dyDescent="0.3">
      <c r="A1792" s="7">
        <v>43544</v>
      </c>
      <c r="B1792" s="7"/>
      <c r="C1792" s="6">
        <v>142446</v>
      </c>
      <c r="D1792" s="6">
        <v>142242</v>
      </c>
      <c r="E1792" s="6">
        <v>137857</v>
      </c>
      <c r="F1792" s="14">
        <v>493906</v>
      </c>
      <c r="G1792" s="6">
        <v>159170</v>
      </c>
      <c r="H1792" s="6">
        <v>38686</v>
      </c>
      <c r="I1792" s="6">
        <v>76059</v>
      </c>
      <c r="J1792" s="6">
        <v>255284</v>
      </c>
      <c r="K1792" s="6">
        <v>516116</v>
      </c>
      <c r="L1792" s="6">
        <v>190335</v>
      </c>
      <c r="M1792" s="6">
        <v>1950008</v>
      </c>
      <c r="N1792" s="42"/>
      <c r="O1792" s="42"/>
      <c r="P1792" s="42"/>
      <c r="Q1792" s="42"/>
      <c r="R1792" s="42"/>
      <c r="T1792" s="42">
        <v>453865</v>
      </c>
    </row>
    <row r="1793" spans="1:20" x14ac:dyDescent="0.3">
      <c r="A1793" s="7">
        <v>43543</v>
      </c>
      <c r="B1793" s="7"/>
      <c r="C1793" s="6">
        <v>169624</v>
      </c>
      <c r="D1793" s="6">
        <v>193367</v>
      </c>
      <c r="E1793" s="6">
        <v>167282</v>
      </c>
      <c r="F1793" s="14">
        <v>541075</v>
      </c>
      <c r="G1793" s="6">
        <v>210036</v>
      </c>
      <c r="H1793" s="6">
        <v>45804</v>
      </c>
      <c r="I1793" s="6">
        <v>107675</v>
      </c>
      <c r="J1793" s="6">
        <v>253741</v>
      </c>
      <c r="K1793" s="6">
        <v>514163</v>
      </c>
      <c r="L1793" s="6">
        <v>189124</v>
      </c>
      <c r="M1793" s="6">
        <v>1962559</v>
      </c>
      <c r="N1793" s="42"/>
      <c r="O1793" s="42"/>
      <c r="P1793" s="42"/>
      <c r="Q1793" s="42"/>
      <c r="R1793" s="42"/>
      <c r="T1793" s="42">
        <v>454477</v>
      </c>
    </row>
    <row r="1794" spans="1:20" x14ac:dyDescent="0.3">
      <c r="A1794" s="7">
        <v>43542</v>
      </c>
      <c r="B1794" s="7"/>
      <c r="C1794" s="6">
        <v>166366</v>
      </c>
      <c r="D1794" s="6">
        <v>192896</v>
      </c>
      <c r="E1794" s="6">
        <v>170021</v>
      </c>
      <c r="F1794" s="14">
        <v>537986</v>
      </c>
      <c r="G1794" s="6">
        <v>207960</v>
      </c>
      <c r="H1794" s="6">
        <v>45528</v>
      </c>
      <c r="I1794" s="6">
        <v>108235</v>
      </c>
      <c r="J1794" s="6">
        <v>256622</v>
      </c>
      <c r="K1794" s="6">
        <v>517342</v>
      </c>
      <c r="L1794" s="6">
        <v>187144</v>
      </c>
      <c r="M1794" s="6">
        <v>1994425</v>
      </c>
      <c r="N1794" s="42"/>
      <c r="O1794" s="42"/>
      <c r="P1794" s="42"/>
      <c r="Q1794" s="42"/>
      <c r="R1794" s="42"/>
      <c r="T1794" s="42">
        <v>457021</v>
      </c>
    </row>
    <row r="1795" spans="1:20" x14ac:dyDescent="0.3">
      <c r="A1795" s="7">
        <v>43539</v>
      </c>
      <c r="B1795" s="7"/>
      <c r="C1795" s="6">
        <v>165485</v>
      </c>
      <c r="D1795" s="6">
        <v>192806</v>
      </c>
      <c r="E1795" s="6">
        <v>169265</v>
      </c>
      <c r="F1795" s="14">
        <v>538250</v>
      </c>
      <c r="G1795" s="6">
        <v>207321</v>
      </c>
      <c r="H1795" s="6">
        <v>45500</v>
      </c>
      <c r="I1795" s="6">
        <v>107365</v>
      </c>
      <c r="J1795" s="6">
        <v>255602</v>
      </c>
      <c r="K1795" s="6">
        <v>528866</v>
      </c>
      <c r="L1795" s="6">
        <v>186196</v>
      </c>
      <c r="M1795" s="6">
        <v>2015194</v>
      </c>
      <c r="N1795" s="42"/>
      <c r="O1795" s="42"/>
      <c r="P1795" s="42"/>
      <c r="Q1795" s="42"/>
      <c r="R1795" s="42"/>
      <c r="T1795" s="42">
        <v>458259</v>
      </c>
    </row>
    <row r="1796" spans="1:20" x14ac:dyDescent="0.3">
      <c r="A1796" s="7">
        <v>43538</v>
      </c>
      <c r="B1796" s="7"/>
      <c r="C1796" s="6">
        <v>166748</v>
      </c>
      <c r="D1796" s="6">
        <v>195945</v>
      </c>
      <c r="E1796" s="6">
        <v>169209</v>
      </c>
      <c r="F1796" s="14">
        <v>535858</v>
      </c>
      <c r="G1796" s="6">
        <v>214030</v>
      </c>
      <c r="H1796" s="6">
        <v>44659</v>
      </c>
      <c r="I1796" s="6">
        <v>110259</v>
      </c>
      <c r="J1796" s="6">
        <v>260492</v>
      </c>
      <c r="K1796" s="6">
        <v>541737</v>
      </c>
      <c r="L1796" s="6">
        <v>186863</v>
      </c>
      <c r="M1796" s="6">
        <v>2025362</v>
      </c>
      <c r="N1796" s="42"/>
      <c r="O1796" s="42"/>
      <c r="P1796" s="42"/>
      <c r="Q1796" s="42"/>
      <c r="R1796" s="42"/>
      <c r="T1796" s="42"/>
    </row>
    <row r="1797" spans="1:20" x14ac:dyDescent="0.3">
      <c r="A1797" s="7">
        <v>43537</v>
      </c>
      <c r="B1797" s="7"/>
      <c r="C1797" s="6">
        <v>163382</v>
      </c>
      <c r="D1797" s="6">
        <v>198032</v>
      </c>
      <c r="E1797" s="6">
        <v>154018</v>
      </c>
      <c r="F1797" s="14">
        <v>533046</v>
      </c>
      <c r="G1797" s="6">
        <v>207329</v>
      </c>
      <c r="H1797" s="6">
        <v>41874</v>
      </c>
      <c r="I1797" s="6">
        <v>94832</v>
      </c>
      <c r="J1797" s="6">
        <v>258775</v>
      </c>
      <c r="K1797" s="6">
        <v>533400</v>
      </c>
      <c r="L1797" s="6">
        <v>188266</v>
      </c>
      <c r="M1797" s="6">
        <v>2032080</v>
      </c>
      <c r="N1797" s="42"/>
      <c r="O1797" s="42"/>
      <c r="P1797" s="42"/>
      <c r="Q1797" s="42"/>
      <c r="R1797" s="42"/>
      <c r="T1797" s="42"/>
    </row>
    <row r="1798" spans="1:20" x14ac:dyDescent="0.3">
      <c r="A1798" s="7">
        <v>43536</v>
      </c>
      <c r="B1798" s="7"/>
      <c r="C1798" s="6">
        <v>163073</v>
      </c>
      <c r="D1798" s="6">
        <v>191938</v>
      </c>
      <c r="E1798" s="6">
        <v>159939</v>
      </c>
      <c r="F1798" s="14">
        <v>536724</v>
      </c>
      <c r="G1798" s="6">
        <v>196766</v>
      </c>
      <c r="H1798" s="6">
        <v>42326</v>
      </c>
      <c r="I1798" s="6">
        <v>85572</v>
      </c>
      <c r="J1798" s="6">
        <v>258881</v>
      </c>
      <c r="K1798" s="6">
        <v>530030</v>
      </c>
      <c r="L1798" s="6">
        <v>189768</v>
      </c>
      <c r="M1798" s="6">
        <v>2012864</v>
      </c>
      <c r="N1798" s="42"/>
      <c r="O1798" s="42"/>
      <c r="P1798" s="42"/>
      <c r="Q1798" s="42"/>
      <c r="R1798" s="42"/>
      <c r="T1798" s="42"/>
    </row>
    <row r="1799" spans="1:20" x14ac:dyDescent="0.3">
      <c r="A1799" s="7">
        <v>43535</v>
      </c>
      <c r="B1799" s="7"/>
      <c r="C1799" s="6">
        <v>161318</v>
      </c>
      <c r="D1799" s="6">
        <v>191426</v>
      </c>
      <c r="E1799" s="6">
        <v>153306</v>
      </c>
      <c r="F1799" s="14">
        <v>548176</v>
      </c>
      <c r="G1799" s="6">
        <v>199681</v>
      </c>
      <c r="H1799" s="6">
        <v>40360</v>
      </c>
      <c r="I1799" s="6">
        <v>81755</v>
      </c>
      <c r="J1799" s="6">
        <v>254913</v>
      </c>
      <c r="K1799" s="6">
        <v>518975</v>
      </c>
      <c r="L1799" s="6">
        <v>190698</v>
      </c>
      <c r="M1799" s="6">
        <v>2015540</v>
      </c>
      <c r="N1799" s="42"/>
      <c r="O1799" s="42"/>
      <c r="P1799" s="42"/>
      <c r="Q1799" s="42"/>
      <c r="R1799" s="42"/>
      <c r="T1799" s="42"/>
    </row>
    <row r="1800" spans="1:20" x14ac:dyDescent="0.3">
      <c r="A1800" s="7">
        <v>43532</v>
      </c>
      <c r="B1800" s="7"/>
      <c r="C1800" s="6">
        <v>159336</v>
      </c>
      <c r="D1800" s="6">
        <v>191448</v>
      </c>
      <c r="E1800" s="6">
        <v>153305</v>
      </c>
      <c r="F1800" s="14">
        <v>545207</v>
      </c>
      <c r="G1800" s="6">
        <v>196737</v>
      </c>
      <c r="H1800" s="6">
        <v>40716</v>
      </c>
      <c r="I1800" s="6">
        <v>81051</v>
      </c>
      <c r="J1800" s="6">
        <v>256327</v>
      </c>
      <c r="K1800" s="6">
        <v>515727</v>
      </c>
      <c r="L1800" s="6">
        <v>191479</v>
      </c>
      <c r="M1800" s="6">
        <v>2020213</v>
      </c>
      <c r="N1800" s="42"/>
      <c r="O1800" s="42"/>
      <c r="P1800" s="42"/>
      <c r="Q1800" s="42"/>
      <c r="R1800" s="42"/>
      <c r="T1800" s="42"/>
    </row>
    <row r="1801" spans="1:20" x14ac:dyDescent="0.3">
      <c r="A1801" s="7">
        <v>43531</v>
      </c>
      <c r="B1801" s="7"/>
      <c r="C1801" s="6">
        <v>154680</v>
      </c>
      <c r="D1801" s="6">
        <v>192050</v>
      </c>
      <c r="E1801" s="6">
        <v>153666</v>
      </c>
      <c r="F1801" s="14">
        <v>549347</v>
      </c>
      <c r="G1801" s="6">
        <v>208888</v>
      </c>
      <c r="H1801" s="6">
        <v>41454</v>
      </c>
      <c r="I1801" s="6">
        <v>81177</v>
      </c>
      <c r="J1801" s="6">
        <v>259046</v>
      </c>
      <c r="K1801" s="6">
        <v>499967</v>
      </c>
      <c r="L1801" s="6">
        <v>191993</v>
      </c>
      <c r="M1801" s="6">
        <v>2048546</v>
      </c>
      <c r="N1801" s="42"/>
      <c r="O1801" s="42"/>
      <c r="P1801" s="42"/>
      <c r="Q1801" s="42"/>
      <c r="R1801" s="42"/>
      <c r="T1801" s="42"/>
    </row>
    <row r="1802" spans="1:20" x14ac:dyDescent="0.3">
      <c r="A1802" s="7">
        <v>43530</v>
      </c>
      <c r="B1802" s="7"/>
      <c r="C1802" s="6">
        <v>151014</v>
      </c>
      <c r="D1802" s="6">
        <v>192572</v>
      </c>
      <c r="E1802" s="6">
        <v>148488</v>
      </c>
      <c r="F1802" s="14">
        <v>539626</v>
      </c>
      <c r="G1802" s="6">
        <v>208395</v>
      </c>
      <c r="H1802" s="6">
        <v>40622</v>
      </c>
      <c r="I1802" s="6">
        <v>79450</v>
      </c>
      <c r="J1802" s="6">
        <v>259332</v>
      </c>
      <c r="K1802" s="6">
        <v>478136</v>
      </c>
      <c r="L1802" s="6">
        <v>191329</v>
      </c>
      <c r="M1802" s="6">
        <v>2069655</v>
      </c>
      <c r="N1802" s="42"/>
      <c r="O1802" s="42"/>
      <c r="P1802" s="42"/>
      <c r="Q1802" s="42"/>
      <c r="R1802" s="42"/>
      <c r="T1802" s="42"/>
    </row>
    <row r="1803" spans="1:20" x14ac:dyDescent="0.3">
      <c r="A1803" s="7">
        <v>43529</v>
      </c>
      <c r="B1803" s="7"/>
      <c r="C1803" s="6">
        <v>141773</v>
      </c>
      <c r="D1803" s="6">
        <v>193497</v>
      </c>
      <c r="E1803" s="6">
        <v>146552</v>
      </c>
      <c r="F1803" s="14">
        <v>541753</v>
      </c>
      <c r="G1803" s="6">
        <v>207083</v>
      </c>
      <c r="H1803" s="6">
        <v>39314</v>
      </c>
      <c r="I1803" s="6">
        <v>79621</v>
      </c>
      <c r="J1803" s="6">
        <v>255162</v>
      </c>
      <c r="K1803" s="6">
        <v>471311</v>
      </c>
      <c r="L1803" s="6">
        <v>190024</v>
      </c>
      <c r="M1803" s="6">
        <v>2067851</v>
      </c>
      <c r="N1803" s="42"/>
      <c r="O1803" s="42"/>
      <c r="P1803" s="42"/>
      <c r="Q1803" s="42"/>
      <c r="R1803" s="42"/>
      <c r="T1803" s="42"/>
    </row>
    <row r="1804" spans="1:20" x14ac:dyDescent="0.3">
      <c r="A1804" s="7">
        <v>43528</v>
      </c>
      <c r="B1804" s="7"/>
      <c r="C1804" s="6">
        <v>139925</v>
      </c>
      <c r="D1804" s="6">
        <v>195979</v>
      </c>
      <c r="E1804" s="6">
        <v>146512</v>
      </c>
      <c r="F1804" s="14">
        <v>534248</v>
      </c>
      <c r="G1804" s="6">
        <v>205321</v>
      </c>
      <c r="H1804" s="6">
        <v>37833</v>
      </c>
      <c r="I1804" s="6">
        <v>77114</v>
      </c>
      <c r="J1804" s="6">
        <v>258082</v>
      </c>
      <c r="K1804" s="6">
        <v>468335</v>
      </c>
      <c r="L1804" s="6">
        <v>190060</v>
      </c>
      <c r="M1804" s="6">
        <v>2060326</v>
      </c>
      <c r="N1804" s="42"/>
      <c r="O1804" s="42"/>
      <c r="P1804" s="42"/>
      <c r="Q1804" s="42"/>
      <c r="R1804" s="42"/>
      <c r="T1804" s="42"/>
    </row>
    <row r="1805" spans="1:20" x14ac:dyDescent="0.3">
      <c r="A1805" s="7">
        <v>43525</v>
      </c>
      <c r="B1805" s="7"/>
      <c r="C1805" s="6">
        <v>139966</v>
      </c>
      <c r="D1805" s="6">
        <v>199061</v>
      </c>
      <c r="E1805" s="6">
        <v>149333</v>
      </c>
      <c r="F1805" s="14">
        <v>530097</v>
      </c>
      <c r="G1805" s="6">
        <v>205554</v>
      </c>
      <c r="H1805" s="6">
        <v>37765</v>
      </c>
      <c r="I1805" s="6">
        <v>76258</v>
      </c>
      <c r="J1805" s="6">
        <v>256318</v>
      </c>
      <c r="K1805" s="6">
        <v>475158</v>
      </c>
      <c r="L1805" s="6">
        <v>195000</v>
      </c>
      <c r="M1805" s="6">
        <v>2059647</v>
      </c>
      <c r="N1805" s="42"/>
      <c r="O1805" s="42"/>
      <c r="P1805" s="42"/>
      <c r="Q1805" s="42"/>
      <c r="R1805" s="42"/>
      <c r="T1805" s="42"/>
    </row>
    <row r="1806" spans="1:20" x14ac:dyDescent="0.3">
      <c r="A1806" s="7">
        <v>43524</v>
      </c>
      <c r="B1806" s="7"/>
      <c r="C1806" s="6">
        <v>133018</v>
      </c>
      <c r="D1806" s="6">
        <v>202184</v>
      </c>
      <c r="E1806" s="6">
        <v>149961</v>
      </c>
      <c r="F1806" s="14">
        <v>526677</v>
      </c>
      <c r="G1806" s="6">
        <v>198461</v>
      </c>
      <c r="H1806" s="6">
        <v>37670</v>
      </c>
      <c r="I1806" s="6">
        <v>76553</v>
      </c>
      <c r="J1806" s="6">
        <v>254645</v>
      </c>
      <c r="K1806" s="6">
        <v>489879</v>
      </c>
      <c r="L1806" s="6">
        <v>196641</v>
      </c>
      <c r="M1806" s="6">
        <v>2057197</v>
      </c>
      <c r="N1806" s="42"/>
      <c r="O1806" s="42"/>
      <c r="P1806" s="42"/>
      <c r="Q1806" s="42"/>
      <c r="R1806" s="42"/>
      <c r="T1806" s="42"/>
    </row>
    <row r="1807" spans="1:20" x14ac:dyDescent="0.3">
      <c r="A1807" s="7">
        <v>43523</v>
      </c>
      <c r="B1807" s="7"/>
      <c r="C1807" s="6">
        <v>130683</v>
      </c>
      <c r="D1807" s="6">
        <v>206610</v>
      </c>
      <c r="E1807" s="6">
        <v>150967</v>
      </c>
      <c r="F1807" s="14">
        <v>528608</v>
      </c>
      <c r="G1807" s="6">
        <v>190827</v>
      </c>
      <c r="H1807" s="6">
        <v>36157</v>
      </c>
      <c r="I1807" s="6">
        <v>75692</v>
      </c>
      <c r="J1807" s="6">
        <v>253789</v>
      </c>
      <c r="K1807" s="6">
        <v>497189</v>
      </c>
      <c r="L1807" s="6">
        <v>199055</v>
      </c>
      <c r="M1807" s="6">
        <v>2051525</v>
      </c>
      <c r="N1807" s="42"/>
      <c r="O1807" s="42"/>
      <c r="P1807" s="42"/>
      <c r="Q1807" s="42"/>
      <c r="R1807" s="42"/>
      <c r="T1807" s="42"/>
    </row>
    <row r="1808" spans="1:20" x14ac:dyDescent="0.3">
      <c r="A1808" s="7">
        <v>43522</v>
      </c>
      <c r="B1808" s="7"/>
      <c r="C1808" s="6">
        <v>130502</v>
      </c>
      <c r="D1808" s="6">
        <v>202065</v>
      </c>
      <c r="E1808" s="6">
        <v>147621</v>
      </c>
      <c r="F1808" s="14">
        <v>528376</v>
      </c>
      <c r="G1808" s="6">
        <v>186158</v>
      </c>
      <c r="H1808" s="6">
        <v>35407</v>
      </c>
      <c r="I1808" s="6">
        <v>75277</v>
      </c>
      <c r="J1808" s="6">
        <v>256269</v>
      </c>
      <c r="K1808" s="6">
        <v>501268</v>
      </c>
      <c r="L1808" s="6">
        <v>206447</v>
      </c>
      <c r="M1808" s="6">
        <v>2025884</v>
      </c>
      <c r="N1808" s="42"/>
      <c r="O1808" s="42"/>
      <c r="P1808" s="42"/>
      <c r="Q1808" s="42"/>
      <c r="R1808" s="42"/>
      <c r="T1808" s="42"/>
    </row>
    <row r="1809" spans="1:20" x14ac:dyDescent="0.3">
      <c r="A1809" s="7">
        <v>43521</v>
      </c>
      <c r="B1809" s="7"/>
      <c r="C1809" s="6">
        <v>128343</v>
      </c>
      <c r="D1809" s="6">
        <v>194160</v>
      </c>
      <c r="E1809" s="6">
        <v>149014</v>
      </c>
      <c r="F1809" s="14">
        <v>527345</v>
      </c>
      <c r="G1809" s="6">
        <v>187401</v>
      </c>
      <c r="H1809" s="6">
        <v>34927</v>
      </c>
      <c r="I1809" s="6">
        <v>75903</v>
      </c>
      <c r="J1809" s="6">
        <v>250597</v>
      </c>
      <c r="K1809" s="6">
        <v>497573</v>
      </c>
      <c r="L1809" s="6">
        <v>214346</v>
      </c>
      <c r="M1809" s="6">
        <v>2028514</v>
      </c>
      <c r="N1809" s="42"/>
      <c r="O1809" s="42"/>
      <c r="P1809" s="42"/>
      <c r="Q1809" s="42"/>
      <c r="R1809" s="42"/>
      <c r="T1809" s="42"/>
    </row>
    <row r="1810" spans="1:20" x14ac:dyDescent="0.3">
      <c r="A1810" s="7">
        <v>43518</v>
      </c>
      <c r="B1810" s="7"/>
      <c r="C1810" s="6">
        <v>127772</v>
      </c>
      <c r="D1810" s="6">
        <v>195345</v>
      </c>
      <c r="E1810" s="6">
        <v>151004</v>
      </c>
      <c r="F1810" s="14">
        <v>529355</v>
      </c>
      <c r="G1810" s="6">
        <v>184214</v>
      </c>
      <c r="H1810" s="6">
        <v>34720</v>
      </c>
      <c r="I1810" s="6">
        <v>75784</v>
      </c>
      <c r="J1810" s="6">
        <v>253135</v>
      </c>
      <c r="K1810" s="6">
        <v>504920</v>
      </c>
      <c r="L1810" s="6">
        <v>219704</v>
      </c>
      <c r="M1810" s="6">
        <v>2025684</v>
      </c>
      <c r="N1810" s="42"/>
      <c r="O1810" s="42"/>
      <c r="P1810" s="42"/>
      <c r="Q1810" s="42"/>
      <c r="R1810" s="42"/>
      <c r="T1810" s="42"/>
    </row>
    <row r="1811" spans="1:20" x14ac:dyDescent="0.3">
      <c r="A1811" s="7">
        <v>43517</v>
      </c>
      <c r="B1811" s="7"/>
      <c r="C1811" s="6">
        <v>132055</v>
      </c>
      <c r="D1811" s="6">
        <v>194637</v>
      </c>
      <c r="E1811" s="6">
        <v>153018</v>
      </c>
      <c r="F1811" s="14">
        <v>528323</v>
      </c>
      <c r="G1811" s="6">
        <v>185068</v>
      </c>
      <c r="H1811" s="6">
        <v>36158</v>
      </c>
      <c r="I1811" s="6">
        <v>75041</v>
      </c>
      <c r="J1811" s="6">
        <v>250663</v>
      </c>
      <c r="K1811" s="6">
        <v>504332</v>
      </c>
      <c r="L1811" s="6">
        <v>221347</v>
      </c>
      <c r="M1811" s="6">
        <v>2003912</v>
      </c>
      <c r="N1811" s="42"/>
      <c r="O1811" s="42"/>
      <c r="P1811" s="42"/>
      <c r="Q1811" s="42"/>
      <c r="R1811" s="42"/>
      <c r="T1811" s="42">
        <v>515930</v>
      </c>
    </row>
    <row r="1812" spans="1:20" x14ac:dyDescent="0.3">
      <c r="A1812" s="7">
        <v>43516</v>
      </c>
      <c r="B1812" s="7"/>
      <c r="C1812" s="6">
        <v>129864</v>
      </c>
      <c r="D1812" s="6">
        <v>197448</v>
      </c>
      <c r="E1812" s="6">
        <v>152631</v>
      </c>
      <c r="F1812" s="14">
        <v>530938</v>
      </c>
      <c r="G1812" s="6">
        <v>183871</v>
      </c>
      <c r="H1812" s="6">
        <v>36940</v>
      </c>
      <c r="I1812" s="6">
        <v>74447</v>
      </c>
      <c r="J1812" s="6">
        <v>252963</v>
      </c>
      <c r="K1812" s="6">
        <v>510553</v>
      </c>
      <c r="L1812" s="6">
        <v>225889</v>
      </c>
      <c r="M1812" s="6">
        <v>2007476</v>
      </c>
      <c r="N1812" s="42"/>
      <c r="O1812" s="42"/>
      <c r="P1812" s="42"/>
      <c r="Q1812" s="42"/>
      <c r="R1812" s="42"/>
      <c r="T1812" s="42">
        <v>515654</v>
      </c>
    </row>
    <row r="1813" spans="1:20" x14ac:dyDescent="0.3">
      <c r="A1813" s="7">
        <v>43515</v>
      </c>
      <c r="B1813" s="7"/>
      <c r="C1813" s="6">
        <v>129312</v>
      </c>
      <c r="D1813" s="6">
        <v>203012</v>
      </c>
      <c r="E1813" s="6">
        <v>142620</v>
      </c>
      <c r="F1813" s="14">
        <v>539405</v>
      </c>
      <c r="G1813" s="6">
        <v>184744</v>
      </c>
      <c r="H1813" s="6">
        <v>36758</v>
      </c>
      <c r="I1813" s="6">
        <v>74612</v>
      </c>
      <c r="J1813" s="6">
        <v>253256</v>
      </c>
      <c r="K1813" s="6">
        <v>504639</v>
      </c>
      <c r="L1813" s="6">
        <v>220822</v>
      </c>
      <c r="M1813" s="6">
        <v>2019218</v>
      </c>
      <c r="N1813" s="42"/>
      <c r="O1813" s="42"/>
      <c r="P1813" s="42"/>
      <c r="Q1813" s="42"/>
      <c r="R1813" s="42"/>
      <c r="T1813" s="42">
        <v>522483</v>
      </c>
    </row>
    <row r="1814" spans="1:20" x14ac:dyDescent="0.3">
      <c r="A1814" s="7">
        <v>43511</v>
      </c>
      <c r="B1814" s="7"/>
      <c r="C1814" s="6">
        <v>128272</v>
      </c>
      <c r="D1814" s="6">
        <v>196489</v>
      </c>
      <c r="E1814" s="6">
        <v>142160</v>
      </c>
      <c r="F1814" s="14">
        <v>541573</v>
      </c>
      <c r="G1814" s="6">
        <v>185212</v>
      </c>
      <c r="H1814" s="6">
        <v>36849</v>
      </c>
      <c r="I1814" s="6">
        <v>74336</v>
      </c>
      <c r="J1814" s="6">
        <v>246943</v>
      </c>
      <c r="K1814" s="6">
        <v>482223</v>
      </c>
      <c r="L1814" s="6">
        <v>217484</v>
      </c>
      <c r="M1814" s="6">
        <v>2046033</v>
      </c>
      <c r="N1814" s="42"/>
      <c r="O1814" s="42"/>
      <c r="P1814" s="42"/>
      <c r="Q1814" s="42"/>
      <c r="R1814" s="42"/>
      <c r="T1814" s="42">
        <v>509404</v>
      </c>
    </row>
    <row r="1815" spans="1:20" x14ac:dyDescent="0.3">
      <c r="A1815" s="7">
        <v>43510</v>
      </c>
      <c r="B1815" s="7"/>
      <c r="C1815" s="6">
        <v>127574</v>
      </c>
      <c r="D1815" s="6">
        <v>197795</v>
      </c>
      <c r="E1815" s="6">
        <v>141465</v>
      </c>
      <c r="F1815" s="14">
        <v>534337</v>
      </c>
      <c r="G1815" s="6">
        <v>187751</v>
      </c>
      <c r="H1815" s="6">
        <v>36867</v>
      </c>
      <c r="I1815" s="6">
        <v>73781</v>
      </c>
      <c r="J1815" s="6">
        <v>251986</v>
      </c>
      <c r="K1815" s="6">
        <v>479544</v>
      </c>
      <c r="L1815" s="6">
        <v>219719</v>
      </c>
      <c r="M1815" s="6">
        <v>2034307</v>
      </c>
      <c r="N1815" s="42"/>
      <c r="O1815" s="42"/>
      <c r="P1815" s="42"/>
      <c r="Q1815" s="42"/>
      <c r="R1815" s="42"/>
      <c r="T1815" s="42">
        <v>511535</v>
      </c>
    </row>
    <row r="1816" spans="1:20" x14ac:dyDescent="0.3">
      <c r="A1816" s="7">
        <v>43509</v>
      </c>
      <c r="B1816" s="7"/>
      <c r="C1816" s="6">
        <v>125487</v>
      </c>
      <c r="D1816" s="6">
        <v>194033</v>
      </c>
      <c r="E1816" s="6">
        <v>140569</v>
      </c>
      <c r="F1816" s="14">
        <v>537982</v>
      </c>
      <c r="G1816" s="6">
        <v>187209</v>
      </c>
      <c r="H1816" s="6">
        <v>36379</v>
      </c>
      <c r="I1816" s="6">
        <v>72639</v>
      </c>
      <c r="J1816" s="6">
        <v>249511</v>
      </c>
      <c r="K1816" s="6">
        <v>479897</v>
      </c>
      <c r="L1816" s="6">
        <v>221610</v>
      </c>
      <c r="M1816" s="6">
        <v>2074304</v>
      </c>
      <c r="N1816" s="42"/>
      <c r="O1816" s="42"/>
      <c r="P1816" s="42"/>
      <c r="Q1816" s="42"/>
      <c r="R1816" s="42"/>
      <c r="T1816" s="42">
        <v>507491</v>
      </c>
    </row>
    <row r="1817" spans="1:20" x14ac:dyDescent="0.3">
      <c r="A1817" s="7">
        <v>43508</v>
      </c>
      <c r="B1817" s="7"/>
      <c r="C1817" s="6">
        <v>127343</v>
      </c>
      <c r="D1817" s="6">
        <v>194998</v>
      </c>
      <c r="E1817" s="6">
        <v>141172</v>
      </c>
      <c r="F1817" s="14">
        <v>538627</v>
      </c>
      <c r="G1817" s="6">
        <v>185725</v>
      </c>
      <c r="H1817" s="6">
        <v>35744</v>
      </c>
      <c r="I1817" s="6">
        <v>72014</v>
      </c>
      <c r="J1817" s="6">
        <v>245475</v>
      </c>
      <c r="K1817" s="6">
        <v>476083</v>
      </c>
      <c r="L1817" s="6">
        <v>217925</v>
      </c>
      <c r="M1817" s="6">
        <v>2077398</v>
      </c>
      <c r="N1817" s="42"/>
      <c r="O1817" s="42"/>
      <c r="P1817" s="42"/>
      <c r="Q1817" s="42"/>
      <c r="R1817" s="42"/>
      <c r="T1817" s="42">
        <v>500775</v>
      </c>
    </row>
    <row r="1818" spans="1:20" x14ac:dyDescent="0.3">
      <c r="A1818" s="7">
        <v>43507</v>
      </c>
      <c r="B1818" s="7"/>
      <c r="C1818" s="6">
        <v>125166</v>
      </c>
      <c r="D1818" s="6">
        <v>192376</v>
      </c>
      <c r="E1818" s="6">
        <v>141586</v>
      </c>
      <c r="F1818" s="14">
        <v>539828</v>
      </c>
      <c r="G1818" s="6">
        <v>186897</v>
      </c>
      <c r="H1818" s="6">
        <v>35900</v>
      </c>
      <c r="I1818" s="6">
        <v>72014</v>
      </c>
      <c r="J1818" s="6">
        <v>243250</v>
      </c>
      <c r="K1818" s="6">
        <v>476170</v>
      </c>
      <c r="L1818" s="6">
        <v>215205</v>
      </c>
      <c r="M1818" s="6">
        <v>2050214</v>
      </c>
      <c r="N1818" s="42"/>
      <c r="O1818" s="42"/>
      <c r="P1818" s="42"/>
      <c r="Q1818" s="42"/>
      <c r="R1818" s="42"/>
      <c r="T1818" s="42">
        <v>496347</v>
      </c>
    </row>
    <row r="1819" spans="1:20" x14ac:dyDescent="0.3">
      <c r="A1819" s="7">
        <v>43504</v>
      </c>
      <c r="B1819" s="7"/>
      <c r="C1819" s="6">
        <v>125742</v>
      </c>
      <c r="D1819" s="6">
        <v>193921</v>
      </c>
      <c r="E1819" s="6">
        <v>140664</v>
      </c>
      <c r="F1819" s="14">
        <v>536659</v>
      </c>
      <c r="G1819" s="6">
        <v>188278</v>
      </c>
      <c r="H1819" s="6">
        <v>35535</v>
      </c>
      <c r="I1819" s="6">
        <v>71086</v>
      </c>
      <c r="J1819" s="6">
        <v>243333</v>
      </c>
      <c r="K1819" s="6">
        <v>479337</v>
      </c>
      <c r="L1819" s="6">
        <v>213055</v>
      </c>
      <c r="M1819" s="6">
        <v>2025983</v>
      </c>
      <c r="N1819" s="42"/>
      <c r="O1819" s="42"/>
      <c r="P1819" s="42"/>
      <c r="Q1819" s="42"/>
      <c r="R1819" s="42"/>
      <c r="T1819" s="42">
        <v>495968</v>
      </c>
    </row>
    <row r="1820" spans="1:20" x14ac:dyDescent="0.3">
      <c r="A1820" s="7">
        <v>43503</v>
      </c>
      <c r="B1820" s="7"/>
      <c r="C1820" s="6">
        <v>119790</v>
      </c>
      <c r="D1820" s="6">
        <v>196320</v>
      </c>
      <c r="E1820" s="6">
        <v>140680</v>
      </c>
      <c r="F1820" s="14">
        <v>533033</v>
      </c>
      <c r="G1820" s="6">
        <v>190193</v>
      </c>
      <c r="H1820" s="6">
        <v>35161</v>
      </c>
      <c r="I1820" s="6">
        <v>70315</v>
      </c>
      <c r="J1820" s="6">
        <v>241367</v>
      </c>
      <c r="K1820" s="6">
        <v>476635</v>
      </c>
      <c r="L1820" s="6">
        <v>210110</v>
      </c>
      <c r="M1820" s="6">
        <v>2049807</v>
      </c>
      <c r="N1820" s="42"/>
      <c r="O1820" s="42"/>
      <c r="P1820" s="42"/>
      <c r="Q1820" s="42"/>
      <c r="R1820" s="42"/>
      <c r="T1820" s="42">
        <v>494612</v>
      </c>
    </row>
    <row r="1821" spans="1:20" x14ac:dyDescent="0.3">
      <c r="A1821" s="7">
        <v>43502</v>
      </c>
      <c r="B1821" s="7"/>
      <c r="C1821" s="6">
        <v>120080</v>
      </c>
      <c r="D1821" s="6">
        <v>197020</v>
      </c>
      <c r="E1821" s="6">
        <v>141973</v>
      </c>
      <c r="F1821" s="14">
        <v>525799</v>
      </c>
      <c r="G1821" s="6">
        <v>193014</v>
      </c>
      <c r="H1821" s="6">
        <v>33914</v>
      </c>
      <c r="I1821" s="6">
        <v>68889</v>
      </c>
      <c r="J1821" s="6">
        <v>244171</v>
      </c>
      <c r="K1821" s="6">
        <v>481593</v>
      </c>
      <c r="L1821" s="6">
        <v>208156</v>
      </c>
      <c r="M1821" s="6">
        <v>2060606</v>
      </c>
      <c r="N1821" s="42"/>
      <c r="O1821" s="42"/>
      <c r="P1821" s="42"/>
      <c r="Q1821" s="42"/>
      <c r="R1821" s="42"/>
      <c r="T1821" s="42">
        <v>493524</v>
      </c>
    </row>
    <row r="1822" spans="1:20" x14ac:dyDescent="0.3">
      <c r="A1822" s="7">
        <v>43501</v>
      </c>
      <c r="B1822" s="7"/>
      <c r="C1822" s="6">
        <v>120590</v>
      </c>
      <c r="D1822" s="6">
        <v>196616</v>
      </c>
      <c r="E1822" s="6">
        <v>141538</v>
      </c>
      <c r="F1822" s="14">
        <v>523868</v>
      </c>
      <c r="G1822" s="6">
        <v>192789</v>
      </c>
      <c r="H1822" s="6">
        <v>34054</v>
      </c>
      <c r="I1822" s="6">
        <v>68402</v>
      </c>
      <c r="J1822" s="6">
        <v>245629</v>
      </c>
      <c r="K1822" s="6">
        <v>479736</v>
      </c>
      <c r="L1822" s="6">
        <v>207101</v>
      </c>
      <c r="M1822" s="6">
        <v>2057061</v>
      </c>
      <c r="N1822" s="42"/>
      <c r="O1822" s="42"/>
      <c r="P1822" s="42"/>
      <c r="Q1822" s="42"/>
      <c r="R1822" s="42"/>
      <c r="T1822" s="42">
        <v>494393</v>
      </c>
    </row>
    <row r="1823" spans="1:20" x14ac:dyDescent="0.3">
      <c r="A1823" s="7">
        <v>43500</v>
      </c>
      <c r="B1823" s="7"/>
      <c r="C1823" s="6">
        <v>124153</v>
      </c>
      <c r="D1823" s="6">
        <v>201122</v>
      </c>
      <c r="E1823" s="6">
        <v>143510</v>
      </c>
      <c r="F1823" s="14">
        <v>522906</v>
      </c>
      <c r="G1823" s="6">
        <v>191478</v>
      </c>
      <c r="H1823" s="6">
        <v>33889</v>
      </c>
      <c r="I1823" s="6">
        <v>67304</v>
      </c>
      <c r="J1823" s="6">
        <v>250513</v>
      </c>
      <c r="K1823" s="6">
        <v>474513</v>
      </c>
      <c r="L1823" s="6">
        <v>209459</v>
      </c>
      <c r="M1823" s="6">
        <v>2069905</v>
      </c>
      <c r="N1823" s="42"/>
      <c r="O1823" s="42"/>
      <c r="P1823" s="42"/>
      <c r="Q1823" s="42"/>
      <c r="R1823" s="42"/>
      <c r="T1823" s="42">
        <v>498631</v>
      </c>
    </row>
    <row r="1824" spans="1:20" x14ac:dyDescent="0.3">
      <c r="A1824" s="7">
        <v>43497</v>
      </c>
      <c r="B1824" s="7"/>
      <c r="C1824" s="6">
        <v>127042</v>
      </c>
      <c r="D1824" s="6">
        <v>198981</v>
      </c>
      <c r="E1824" s="6">
        <v>148733</v>
      </c>
      <c r="F1824" s="14">
        <v>526753</v>
      </c>
      <c r="G1824" s="6">
        <v>193095</v>
      </c>
      <c r="H1824" s="6">
        <v>33780</v>
      </c>
      <c r="I1824" s="6">
        <v>66601</v>
      </c>
      <c r="J1824" s="6">
        <v>252846</v>
      </c>
      <c r="K1824" s="6">
        <v>476289</v>
      </c>
      <c r="L1824" s="6">
        <v>206872</v>
      </c>
      <c r="M1824" s="6">
        <v>2073507</v>
      </c>
      <c r="N1824" s="42"/>
      <c r="O1824" s="42"/>
      <c r="P1824" s="42"/>
      <c r="Q1824" s="42"/>
      <c r="R1824" s="42"/>
      <c r="T1824" s="42">
        <v>499560</v>
      </c>
    </row>
    <row r="1825" spans="1:20" x14ac:dyDescent="0.3">
      <c r="A1825" s="7">
        <v>43496</v>
      </c>
      <c r="B1825" s="7"/>
      <c r="C1825" s="6">
        <v>127436</v>
      </c>
      <c r="D1825" s="6">
        <v>197655</v>
      </c>
      <c r="E1825" s="6">
        <v>148474</v>
      </c>
      <c r="F1825" s="14">
        <v>529890</v>
      </c>
      <c r="G1825" s="6">
        <v>199141</v>
      </c>
      <c r="H1825" s="6">
        <v>33430</v>
      </c>
      <c r="I1825" s="6">
        <v>66262</v>
      </c>
      <c r="J1825" s="6">
        <v>255812</v>
      </c>
      <c r="K1825" s="6">
        <v>477244</v>
      </c>
      <c r="L1825" s="6">
        <v>203388</v>
      </c>
      <c r="M1825" s="6">
        <v>2060615</v>
      </c>
      <c r="N1825" s="42"/>
      <c r="O1825" s="42"/>
      <c r="P1825" s="42"/>
      <c r="Q1825" s="42"/>
      <c r="R1825" s="42"/>
      <c r="T1825" s="42">
        <v>477332</v>
      </c>
    </row>
    <row r="1826" spans="1:20" x14ac:dyDescent="0.3">
      <c r="A1826" s="7">
        <v>43495</v>
      </c>
      <c r="B1826" s="7"/>
      <c r="C1826" s="6">
        <v>125817</v>
      </c>
      <c r="D1826" s="6">
        <v>202157</v>
      </c>
      <c r="E1826" s="6">
        <v>152250</v>
      </c>
      <c r="F1826" s="14">
        <v>528527</v>
      </c>
      <c r="G1826" s="6">
        <v>200534</v>
      </c>
      <c r="H1826" s="6">
        <v>32575</v>
      </c>
      <c r="I1826" s="6">
        <v>65922</v>
      </c>
      <c r="J1826" s="6">
        <v>262789</v>
      </c>
      <c r="K1826" s="6">
        <v>471461</v>
      </c>
      <c r="L1826" s="6">
        <v>199314</v>
      </c>
      <c r="M1826" s="6">
        <v>2052410</v>
      </c>
      <c r="N1826" s="42"/>
      <c r="O1826" s="42"/>
      <c r="P1826" s="42"/>
      <c r="Q1826" s="42"/>
      <c r="R1826" s="42"/>
      <c r="T1826" s="42">
        <v>474676</v>
      </c>
    </row>
    <row r="1827" spans="1:20" x14ac:dyDescent="0.3">
      <c r="A1827" s="7">
        <v>43494</v>
      </c>
      <c r="B1827" s="7"/>
      <c r="C1827" s="6">
        <v>121855</v>
      </c>
      <c r="D1827" s="6">
        <v>206696</v>
      </c>
      <c r="E1827" s="6">
        <v>151146</v>
      </c>
      <c r="F1827" s="14">
        <v>527521</v>
      </c>
      <c r="G1827" s="6">
        <v>204816</v>
      </c>
      <c r="H1827" s="6">
        <v>31684</v>
      </c>
      <c r="I1827" s="6">
        <v>65004</v>
      </c>
      <c r="J1827" s="6">
        <v>265588</v>
      </c>
      <c r="K1827" s="6">
        <v>483390</v>
      </c>
      <c r="L1827" s="6">
        <v>194895</v>
      </c>
      <c r="M1827" s="6">
        <v>2042018</v>
      </c>
      <c r="N1827" s="42"/>
      <c r="O1827" s="42"/>
      <c r="P1827" s="42"/>
      <c r="Q1827" s="42"/>
      <c r="R1827" s="42"/>
      <c r="T1827" s="42">
        <v>470581</v>
      </c>
    </row>
    <row r="1828" spans="1:20" x14ac:dyDescent="0.3">
      <c r="A1828" s="7">
        <v>43493</v>
      </c>
      <c r="B1828" s="7"/>
      <c r="C1828" s="6">
        <v>125050</v>
      </c>
      <c r="D1828" s="6">
        <v>209156</v>
      </c>
      <c r="E1828" s="6">
        <v>151634</v>
      </c>
      <c r="F1828" s="14">
        <v>530130</v>
      </c>
      <c r="G1828" s="6">
        <v>207252</v>
      </c>
      <c r="H1828" s="6">
        <v>32144</v>
      </c>
      <c r="I1828" s="6">
        <v>64455</v>
      </c>
      <c r="J1828" s="6">
        <v>267735</v>
      </c>
      <c r="K1828" s="6">
        <v>530368</v>
      </c>
      <c r="L1828" s="6">
        <v>192600</v>
      </c>
      <c r="M1828" s="6">
        <v>2045964</v>
      </c>
      <c r="N1828" s="42"/>
      <c r="O1828" s="42"/>
      <c r="P1828" s="42"/>
      <c r="Q1828" s="42"/>
      <c r="R1828" s="42"/>
      <c r="T1828" s="42">
        <v>470052</v>
      </c>
    </row>
    <row r="1829" spans="1:20" x14ac:dyDescent="0.3">
      <c r="A1829" s="7">
        <v>43490</v>
      </c>
      <c r="B1829" s="7"/>
      <c r="C1829" s="6">
        <v>125203</v>
      </c>
      <c r="D1829" s="6">
        <v>207984</v>
      </c>
      <c r="E1829" s="6">
        <v>152028</v>
      </c>
      <c r="F1829" s="14">
        <v>530327</v>
      </c>
      <c r="G1829" s="6">
        <v>208796</v>
      </c>
      <c r="H1829" s="6">
        <v>33417</v>
      </c>
      <c r="I1829" s="6">
        <v>64477</v>
      </c>
      <c r="J1829" s="6">
        <v>271412</v>
      </c>
      <c r="K1829" s="6">
        <v>537605</v>
      </c>
      <c r="L1829" s="6">
        <v>191473</v>
      </c>
      <c r="M1829" s="6">
        <v>2038176</v>
      </c>
      <c r="N1829" s="42"/>
      <c r="O1829" s="42"/>
      <c r="P1829" s="42"/>
      <c r="Q1829" s="42"/>
      <c r="R1829" s="42"/>
      <c r="T1829" s="42">
        <v>471108</v>
      </c>
    </row>
    <row r="1830" spans="1:20" x14ac:dyDescent="0.3">
      <c r="A1830" s="7">
        <v>43489</v>
      </c>
      <c r="B1830" s="7"/>
      <c r="C1830" s="6">
        <v>124454</v>
      </c>
      <c r="D1830" s="6">
        <v>205540</v>
      </c>
      <c r="E1830" s="6">
        <v>152898</v>
      </c>
      <c r="F1830" s="14">
        <v>529804</v>
      </c>
      <c r="G1830" s="6">
        <v>205641</v>
      </c>
      <c r="H1830" s="6">
        <v>33859</v>
      </c>
      <c r="I1830" s="6">
        <v>64225</v>
      </c>
      <c r="J1830" s="6">
        <v>276982</v>
      </c>
      <c r="K1830" s="6">
        <v>523228</v>
      </c>
      <c r="L1830" s="6">
        <v>186697</v>
      </c>
      <c r="M1830" s="6">
        <v>2034092</v>
      </c>
      <c r="N1830" s="42"/>
      <c r="O1830" s="42"/>
      <c r="P1830" s="42"/>
      <c r="Q1830" s="42"/>
      <c r="R1830" s="42"/>
      <c r="T1830" s="42">
        <v>469189</v>
      </c>
    </row>
    <row r="1831" spans="1:20" x14ac:dyDescent="0.3">
      <c r="A1831" s="7">
        <v>43488</v>
      </c>
      <c r="B1831" s="7"/>
      <c r="C1831" s="6">
        <v>122237</v>
      </c>
      <c r="D1831" s="6">
        <v>208517</v>
      </c>
      <c r="E1831" s="6">
        <v>151653</v>
      </c>
      <c r="F1831" s="14">
        <v>530541</v>
      </c>
      <c r="G1831" s="6">
        <v>205552</v>
      </c>
      <c r="H1831" s="6">
        <v>33292</v>
      </c>
      <c r="I1831" s="6">
        <v>63736</v>
      </c>
      <c r="J1831" s="6">
        <v>274760</v>
      </c>
      <c r="K1831" s="6">
        <v>524802</v>
      </c>
      <c r="L1831" s="6">
        <v>187993</v>
      </c>
      <c r="M1831" s="6">
        <v>2052646</v>
      </c>
      <c r="N1831" s="42"/>
      <c r="O1831" s="42"/>
      <c r="P1831" s="42"/>
      <c r="Q1831" s="42"/>
      <c r="R1831" s="42"/>
      <c r="T1831" s="42">
        <v>467992</v>
      </c>
    </row>
    <row r="1832" spans="1:20" x14ac:dyDescent="0.3">
      <c r="A1832" s="7">
        <v>43487</v>
      </c>
      <c r="B1832" s="7"/>
      <c r="C1832" s="6">
        <v>120516</v>
      </c>
      <c r="D1832" s="6">
        <v>210645</v>
      </c>
      <c r="E1832" s="6">
        <v>151010</v>
      </c>
      <c r="F1832" s="14">
        <v>527176</v>
      </c>
      <c r="G1832" s="6">
        <v>212563</v>
      </c>
      <c r="H1832" s="6">
        <v>33089</v>
      </c>
      <c r="I1832" s="6">
        <v>63095</v>
      </c>
      <c r="J1832" s="6">
        <v>271968</v>
      </c>
      <c r="K1832" s="6">
        <v>513509</v>
      </c>
      <c r="L1832" s="6">
        <v>188674</v>
      </c>
      <c r="M1832" s="6">
        <v>2048817</v>
      </c>
      <c r="N1832" s="42"/>
      <c r="O1832" s="42"/>
      <c r="P1832" s="42"/>
      <c r="Q1832" s="42"/>
      <c r="R1832" s="42"/>
      <c r="T1832" s="42">
        <v>468375</v>
      </c>
    </row>
    <row r="1833" spans="1:20" x14ac:dyDescent="0.3">
      <c r="A1833" s="7">
        <v>43483</v>
      </c>
      <c r="B1833" s="7"/>
      <c r="C1833" s="6">
        <v>119552</v>
      </c>
      <c r="D1833" s="6">
        <v>214174</v>
      </c>
      <c r="E1833" s="6">
        <v>151500</v>
      </c>
      <c r="F1833" s="14">
        <v>523371</v>
      </c>
      <c r="G1833" s="6">
        <v>219075</v>
      </c>
      <c r="H1833" s="6">
        <v>31767</v>
      </c>
      <c r="I1833" s="6">
        <v>62782</v>
      </c>
      <c r="J1833" s="6">
        <v>268776</v>
      </c>
      <c r="K1833" s="6">
        <v>508398</v>
      </c>
      <c r="L1833" s="6">
        <v>190699</v>
      </c>
      <c r="M1833" s="6">
        <v>2062962</v>
      </c>
      <c r="N1833" s="42"/>
      <c r="O1833" s="42"/>
      <c r="P1833" s="42"/>
      <c r="Q1833" s="42"/>
      <c r="R1833" s="42"/>
      <c r="T1833" s="42">
        <v>475944</v>
      </c>
    </row>
    <row r="1834" spans="1:20" x14ac:dyDescent="0.3">
      <c r="A1834" s="7">
        <v>43482</v>
      </c>
      <c r="B1834" s="7"/>
      <c r="C1834" s="6">
        <v>121185</v>
      </c>
      <c r="D1834" s="6">
        <v>214787</v>
      </c>
      <c r="E1834" s="6">
        <v>152785</v>
      </c>
      <c r="F1834" s="14">
        <v>526080</v>
      </c>
      <c r="G1834" s="6">
        <v>219783</v>
      </c>
      <c r="H1834" s="6">
        <v>31469</v>
      </c>
      <c r="I1834" s="6">
        <v>62783</v>
      </c>
      <c r="J1834" s="6">
        <v>270274</v>
      </c>
      <c r="K1834" s="6">
        <v>510097</v>
      </c>
      <c r="L1834" s="6">
        <v>193226</v>
      </c>
      <c r="M1834" s="6">
        <v>2076633</v>
      </c>
      <c r="N1834" s="42"/>
      <c r="O1834" s="42"/>
      <c r="P1834" s="42"/>
      <c r="Q1834" s="42"/>
      <c r="R1834" s="42"/>
      <c r="T1834" s="42">
        <v>471314</v>
      </c>
    </row>
    <row r="1835" spans="1:20" x14ac:dyDescent="0.3">
      <c r="A1835" s="7">
        <v>43481</v>
      </c>
      <c r="B1835" s="7"/>
      <c r="C1835" s="6">
        <v>124439</v>
      </c>
      <c r="D1835" s="6">
        <v>216613</v>
      </c>
      <c r="E1835" s="6">
        <v>154332</v>
      </c>
      <c r="F1835" s="14">
        <v>525546</v>
      </c>
      <c r="G1835" s="6">
        <v>229193</v>
      </c>
      <c r="H1835" s="6">
        <v>31135</v>
      </c>
      <c r="I1835" s="6">
        <v>62265</v>
      </c>
      <c r="J1835" s="6">
        <v>267352</v>
      </c>
      <c r="K1835" s="6">
        <v>501213</v>
      </c>
      <c r="L1835" s="6">
        <v>192911</v>
      </c>
      <c r="M1835" s="6">
        <v>2073277</v>
      </c>
      <c r="N1835" s="42"/>
      <c r="O1835" s="42"/>
      <c r="P1835" s="42"/>
      <c r="Q1835" s="42"/>
      <c r="R1835" s="42"/>
      <c r="T1835" s="42">
        <v>470524</v>
      </c>
    </row>
    <row r="1836" spans="1:20" x14ac:dyDescent="0.3">
      <c r="A1836" s="7">
        <v>43480</v>
      </c>
      <c r="B1836" s="7"/>
      <c r="C1836" s="6">
        <v>125750</v>
      </c>
      <c r="D1836" s="6">
        <v>221098</v>
      </c>
      <c r="E1836" s="6">
        <v>155691</v>
      </c>
      <c r="F1836" s="14">
        <v>526058</v>
      </c>
      <c r="G1836" s="6">
        <v>230001</v>
      </c>
      <c r="H1836" s="6">
        <v>30350</v>
      </c>
      <c r="I1836" s="6">
        <v>62523</v>
      </c>
      <c r="J1836" s="6">
        <v>271303</v>
      </c>
      <c r="K1836" s="6">
        <v>501605</v>
      </c>
      <c r="L1836" s="6">
        <v>191922</v>
      </c>
      <c r="M1836" s="6">
        <v>2103777</v>
      </c>
      <c r="N1836" s="42"/>
      <c r="O1836" s="42"/>
      <c r="P1836" s="42"/>
      <c r="Q1836" s="42"/>
      <c r="R1836" s="42"/>
      <c r="T1836" s="42">
        <v>472587</v>
      </c>
    </row>
    <row r="1837" spans="1:20" x14ac:dyDescent="0.3">
      <c r="A1837" s="7">
        <v>43479</v>
      </c>
      <c r="B1837" s="7"/>
      <c r="C1837" s="6">
        <v>127853</v>
      </c>
      <c r="D1837" s="6">
        <v>213403</v>
      </c>
      <c r="E1837" s="6">
        <v>157183</v>
      </c>
      <c r="F1837" s="14">
        <v>523272</v>
      </c>
      <c r="G1837" s="6">
        <v>230051</v>
      </c>
      <c r="H1837" s="6">
        <v>31040</v>
      </c>
      <c r="I1837" s="6">
        <v>63212</v>
      </c>
      <c r="J1837" s="6">
        <v>272493</v>
      </c>
      <c r="K1837" s="6">
        <v>494828</v>
      </c>
      <c r="L1837" s="6">
        <v>191369</v>
      </c>
      <c r="M1837" s="6">
        <v>2096812</v>
      </c>
      <c r="N1837" s="42"/>
      <c r="O1837" s="42"/>
      <c r="P1837" s="42"/>
      <c r="Q1837" s="42"/>
      <c r="R1837" s="42"/>
      <c r="T1837" s="42">
        <v>471110</v>
      </c>
    </row>
    <row r="1838" spans="1:20" x14ac:dyDescent="0.3">
      <c r="A1838" s="7">
        <v>43476</v>
      </c>
      <c r="B1838" s="7"/>
      <c r="C1838" s="6">
        <v>127832</v>
      </c>
      <c r="D1838" s="6">
        <v>213020</v>
      </c>
      <c r="E1838" s="6">
        <v>158479</v>
      </c>
      <c r="F1838" s="14">
        <v>523812</v>
      </c>
      <c r="G1838" s="6">
        <v>229524</v>
      </c>
      <c r="H1838" s="6">
        <v>31773</v>
      </c>
      <c r="I1838" s="6">
        <v>63102</v>
      </c>
      <c r="J1838" s="6">
        <v>263554</v>
      </c>
      <c r="K1838" s="6">
        <v>479784</v>
      </c>
      <c r="L1838" s="6">
        <v>189936</v>
      </c>
      <c r="M1838" s="6">
        <v>2091430</v>
      </c>
      <c r="N1838" s="42"/>
      <c r="O1838" s="42"/>
      <c r="P1838" s="42"/>
      <c r="Q1838" s="42"/>
      <c r="R1838" s="42"/>
      <c r="T1838" s="42">
        <v>466961</v>
      </c>
    </row>
    <row r="1839" spans="1:20" x14ac:dyDescent="0.3">
      <c r="A1839" s="7">
        <v>43475</v>
      </c>
      <c r="B1839" s="7"/>
      <c r="C1839" s="6">
        <v>130492</v>
      </c>
      <c r="D1839" s="6">
        <v>209422</v>
      </c>
      <c r="E1839" s="6">
        <v>159729</v>
      </c>
      <c r="F1839" s="14">
        <v>526959</v>
      </c>
      <c r="G1839" s="6">
        <v>227818</v>
      </c>
      <c r="H1839" s="6">
        <v>30940</v>
      </c>
      <c r="I1839" s="6">
        <v>67103</v>
      </c>
      <c r="J1839" s="6">
        <v>257284</v>
      </c>
      <c r="K1839" s="6">
        <v>477845</v>
      </c>
      <c r="L1839" s="6">
        <v>188825</v>
      </c>
      <c r="M1839" s="6">
        <v>2101230</v>
      </c>
      <c r="N1839" s="42"/>
      <c r="O1839" s="42"/>
      <c r="P1839" s="42"/>
      <c r="Q1839" s="42"/>
      <c r="R1839" s="42"/>
      <c r="T1839" s="42">
        <v>465884</v>
      </c>
    </row>
    <row r="1840" spans="1:20" x14ac:dyDescent="0.3">
      <c r="A1840" s="7">
        <v>43474</v>
      </c>
      <c r="B1840" s="7"/>
      <c r="C1840" s="6">
        <v>133179</v>
      </c>
      <c r="D1840" s="6">
        <v>209788</v>
      </c>
      <c r="E1840" s="6">
        <v>162884</v>
      </c>
      <c r="F1840" s="14">
        <v>527628</v>
      </c>
      <c r="G1840" s="6">
        <v>230445</v>
      </c>
      <c r="H1840" s="6">
        <v>29487</v>
      </c>
      <c r="I1840" s="6">
        <v>67105</v>
      </c>
      <c r="J1840" s="6">
        <v>247052</v>
      </c>
      <c r="K1840" s="6">
        <v>464943</v>
      </c>
      <c r="L1840" s="6">
        <v>188613</v>
      </c>
      <c r="M1840" s="6">
        <v>2102030</v>
      </c>
      <c r="N1840" s="42"/>
      <c r="O1840" s="42"/>
      <c r="P1840" s="42"/>
      <c r="Q1840" s="42"/>
      <c r="R1840" s="42"/>
      <c r="T1840" s="42">
        <v>467602</v>
      </c>
    </row>
    <row r="1841" spans="1:20" x14ac:dyDescent="0.3">
      <c r="A1841" s="7">
        <v>43473</v>
      </c>
      <c r="B1841" s="7"/>
      <c r="C1841" s="6">
        <v>127476</v>
      </c>
      <c r="D1841" s="6">
        <v>210800</v>
      </c>
      <c r="E1841" s="6">
        <v>167005</v>
      </c>
      <c r="F1841" s="14">
        <v>514545</v>
      </c>
      <c r="G1841" s="6">
        <v>230524</v>
      </c>
      <c r="H1841" s="6">
        <v>29804</v>
      </c>
      <c r="I1841" s="6">
        <v>67100</v>
      </c>
      <c r="J1841" s="6">
        <v>242731</v>
      </c>
      <c r="K1841" s="6">
        <v>455232</v>
      </c>
      <c r="L1841" s="6">
        <v>186506</v>
      </c>
      <c r="M1841" s="6">
        <v>2120930</v>
      </c>
      <c r="N1841" s="42"/>
      <c r="O1841" s="42"/>
      <c r="P1841" s="42"/>
      <c r="Q1841" s="42"/>
      <c r="R1841" s="42"/>
      <c r="T1841" s="42">
        <v>467628</v>
      </c>
    </row>
    <row r="1842" spans="1:20" x14ac:dyDescent="0.3">
      <c r="A1842" s="7">
        <v>43472</v>
      </c>
      <c r="B1842" s="7"/>
      <c r="C1842" s="6">
        <v>126491</v>
      </c>
      <c r="D1842" s="6">
        <v>212424</v>
      </c>
      <c r="E1842" s="6">
        <v>169880</v>
      </c>
      <c r="F1842" s="14">
        <v>518941</v>
      </c>
      <c r="G1842" s="6">
        <v>228543</v>
      </c>
      <c r="H1842" s="6">
        <v>29021</v>
      </c>
      <c r="I1842" s="6">
        <v>68138</v>
      </c>
      <c r="J1842" s="6">
        <v>238369</v>
      </c>
      <c r="K1842" s="6">
        <v>464243</v>
      </c>
      <c r="L1842" s="6">
        <v>181662</v>
      </c>
      <c r="M1842" s="6">
        <v>2141112</v>
      </c>
      <c r="N1842" s="42"/>
      <c r="O1842" s="42"/>
      <c r="P1842" s="42"/>
      <c r="Q1842" s="42"/>
      <c r="R1842" s="42"/>
      <c r="T1842" s="42">
        <v>470966</v>
      </c>
    </row>
    <row r="1843" spans="1:20" x14ac:dyDescent="0.3">
      <c r="A1843" s="7">
        <v>43469</v>
      </c>
      <c r="B1843" s="7"/>
      <c r="C1843" s="6">
        <v>126156</v>
      </c>
      <c r="D1843" s="6">
        <v>210111</v>
      </c>
      <c r="E1843" s="6">
        <v>171324</v>
      </c>
      <c r="F1843" s="14">
        <v>510088</v>
      </c>
      <c r="G1843" s="6">
        <v>226520</v>
      </c>
      <c r="H1843" s="6">
        <v>28784</v>
      </c>
      <c r="I1843" s="6">
        <v>66854</v>
      </c>
      <c r="J1843" s="6">
        <v>237985</v>
      </c>
      <c r="K1843" s="6">
        <v>456364</v>
      </c>
      <c r="L1843" s="6">
        <v>179156</v>
      </c>
      <c r="M1843" s="6">
        <v>2124927</v>
      </c>
      <c r="N1843" s="42"/>
      <c r="O1843" s="42"/>
      <c r="P1843" s="42"/>
      <c r="Q1843" s="42"/>
      <c r="R1843" s="42"/>
      <c r="T1843" s="42">
        <v>465122</v>
      </c>
    </row>
    <row r="1844" spans="1:20" x14ac:dyDescent="0.3">
      <c r="A1844" s="7">
        <v>43468</v>
      </c>
      <c r="B1844" s="7"/>
      <c r="C1844" s="6">
        <v>128279</v>
      </c>
      <c r="D1844" s="6">
        <v>214437</v>
      </c>
      <c r="E1844" s="6">
        <v>178206</v>
      </c>
      <c r="F1844" s="14">
        <v>509091</v>
      </c>
      <c r="G1844" s="6">
        <v>229467</v>
      </c>
      <c r="H1844" s="6">
        <v>29027</v>
      </c>
      <c r="I1844" s="6">
        <v>66673</v>
      </c>
      <c r="J1844" s="6">
        <v>239647</v>
      </c>
      <c r="K1844" s="6">
        <v>457208</v>
      </c>
      <c r="L1844" s="6">
        <v>178003</v>
      </c>
      <c r="M1844" s="6">
        <v>2131963</v>
      </c>
      <c r="N1844" s="42"/>
      <c r="O1844" s="42"/>
      <c r="P1844" s="42"/>
      <c r="Q1844" s="42"/>
      <c r="R1844" s="42"/>
      <c r="T1844" s="42">
        <v>469023</v>
      </c>
    </row>
    <row r="1845" spans="1:20" x14ac:dyDescent="0.3">
      <c r="A1845" s="7">
        <v>43467</v>
      </c>
      <c r="B1845" s="7"/>
      <c r="C1845" s="6">
        <v>127716</v>
      </c>
      <c r="D1845" s="6">
        <v>218410</v>
      </c>
      <c r="E1845" s="6">
        <v>175768</v>
      </c>
      <c r="F1845" s="14">
        <v>505944</v>
      </c>
      <c r="G1845" s="6">
        <v>224249</v>
      </c>
      <c r="H1845" s="6">
        <v>29955</v>
      </c>
      <c r="I1845" s="6">
        <v>66625</v>
      </c>
      <c r="J1845" s="6">
        <v>234235</v>
      </c>
      <c r="K1845" s="6">
        <v>452576</v>
      </c>
      <c r="L1845" s="6">
        <v>181253</v>
      </c>
      <c r="M1845" s="6">
        <v>2126286</v>
      </c>
      <c r="N1845" s="42"/>
      <c r="O1845" s="42"/>
      <c r="P1845" s="42"/>
      <c r="Q1845" s="42"/>
      <c r="R1845" s="42"/>
      <c r="T1845" s="42">
        <v>478184</v>
      </c>
    </row>
    <row r="1846" spans="1:20" x14ac:dyDescent="0.3">
      <c r="A1846" s="7">
        <v>43465</v>
      </c>
      <c r="B1846" s="7"/>
      <c r="C1846" s="6">
        <v>122428</v>
      </c>
      <c r="D1846" s="6">
        <v>212470</v>
      </c>
      <c r="E1846" s="6">
        <v>170168</v>
      </c>
      <c r="F1846" s="14">
        <v>505986</v>
      </c>
      <c r="G1846" s="6">
        <v>216224</v>
      </c>
      <c r="H1846" s="6">
        <v>29640</v>
      </c>
      <c r="I1846" s="6">
        <v>67730</v>
      </c>
      <c r="J1846" s="6">
        <v>224760</v>
      </c>
      <c r="K1846" s="6">
        <v>451360</v>
      </c>
      <c r="L1846" s="6">
        <v>176159</v>
      </c>
      <c r="M1846" s="6">
        <v>2104675</v>
      </c>
      <c r="N1846" s="42"/>
      <c r="O1846" s="42"/>
      <c r="P1846" s="42"/>
      <c r="Q1846" s="42"/>
      <c r="R1846" s="42"/>
      <c r="T1846" s="42">
        <v>485131</v>
      </c>
    </row>
    <row r="1847" spans="1:20" x14ac:dyDescent="0.3">
      <c r="A1847" s="7">
        <v>43462</v>
      </c>
      <c r="B1847" s="7"/>
      <c r="C1847" s="6">
        <v>121776</v>
      </c>
      <c r="D1847" s="6">
        <v>211978</v>
      </c>
      <c r="E1847" s="6">
        <v>169573</v>
      </c>
      <c r="F1847" s="14">
        <v>510071</v>
      </c>
      <c r="G1847" s="6">
        <v>214774</v>
      </c>
      <c r="H1847" s="6">
        <v>29890</v>
      </c>
      <c r="I1847" s="6">
        <v>69290</v>
      </c>
      <c r="J1847" s="6">
        <v>218662</v>
      </c>
      <c r="K1847" s="6">
        <v>448092</v>
      </c>
      <c r="L1847" s="6">
        <v>174249</v>
      </c>
      <c r="M1847" s="6">
        <v>2109445</v>
      </c>
      <c r="N1847" s="42"/>
      <c r="O1847" s="42"/>
      <c r="P1847" s="42"/>
      <c r="Q1847" s="42"/>
      <c r="R1847" s="42"/>
      <c r="T1847" s="42">
        <v>559582</v>
      </c>
    </row>
    <row r="1848" spans="1:20" x14ac:dyDescent="0.3">
      <c r="A1848" s="7">
        <v>43461</v>
      </c>
      <c r="B1848" s="7"/>
      <c r="C1848" s="6">
        <v>122220</v>
      </c>
      <c r="D1848" s="6">
        <v>210493</v>
      </c>
      <c r="E1848" s="6">
        <v>160313</v>
      </c>
      <c r="F1848" s="14">
        <v>507970</v>
      </c>
      <c r="G1848" s="6">
        <v>220596</v>
      </c>
      <c r="H1848" s="6">
        <v>30311</v>
      </c>
      <c r="I1848" s="6">
        <v>71324</v>
      </c>
      <c r="J1848" s="6">
        <v>219450</v>
      </c>
      <c r="K1848" s="6">
        <v>444187</v>
      </c>
      <c r="L1848" s="6">
        <v>173459</v>
      </c>
      <c r="M1848" s="6">
        <v>2080681</v>
      </c>
      <c r="N1848" s="42"/>
      <c r="O1848" s="42"/>
      <c r="P1848" s="42"/>
      <c r="Q1848" s="42"/>
      <c r="R1848" s="42"/>
      <c r="T1848" s="42">
        <v>580781</v>
      </c>
    </row>
    <row r="1849" spans="1:20" x14ac:dyDescent="0.3">
      <c r="A1849" s="7">
        <v>43460</v>
      </c>
      <c r="B1849" s="7"/>
      <c r="C1849" s="6">
        <v>119893</v>
      </c>
      <c r="D1849" s="6">
        <v>211855</v>
      </c>
      <c r="E1849" s="6">
        <v>160254</v>
      </c>
      <c r="F1849" s="14">
        <v>506385</v>
      </c>
      <c r="G1849" s="6">
        <v>223489</v>
      </c>
      <c r="H1849" s="6">
        <v>28519</v>
      </c>
      <c r="I1849" s="6">
        <v>70217</v>
      </c>
      <c r="J1849" s="6">
        <v>219582</v>
      </c>
      <c r="K1849" s="6">
        <v>438725</v>
      </c>
      <c r="L1849" s="6">
        <v>176138</v>
      </c>
      <c r="M1849" s="6">
        <v>2090392</v>
      </c>
      <c r="N1849" s="42"/>
      <c r="O1849" s="42"/>
      <c r="P1849" s="42"/>
      <c r="Q1849" s="42"/>
      <c r="R1849" s="42"/>
      <c r="T1849" s="42">
        <v>542016</v>
      </c>
    </row>
    <row r="1850" spans="1:20" x14ac:dyDescent="0.3">
      <c r="A1850" s="7">
        <v>43458</v>
      </c>
      <c r="B1850" s="7"/>
      <c r="C1850" s="6">
        <v>117693</v>
      </c>
      <c r="D1850" s="6">
        <v>212023</v>
      </c>
      <c r="E1850" s="6">
        <v>159195</v>
      </c>
      <c r="F1850" s="14">
        <v>508253</v>
      </c>
      <c r="G1850" s="6">
        <v>224458</v>
      </c>
      <c r="H1850" s="6">
        <v>28524</v>
      </c>
      <c r="I1850" s="6">
        <v>70711</v>
      </c>
      <c r="J1850" s="6">
        <v>218191</v>
      </c>
      <c r="K1850" s="6">
        <v>442727</v>
      </c>
      <c r="L1850" s="6">
        <v>173685</v>
      </c>
      <c r="M1850" s="6">
        <v>2073992</v>
      </c>
      <c r="N1850" s="42"/>
      <c r="O1850" s="42"/>
      <c r="P1850" s="42"/>
      <c r="Q1850" s="42"/>
      <c r="R1850" s="42"/>
      <c r="T1850" s="42">
        <v>556488</v>
      </c>
    </row>
    <row r="1851" spans="1:20" x14ac:dyDescent="0.3">
      <c r="A1851" s="7">
        <v>43455</v>
      </c>
      <c r="B1851" s="7"/>
      <c r="C1851" s="6">
        <v>114013</v>
      </c>
      <c r="D1851" s="6">
        <v>211776</v>
      </c>
      <c r="E1851" s="6">
        <v>157145</v>
      </c>
      <c r="F1851" s="14">
        <v>506795</v>
      </c>
      <c r="G1851" s="6">
        <v>219729</v>
      </c>
      <c r="H1851" s="6">
        <v>28113</v>
      </c>
      <c r="I1851" s="6">
        <v>71932</v>
      </c>
      <c r="J1851" s="6">
        <v>214547</v>
      </c>
      <c r="K1851" s="6">
        <v>432997</v>
      </c>
      <c r="L1851" s="6">
        <v>173913</v>
      </c>
      <c r="M1851" s="6">
        <v>2056659</v>
      </c>
      <c r="N1851" s="42"/>
      <c r="O1851" s="42"/>
      <c r="P1851" s="42"/>
      <c r="Q1851" s="42"/>
      <c r="R1851" s="42"/>
      <c r="T1851" s="42">
        <v>529933</v>
      </c>
    </row>
    <row r="1852" spans="1:20" x14ac:dyDescent="0.3">
      <c r="A1852" s="7">
        <v>43454</v>
      </c>
      <c r="B1852" s="7"/>
      <c r="C1852" s="6">
        <v>114225</v>
      </c>
      <c r="D1852" s="6">
        <v>211177</v>
      </c>
      <c r="E1852" s="6">
        <v>152450</v>
      </c>
      <c r="F1852" s="14">
        <v>516683</v>
      </c>
      <c r="G1852" s="6">
        <v>227215</v>
      </c>
      <c r="H1852" s="6">
        <v>30552</v>
      </c>
      <c r="I1852" s="6">
        <v>72069</v>
      </c>
      <c r="J1852" s="6">
        <v>214603</v>
      </c>
      <c r="K1852" s="6">
        <v>436773</v>
      </c>
      <c r="L1852" s="6">
        <v>174547</v>
      </c>
      <c r="M1852" s="6">
        <v>2050827</v>
      </c>
      <c r="N1852" s="42"/>
      <c r="O1852" s="42"/>
      <c r="P1852" s="42"/>
      <c r="Q1852" s="42"/>
      <c r="R1852" s="42"/>
      <c r="T1852" s="42">
        <v>509071</v>
      </c>
    </row>
    <row r="1853" spans="1:20" x14ac:dyDescent="0.3">
      <c r="A1853" s="7">
        <v>43453</v>
      </c>
      <c r="B1853" s="7"/>
      <c r="C1853" s="6">
        <v>109359</v>
      </c>
      <c r="D1853" s="6">
        <v>207895</v>
      </c>
      <c r="E1853" s="6">
        <v>151494</v>
      </c>
      <c r="F1853" s="14">
        <v>503259</v>
      </c>
      <c r="G1853" s="6">
        <v>216128</v>
      </c>
      <c r="H1853" s="6">
        <v>29817</v>
      </c>
      <c r="I1853" s="6">
        <v>71628</v>
      </c>
      <c r="J1853" s="6">
        <v>214538</v>
      </c>
      <c r="K1853" s="6">
        <v>417674</v>
      </c>
      <c r="L1853" s="6">
        <v>172572</v>
      </c>
      <c r="M1853" s="6">
        <v>2037833</v>
      </c>
      <c r="N1853" s="42"/>
      <c r="O1853" s="42"/>
      <c r="P1853" s="42"/>
      <c r="Q1853" s="42"/>
      <c r="R1853" s="42"/>
      <c r="T1853" s="42">
        <v>507260</v>
      </c>
    </row>
    <row r="1854" spans="1:20" x14ac:dyDescent="0.3">
      <c r="A1854" s="7">
        <v>43452</v>
      </c>
      <c r="B1854" s="7"/>
      <c r="C1854" s="6">
        <v>146747</v>
      </c>
      <c r="D1854" s="6">
        <v>270772</v>
      </c>
      <c r="E1854" s="6">
        <v>191476</v>
      </c>
      <c r="F1854" s="14">
        <v>591110</v>
      </c>
      <c r="G1854" s="6">
        <v>269426</v>
      </c>
      <c r="H1854" s="6">
        <v>53004</v>
      </c>
      <c r="I1854" s="6">
        <v>113814</v>
      </c>
      <c r="J1854" s="6">
        <v>214050</v>
      </c>
      <c r="K1854" s="6">
        <v>412485</v>
      </c>
      <c r="L1854" s="6">
        <v>172860</v>
      </c>
      <c r="M1854" s="6">
        <v>2063376</v>
      </c>
      <c r="N1854" s="42"/>
      <c r="O1854" s="42"/>
      <c r="P1854" s="42"/>
      <c r="Q1854" s="42"/>
      <c r="R1854" s="42"/>
      <c r="T1854" s="42">
        <v>481045</v>
      </c>
    </row>
    <row r="1855" spans="1:20" x14ac:dyDescent="0.3">
      <c r="A1855" s="7">
        <v>43451</v>
      </c>
      <c r="B1855" s="7"/>
      <c r="C1855" s="6">
        <v>144446</v>
      </c>
      <c r="D1855" s="6">
        <v>270174</v>
      </c>
      <c r="E1855" s="6">
        <v>187543</v>
      </c>
      <c r="F1855" s="14">
        <v>589082</v>
      </c>
      <c r="G1855" s="6">
        <v>265044</v>
      </c>
      <c r="H1855" s="6">
        <v>52176</v>
      </c>
      <c r="I1855" s="6">
        <v>114230</v>
      </c>
      <c r="J1855" s="6">
        <v>210649</v>
      </c>
      <c r="K1855" s="6">
        <v>408234</v>
      </c>
      <c r="L1855" s="6">
        <v>173209</v>
      </c>
      <c r="M1855" s="6">
        <v>2074447</v>
      </c>
      <c r="N1855" s="42"/>
      <c r="O1855" s="42"/>
      <c r="P1855" s="42"/>
      <c r="Q1855" s="42"/>
      <c r="R1855" s="42"/>
      <c r="T1855" s="42">
        <v>483749</v>
      </c>
    </row>
    <row r="1856" spans="1:20" x14ac:dyDescent="0.3">
      <c r="A1856" s="7">
        <v>43448</v>
      </c>
      <c r="B1856" s="7"/>
      <c r="C1856" s="6">
        <v>145633</v>
      </c>
      <c r="D1856" s="6">
        <v>273315</v>
      </c>
      <c r="E1856" s="6">
        <v>188344</v>
      </c>
      <c r="F1856" s="14">
        <v>597509</v>
      </c>
      <c r="G1856" s="6">
        <v>261218</v>
      </c>
      <c r="H1856" s="6">
        <v>54767</v>
      </c>
      <c r="I1856" s="6">
        <v>115768</v>
      </c>
      <c r="J1856" s="6">
        <v>208606</v>
      </c>
      <c r="K1856" s="6">
        <v>397688</v>
      </c>
      <c r="L1856" s="6">
        <v>173574</v>
      </c>
      <c r="M1856" s="6">
        <v>2064408</v>
      </c>
      <c r="N1856" s="42"/>
      <c r="O1856" s="42"/>
      <c r="P1856" s="42"/>
      <c r="Q1856" s="42"/>
      <c r="R1856" s="42"/>
      <c r="T1856" s="42">
        <v>483103</v>
      </c>
    </row>
    <row r="1857" spans="1:20" x14ac:dyDescent="0.3">
      <c r="A1857" s="7">
        <v>43447</v>
      </c>
      <c r="B1857" s="7"/>
      <c r="C1857" s="6">
        <v>141968</v>
      </c>
      <c r="D1857" s="6">
        <v>267952</v>
      </c>
      <c r="E1857" s="6">
        <v>176813</v>
      </c>
      <c r="F1857" s="14">
        <v>614381</v>
      </c>
      <c r="G1857" s="6">
        <v>274170</v>
      </c>
      <c r="H1857" s="6">
        <v>55670</v>
      </c>
      <c r="I1857" s="6">
        <v>113262</v>
      </c>
      <c r="J1857" s="6">
        <v>210676</v>
      </c>
      <c r="K1857" s="6">
        <v>400737</v>
      </c>
      <c r="L1857" s="6">
        <v>174446</v>
      </c>
      <c r="M1857" s="6">
        <v>2088384</v>
      </c>
      <c r="N1857" s="42"/>
      <c r="O1857" s="42"/>
      <c r="P1857" s="42"/>
      <c r="Q1857" s="42"/>
      <c r="R1857" s="42"/>
      <c r="T1857" s="42">
        <v>482359</v>
      </c>
    </row>
    <row r="1858" spans="1:20" x14ac:dyDescent="0.3">
      <c r="A1858" s="7">
        <v>43446</v>
      </c>
      <c r="B1858" s="7"/>
      <c r="C1858" s="6">
        <v>143963</v>
      </c>
      <c r="D1858" s="6">
        <v>249141</v>
      </c>
      <c r="E1858" s="6">
        <v>165376</v>
      </c>
      <c r="F1858" s="14">
        <v>634659</v>
      </c>
      <c r="G1858" s="6">
        <v>230790</v>
      </c>
      <c r="H1858" s="6">
        <v>59443</v>
      </c>
      <c r="I1858" s="6">
        <v>99854</v>
      </c>
      <c r="J1858" s="6">
        <v>208771</v>
      </c>
      <c r="K1858" s="6">
        <v>404735</v>
      </c>
      <c r="L1858" s="6">
        <v>175076</v>
      </c>
      <c r="M1858" s="6">
        <v>2059589</v>
      </c>
      <c r="N1858" s="42"/>
      <c r="O1858" s="42"/>
      <c r="P1858" s="42"/>
      <c r="Q1858" s="42"/>
      <c r="R1858" s="42"/>
      <c r="T1858" s="42">
        <v>477163</v>
      </c>
    </row>
    <row r="1859" spans="1:20" x14ac:dyDescent="0.3">
      <c r="A1859" s="7">
        <v>43445</v>
      </c>
      <c r="B1859" s="7"/>
      <c r="C1859" s="6">
        <v>148414</v>
      </c>
      <c r="D1859" s="6">
        <v>255703</v>
      </c>
      <c r="E1859" s="6">
        <v>161530</v>
      </c>
      <c r="F1859" s="14">
        <v>613745</v>
      </c>
      <c r="G1859" s="6">
        <v>213055</v>
      </c>
      <c r="H1859" s="6">
        <v>62587</v>
      </c>
      <c r="I1859" s="6">
        <v>81518</v>
      </c>
      <c r="J1859" s="6">
        <v>208742</v>
      </c>
      <c r="K1859" s="6">
        <v>402250</v>
      </c>
      <c r="L1859" s="6">
        <v>174071</v>
      </c>
      <c r="M1859" s="6">
        <v>2050634</v>
      </c>
      <c r="N1859" s="42"/>
      <c r="O1859" s="42"/>
      <c r="P1859" s="42"/>
      <c r="Q1859" s="42"/>
      <c r="R1859" s="42"/>
      <c r="T1859" s="42">
        <v>470643</v>
      </c>
    </row>
    <row r="1860" spans="1:20" x14ac:dyDescent="0.3">
      <c r="A1860" s="7">
        <v>43444</v>
      </c>
      <c r="B1860" s="7"/>
      <c r="C1860" s="6">
        <v>144877</v>
      </c>
      <c r="D1860" s="6">
        <v>257611</v>
      </c>
      <c r="E1860" s="6">
        <v>163651</v>
      </c>
      <c r="F1860" s="14">
        <v>582854</v>
      </c>
      <c r="G1860" s="6">
        <v>216879</v>
      </c>
      <c r="H1860" s="6">
        <v>56874</v>
      </c>
      <c r="I1860" s="6">
        <v>81299</v>
      </c>
      <c r="J1860" s="6">
        <v>208985</v>
      </c>
      <c r="K1860" s="6">
        <v>403733</v>
      </c>
      <c r="L1860" s="6">
        <v>176464</v>
      </c>
      <c r="M1860" s="6">
        <v>2054066</v>
      </c>
      <c r="N1860" s="42"/>
      <c r="O1860" s="42"/>
      <c r="P1860" s="42"/>
      <c r="Q1860" s="42"/>
      <c r="R1860" s="42"/>
      <c r="T1860" s="42">
        <v>472008</v>
      </c>
    </row>
    <row r="1861" spans="1:20" x14ac:dyDescent="0.3">
      <c r="A1861" s="7">
        <v>43441</v>
      </c>
      <c r="B1861" s="7"/>
      <c r="C1861" s="6">
        <v>145404</v>
      </c>
      <c r="D1861" s="6">
        <v>236723</v>
      </c>
      <c r="E1861" s="6">
        <v>154455</v>
      </c>
      <c r="F1861" s="14">
        <v>540050</v>
      </c>
      <c r="G1861" s="6">
        <v>220965</v>
      </c>
      <c r="H1861" s="6">
        <v>54684</v>
      </c>
      <c r="I1861" s="6">
        <v>78562</v>
      </c>
      <c r="J1861" s="6">
        <v>210538</v>
      </c>
      <c r="K1861" s="6">
        <v>407685</v>
      </c>
      <c r="L1861" s="6">
        <v>179473</v>
      </c>
      <c r="M1861" s="6">
        <v>2063691</v>
      </c>
      <c r="N1861" s="42"/>
      <c r="O1861" s="42"/>
      <c r="P1861" s="42"/>
      <c r="Q1861" s="42"/>
      <c r="R1861" s="42"/>
      <c r="T1861" s="42">
        <v>466590</v>
      </c>
    </row>
    <row r="1862" spans="1:20" x14ac:dyDescent="0.3">
      <c r="A1862" s="7">
        <v>43440</v>
      </c>
      <c r="B1862" s="7"/>
      <c r="C1862" s="6">
        <v>142971</v>
      </c>
      <c r="D1862" s="6">
        <v>237614</v>
      </c>
      <c r="E1862" s="6">
        <v>161953</v>
      </c>
      <c r="F1862" s="14">
        <v>535869</v>
      </c>
      <c r="G1862" s="6">
        <v>226141</v>
      </c>
      <c r="H1862" s="6">
        <v>54087</v>
      </c>
      <c r="I1862" s="6">
        <v>78635</v>
      </c>
      <c r="J1862" s="6">
        <v>214244</v>
      </c>
      <c r="K1862" s="6">
        <v>396818</v>
      </c>
      <c r="L1862" s="6">
        <v>178358</v>
      </c>
      <c r="M1862" s="6">
        <v>2056566</v>
      </c>
      <c r="N1862" s="42"/>
      <c r="O1862" s="42"/>
      <c r="P1862" s="42"/>
      <c r="Q1862" s="42"/>
      <c r="R1862" s="42"/>
      <c r="T1862" s="42">
        <v>469067</v>
      </c>
    </row>
    <row r="1863" spans="1:20" x14ac:dyDescent="0.3">
      <c r="A1863" s="7">
        <v>43439</v>
      </c>
      <c r="B1863" s="7"/>
      <c r="C1863" s="6">
        <v>148158</v>
      </c>
      <c r="D1863" s="6">
        <v>235336</v>
      </c>
      <c r="E1863" s="6">
        <v>163036</v>
      </c>
      <c r="F1863" s="14">
        <v>535856</v>
      </c>
      <c r="G1863" s="6">
        <v>224873</v>
      </c>
      <c r="H1863" s="6">
        <v>55913</v>
      </c>
      <c r="I1863" s="6">
        <v>78929</v>
      </c>
      <c r="J1863" s="6">
        <v>215547</v>
      </c>
      <c r="K1863" s="6">
        <v>396014</v>
      </c>
      <c r="L1863" s="6">
        <v>178543</v>
      </c>
      <c r="M1863" s="6">
        <v>2048577</v>
      </c>
      <c r="N1863" s="42"/>
      <c r="O1863" s="42"/>
      <c r="P1863" s="42"/>
      <c r="Q1863" s="42"/>
      <c r="R1863" s="42"/>
      <c r="T1863" s="42">
        <v>468029</v>
      </c>
    </row>
    <row r="1864" spans="1:20" x14ac:dyDescent="0.3">
      <c r="A1864" s="7">
        <v>43438</v>
      </c>
      <c r="B1864" s="7"/>
      <c r="C1864" s="6">
        <v>148755</v>
      </c>
      <c r="D1864" s="6">
        <v>235704</v>
      </c>
      <c r="E1864" s="6">
        <v>156750</v>
      </c>
      <c r="F1864" s="14">
        <v>545537</v>
      </c>
      <c r="G1864" s="6">
        <v>226835</v>
      </c>
      <c r="H1864" s="6">
        <v>56348</v>
      </c>
      <c r="I1864" s="6">
        <v>79008</v>
      </c>
      <c r="J1864" s="6">
        <v>216791</v>
      </c>
      <c r="K1864" s="6">
        <v>399919</v>
      </c>
      <c r="L1864" s="6">
        <v>179909</v>
      </c>
      <c r="M1864" s="6">
        <v>2048735</v>
      </c>
      <c r="N1864" s="42"/>
      <c r="O1864" s="42"/>
      <c r="P1864" s="42"/>
      <c r="Q1864" s="42"/>
      <c r="R1864" s="42"/>
      <c r="T1864" s="42">
        <v>471195</v>
      </c>
    </row>
    <row r="1865" spans="1:20" x14ac:dyDescent="0.3">
      <c r="A1865" s="7">
        <v>43437</v>
      </c>
      <c r="B1865" s="7"/>
      <c r="C1865" s="6">
        <v>147810</v>
      </c>
      <c r="D1865" s="6">
        <v>236144</v>
      </c>
      <c r="E1865" s="6">
        <v>151687</v>
      </c>
      <c r="F1865" s="14">
        <v>547324</v>
      </c>
      <c r="G1865" s="6">
        <v>223343</v>
      </c>
      <c r="H1865" s="6">
        <v>55498</v>
      </c>
      <c r="I1865" s="6">
        <v>78233</v>
      </c>
      <c r="J1865" s="6">
        <v>219088</v>
      </c>
      <c r="K1865" s="6">
        <v>395798</v>
      </c>
      <c r="L1865" s="6">
        <v>180737</v>
      </c>
      <c r="M1865" s="6">
        <v>2037609</v>
      </c>
      <c r="N1865" s="42"/>
      <c r="O1865" s="42"/>
      <c r="P1865" s="42"/>
      <c r="Q1865" s="42"/>
      <c r="R1865" s="42"/>
      <c r="T1865" s="42">
        <v>470762</v>
      </c>
    </row>
    <row r="1866" spans="1:20" x14ac:dyDescent="0.3">
      <c r="A1866" s="7">
        <v>43434</v>
      </c>
      <c r="B1866" s="7"/>
      <c r="C1866" s="6">
        <v>142496</v>
      </c>
      <c r="D1866" s="6">
        <v>230101</v>
      </c>
      <c r="E1866" s="6">
        <v>150617</v>
      </c>
      <c r="F1866" s="14">
        <v>551330</v>
      </c>
      <c r="G1866" s="6">
        <v>225176</v>
      </c>
      <c r="H1866" s="6">
        <v>54967</v>
      </c>
      <c r="I1866" s="6">
        <v>78671</v>
      </c>
      <c r="J1866" s="6">
        <v>214885</v>
      </c>
      <c r="K1866" s="6">
        <v>388910</v>
      </c>
      <c r="L1866" s="6">
        <v>184565</v>
      </c>
      <c r="M1866" s="6">
        <v>2046537</v>
      </c>
      <c r="N1866" s="42"/>
      <c r="O1866" s="42"/>
      <c r="P1866" s="42"/>
      <c r="Q1866" s="42"/>
      <c r="R1866" s="42"/>
      <c r="T1866" s="42">
        <v>472227</v>
      </c>
    </row>
    <row r="1867" spans="1:20" x14ac:dyDescent="0.3">
      <c r="A1867" s="7">
        <v>43433</v>
      </c>
      <c r="B1867" s="7"/>
      <c r="C1867" s="6">
        <v>143641</v>
      </c>
      <c r="D1867" s="6">
        <v>230170</v>
      </c>
      <c r="E1867" s="6">
        <v>142639</v>
      </c>
      <c r="F1867" s="14">
        <v>540778</v>
      </c>
      <c r="G1867" s="6">
        <v>224721</v>
      </c>
      <c r="H1867" s="6">
        <v>55479</v>
      </c>
      <c r="I1867" s="6">
        <v>77908</v>
      </c>
      <c r="J1867" s="6">
        <v>217762</v>
      </c>
      <c r="K1867" s="6">
        <v>390899</v>
      </c>
      <c r="L1867" s="6">
        <v>184699</v>
      </c>
      <c r="M1867" s="6">
        <v>2037138</v>
      </c>
      <c r="N1867" s="42"/>
      <c r="O1867" s="42"/>
      <c r="P1867" s="42"/>
      <c r="Q1867" s="42"/>
      <c r="R1867" s="42"/>
      <c r="T1867" s="42">
        <v>477594</v>
      </c>
    </row>
    <row r="1868" spans="1:20" x14ac:dyDescent="0.3">
      <c r="A1868" s="7">
        <v>43432</v>
      </c>
      <c r="B1868" s="7"/>
      <c r="C1868" s="6">
        <v>145234</v>
      </c>
      <c r="D1868" s="6">
        <v>228970</v>
      </c>
      <c r="E1868" s="6">
        <v>142122</v>
      </c>
      <c r="F1868" s="14">
        <v>543347</v>
      </c>
      <c r="G1868" s="6">
        <v>230366</v>
      </c>
      <c r="H1868" s="6">
        <v>54995</v>
      </c>
      <c r="I1868" s="6">
        <v>77826</v>
      </c>
      <c r="J1868" s="6">
        <v>221965</v>
      </c>
      <c r="K1868" s="6">
        <v>418862</v>
      </c>
      <c r="L1868" s="6">
        <v>190258</v>
      </c>
      <c r="M1868" s="6">
        <v>2031536</v>
      </c>
      <c r="N1868" s="42"/>
      <c r="O1868" s="42"/>
      <c r="P1868" s="42"/>
      <c r="Q1868" s="42"/>
      <c r="R1868" s="42"/>
      <c r="T1868" s="42">
        <v>471992</v>
      </c>
    </row>
    <row r="1869" spans="1:20" x14ac:dyDescent="0.3">
      <c r="A1869" s="7">
        <v>43431</v>
      </c>
      <c r="B1869" s="7"/>
      <c r="C1869" s="6">
        <v>136796</v>
      </c>
      <c r="D1869" s="6">
        <v>227895</v>
      </c>
      <c r="E1869" s="6">
        <v>145122</v>
      </c>
      <c r="F1869" s="14">
        <v>538454</v>
      </c>
      <c r="G1869" s="6">
        <v>231711</v>
      </c>
      <c r="H1869" s="6">
        <v>54184</v>
      </c>
      <c r="I1869" s="6">
        <v>78973</v>
      </c>
      <c r="J1869" s="6">
        <v>220177</v>
      </c>
      <c r="K1869" s="6">
        <v>442801</v>
      </c>
      <c r="L1869" s="6">
        <v>199783</v>
      </c>
      <c r="M1869" s="6">
        <v>2020092</v>
      </c>
      <c r="N1869" s="42"/>
      <c r="O1869" s="42"/>
      <c r="P1869" s="42"/>
      <c r="Q1869" s="42"/>
      <c r="R1869" s="42"/>
      <c r="T1869" s="42"/>
    </row>
    <row r="1870" spans="1:20" x14ac:dyDescent="0.3">
      <c r="A1870" s="7">
        <v>43430</v>
      </c>
      <c r="B1870" s="7"/>
      <c r="C1870" s="6">
        <v>138326</v>
      </c>
      <c r="D1870" s="6">
        <v>226976</v>
      </c>
      <c r="E1870" s="6">
        <v>140292</v>
      </c>
      <c r="F1870" s="14">
        <v>534441</v>
      </c>
      <c r="G1870" s="6">
        <v>229688</v>
      </c>
      <c r="H1870" s="6">
        <v>53588</v>
      </c>
      <c r="I1870" s="6">
        <v>80302</v>
      </c>
      <c r="J1870" s="6">
        <v>225267</v>
      </c>
      <c r="K1870" s="6">
        <v>462033</v>
      </c>
      <c r="L1870" s="6">
        <v>201304</v>
      </c>
      <c r="M1870" s="6">
        <v>2015783</v>
      </c>
      <c r="N1870" s="42"/>
      <c r="O1870" s="42"/>
      <c r="P1870" s="42"/>
      <c r="Q1870" s="42"/>
      <c r="R1870" s="42"/>
      <c r="T1870" s="42"/>
    </row>
    <row r="1871" spans="1:20" x14ac:dyDescent="0.3">
      <c r="A1871" s="7">
        <v>43427</v>
      </c>
      <c r="B1871" s="7"/>
      <c r="C1871" s="6">
        <v>139557</v>
      </c>
      <c r="D1871" s="6">
        <v>226971</v>
      </c>
      <c r="E1871" s="6">
        <v>141460</v>
      </c>
      <c r="F1871" s="14">
        <v>535117</v>
      </c>
      <c r="G1871" s="6">
        <v>223485</v>
      </c>
      <c r="H1871" s="6">
        <v>53458</v>
      </c>
      <c r="I1871" s="6">
        <v>80642</v>
      </c>
      <c r="J1871" s="6">
        <v>226226</v>
      </c>
      <c r="K1871" s="6">
        <v>508842</v>
      </c>
      <c r="L1871" s="6">
        <v>209427</v>
      </c>
      <c r="M1871" s="6">
        <v>2016420</v>
      </c>
      <c r="N1871" s="42"/>
      <c r="O1871" s="42"/>
      <c r="P1871" s="42"/>
      <c r="Q1871" s="42"/>
      <c r="R1871" s="42"/>
      <c r="T1871" s="42"/>
    </row>
    <row r="1872" spans="1:20" x14ac:dyDescent="0.3">
      <c r="A1872" s="7">
        <v>43425</v>
      </c>
      <c r="B1872" s="7"/>
      <c r="C1872" s="6">
        <v>141088</v>
      </c>
      <c r="D1872" s="6">
        <v>226932</v>
      </c>
      <c r="E1872" s="6">
        <v>140448</v>
      </c>
      <c r="F1872" s="14">
        <v>533249</v>
      </c>
      <c r="G1872" s="6">
        <v>224244</v>
      </c>
      <c r="H1872" s="6">
        <v>53638</v>
      </c>
      <c r="I1872" s="6">
        <v>80885</v>
      </c>
      <c r="J1872" s="6">
        <v>225063</v>
      </c>
      <c r="K1872" s="6">
        <v>521259</v>
      </c>
      <c r="L1872" s="6">
        <v>216066</v>
      </c>
      <c r="M1872" s="6">
        <v>1992533</v>
      </c>
      <c r="N1872" s="42"/>
      <c r="O1872" s="42"/>
      <c r="P1872" s="42"/>
      <c r="Q1872" s="42"/>
      <c r="R1872" s="42"/>
      <c r="T1872" s="42"/>
    </row>
    <row r="1873" spans="1:20" x14ac:dyDescent="0.3">
      <c r="A1873" s="7">
        <v>43424</v>
      </c>
      <c r="B1873" s="7"/>
      <c r="C1873" s="6">
        <v>142245</v>
      </c>
      <c r="D1873" s="6">
        <v>228327</v>
      </c>
      <c r="E1873" s="6">
        <v>140651</v>
      </c>
      <c r="F1873" s="14">
        <v>540869</v>
      </c>
      <c r="G1873" s="6">
        <v>223692</v>
      </c>
      <c r="H1873" s="6">
        <v>53661</v>
      </c>
      <c r="I1873" s="6">
        <v>81100</v>
      </c>
      <c r="J1873" s="6">
        <v>229249</v>
      </c>
      <c r="K1873" s="6">
        <v>525940</v>
      </c>
      <c r="L1873" s="6">
        <v>223049</v>
      </c>
      <c r="M1873" s="6">
        <v>1998866</v>
      </c>
      <c r="N1873" s="42"/>
      <c r="O1873" s="42"/>
      <c r="Q1873" s="42"/>
      <c r="R1873" s="42"/>
      <c r="T1873" s="42"/>
    </row>
    <row r="1874" spans="1:20" x14ac:dyDescent="0.3">
      <c r="A1874" s="7">
        <v>43423</v>
      </c>
      <c r="B1874" s="7"/>
      <c r="C1874" s="6">
        <v>147700</v>
      </c>
      <c r="D1874" s="6">
        <v>228781</v>
      </c>
      <c r="E1874" s="6">
        <v>134432</v>
      </c>
      <c r="F1874" s="14">
        <v>525858</v>
      </c>
      <c r="G1874" s="6">
        <v>226674</v>
      </c>
      <c r="H1874" s="6">
        <v>53919</v>
      </c>
      <c r="I1874" s="6">
        <v>78576</v>
      </c>
      <c r="J1874" s="6">
        <v>232636</v>
      </c>
      <c r="K1874" s="6">
        <v>523490</v>
      </c>
      <c r="L1874" s="6">
        <v>222953</v>
      </c>
      <c r="M1874" s="6">
        <v>1976725</v>
      </c>
      <c r="N1874" s="42"/>
      <c r="O1874" s="42"/>
      <c r="T1874" s="42"/>
    </row>
    <row r="1875" spans="1:20" x14ac:dyDescent="0.3">
      <c r="A1875" s="7">
        <v>43420</v>
      </c>
      <c r="B1875" s="7"/>
      <c r="C1875" s="6">
        <v>149638</v>
      </c>
      <c r="D1875" s="6">
        <v>228571</v>
      </c>
      <c r="E1875" s="6">
        <v>132197</v>
      </c>
      <c r="F1875" s="14">
        <v>532883</v>
      </c>
      <c r="G1875" s="6">
        <v>224978</v>
      </c>
      <c r="H1875" s="6">
        <v>53113</v>
      </c>
      <c r="I1875" s="6">
        <v>76844</v>
      </c>
      <c r="J1875" s="6">
        <v>238118</v>
      </c>
      <c r="K1875" s="6">
        <v>528149</v>
      </c>
      <c r="L1875" s="6">
        <v>224619</v>
      </c>
      <c r="M1875" s="6">
        <v>1997219</v>
      </c>
      <c r="N1875" s="42"/>
      <c r="O1875" s="42"/>
      <c r="T1875" s="42"/>
    </row>
    <row r="1876" spans="1:20" x14ac:dyDescent="0.3">
      <c r="A1876" s="7">
        <v>43419</v>
      </c>
      <c r="B1876" s="7"/>
      <c r="C1876" s="6">
        <v>148940</v>
      </c>
      <c r="D1876" s="6">
        <v>230425</v>
      </c>
      <c r="E1876" s="6">
        <v>126211</v>
      </c>
      <c r="F1876" s="14">
        <v>526728</v>
      </c>
      <c r="G1876" s="6">
        <v>228117</v>
      </c>
      <c r="H1876" s="6">
        <v>51975</v>
      </c>
      <c r="I1876" s="6">
        <v>78037</v>
      </c>
      <c r="J1876" s="6">
        <v>241302</v>
      </c>
      <c r="K1876" s="6">
        <v>532702</v>
      </c>
      <c r="L1876" s="6">
        <v>224864</v>
      </c>
      <c r="M1876" s="6">
        <v>2026511</v>
      </c>
      <c r="N1876" s="42"/>
      <c r="O1876" s="42"/>
      <c r="T1876" s="42"/>
    </row>
    <row r="1877" spans="1:20" x14ac:dyDescent="0.3">
      <c r="A1877" s="7">
        <v>43418</v>
      </c>
      <c r="B1877" s="7"/>
      <c r="C1877" s="6">
        <v>147016</v>
      </c>
      <c r="D1877" s="6">
        <v>227874</v>
      </c>
      <c r="E1877" s="6">
        <v>124968</v>
      </c>
      <c r="F1877" s="14">
        <v>521343</v>
      </c>
      <c r="G1877" s="6">
        <v>232043</v>
      </c>
      <c r="H1877" s="6">
        <v>50545</v>
      </c>
      <c r="I1877" s="6">
        <v>77344</v>
      </c>
      <c r="J1877" s="6">
        <v>242822</v>
      </c>
      <c r="K1877" s="6">
        <v>535927</v>
      </c>
      <c r="L1877" s="6">
        <v>224372</v>
      </c>
      <c r="M1877" s="6">
        <v>2032833</v>
      </c>
      <c r="N1877" s="42"/>
      <c r="O1877" s="42"/>
      <c r="T1877" s="42"/>
    </row>
    <row r="1878" spans="1:20" x14ac:dyDescent="0.3">
      <c r="A1878" s="7">
        <v>43417</v>
      </c>
      <c r="B1878" s="7"/>
      <c r="C1878" s="6">
        <v>146295</v>
      </c>
      <c r="D1878" s="6">
        <v>229052</v>
      </c>
      <c r="E1878" s="6">
        <v>121999</v>
      </c>
      <c r="F1878" s="14">
        <v>520240</v>
      </c>
      <c r="G1878" s="6">
        <v>231730</v>
      </c>
      <c r="H1878" s="6">
        <v>50015</v>
      </c>
      <c r="I1878" s="6">
        <v>77629</v>
      </c>
      <c r="J1878" s="6">
        <v>241052</v>
      </c>
      <c r="K1878" s="6">
        <v>539520</v>
      </c>
      <c r="L1878" s="6">
        <v>224346</v>
      </c>
      <c r="M1878" s="6">
        <v>2110793</v>
      </c>
      <c r="N1878" s="42"/>
      <c r="O1878" s="42"/>
      <c r="T1878" s="42"/>
    </row>
    <row r="1879" spans="1:20" x14ac:dyDescent="0.3">
      <c r="A1879" s="7">
        <v>43416</v>
      </c>
      <c r="B1879" s="7"/>
      <c r="C1879" s="6">
        <v>147635</v>
      </c>
      <c r="D1879" s="6">
        <v>226704</v>
      </c>
      <c r="E1879" s="6">
        <v>122039</v>
      </c>
      <c r="F1879" s="14">
        <v>523432</v>
      </c>
      <c r="G1879" s="6">
        <v>230569</v>
      </c>
      <c r="H1879" s="6">
        <v>50321</v>
      </c>
      <c r="I1879" s="6">
        <v>79111</v>
      </c>
      <c r="J1879" s="6">
        <v>238239</v>
      </c>
      <c r="K1879" s="6">
        <v>521384</v>
      </c>
      <c r="L1879" s="6">
        <v>219949</v>
      </c>
      <c r="M1879" s="6">
        <v>2086941</v>
      </c>
      <c r="N1879" s="42"/>
      <c r="O1879" s="42"/>
      <c r="T1879" s="42"/>
    </row>
    <row r="1880" spans="1:20" x14ac:dyDescent="0.3">
      <c r="A1880" s="7">
        <v>43413</v>
      </c>
      <c r="B1880" s="7"/>
      <c r="C1880" s="6">
        <v>149484</v>
      </c>
      <c r="D1880" s="6">
        <v>222515</v>
      </c>
      <c r="E1880" s="6">
        <v>121813</v>
      </c>
      <c r="F1880" s="14">
        <v>526586</v>
      </c>
      <c r="G1880" s="6">
        <v>223726</v>
      </c>
      <c r="H1880" s="6">
        <v>49913</v>
      </c>
      <c r="I1880" s="6">
        <v>78641</v>
      </c>
      <c r="J1880" s="6">
        <v>234220</v>
      </c>
      <c r="K1880" s="6">
        <v>508800</v>
      </c>
      <c r="L1880" s="6">
        <v>217842</v>
      </c>
      <c r="M1880" s="6">
        <v>2084493</v>
      </c>
      <c r="N1880" s="42"/>
      <c r="O1880" s="42"/>
      <c r="T1880" s="42"/>
    </row>
    <row r="1881" spans="1:20" x14ac:dyDescent="0.3">
      <c r="A1881" s="7">
        <v>43412</v>
      </c>
      <c r="B1881" s="7"/>
      <c r="C1881" s="6">
        <v>151222</v>
      </c>
      <c r="D1881" s="6">
        <v>223080</v>
      </c>
      <c r="E1881" s="6">
        <v>120819</v>
      </c>
      <c r="F1881" s="14">
        <v>520661</v>
      </c>
      <c r="G1881" s="6">
        <v>221680</v>
      </c>
      <c r="H1881" s="6">
        <v>50500</v>
      </c>
      <c r="I1881" s="6">
        <v>77204</v>
      </c>
      <c r="J1881" s="6">
        <v>242587</v>
      </c>
      <c r="K1881" s="6">
        <v>499905</v>
      </c>
      <c r="L1881" s="6">
        <v>211956</v>
      </c>
      <c r="M1881" s="6">
        <v>2089503</v>
      </c>
      <c r="N1881" s="42"/>
      <c r="O1881" s="42"/>
      <c r="T1881" s="42"/>
    </row>
    <row r="1882" spans="1:20" x14ac:dyDescent="0.3">
      <c r="A1882" s="7">
        <v>43411</v>
      </c>
      <c r="B1882" s="7"/>
      <c r="C1882" s="6">
        <v>152222</v>
      </c>
      <c r="D1882" s="6">
        <v>223399</v>
      </c>
      <c r="E1882" s="6">
        <v>116794</v>
      </c>
      <c r="F1882" s="14">
        <v>519591</v>
      </c>
      <c r="G1882" s="6">
        <v>214360</v>
      </c>
      <c r="H1882" s="6">
        <v>49933</v>
      </c>
      <c r="I1882" s="6">
        <v>76450</v>
      </c>
      <c r="J1882" s="6">
        <v>245006</v>
      </c>
      <c r="K1882" s="6">
        <v>496361</v>
      </c>
      <c r="L1882" s="6">
        <v>214502</v>
      </c>
      <c r="M1882" s="6">
        <v>2084920</v>
      </c>
      <c r="N1882" s="42"/>
      <c r="O1882" s="42"/>
      <c r="T1882" s="42"/>
    </row>
    <row r="1883" spans="1:20" x14ac:dyDescent="0.3">
      <c r="A1883" s="7">
        <v>43410</v>
      </c>
      <c r="B1883" s="7"/>
      <c r="C1883" s="6">
        <v>150565</v>
      </c>
      <c r="D1883" s="6">
        <v>227514</v>
      </c>
      <c r="E1883" s="6">
        <v>116284</v>
      </c>
      <c r="F1883" s="14">
        <v>510193</v>
      </c>
      <c r="G1883" s="6">
        <v>209453</v>
      </c>
      <c r="H1883" s="6">
        <v>51288</v>
      </c>
      <c r="I1883" s="6">
        <v>77205</v>
      </c>
      <c r="J1883" s="6">
        <v>247313</v>
      </c>
      <c r="K1883" s="6">
        <v>494911</v>
      </c>
      <c r="L1883" s="6">
        <v>213566</v>
      </c>
      <c r="M1883" s="6">
        <v>2075239</v>
      </c>
      <c r="N1883" s="42"/>
      <c r="O1883" s="42"/>
      <c r="T1883" s="42"/>
    </row>
    <row r="1884" spans="1:20" x14ac:dyDescent="0.3">
      <c r="A1884" s="7">
        <v>43409</v>
      </c>
      <c r="B1884" s="7"/>
      <c r="C1884" s="6">
        <v>150767</v>
      </c>
      <c r="D1884" s="6">
        <v>227401</v>
      </c>
      <c r="E1884" s="6">
        <v>116731</v>
      </c>
      <c r="F1884" s="14">
        <v>509792</v>
      </c>
      <c r="G1884" s="6">
        <v>202601</v>
      </c>
      <c r="H1884" s="6">
        <v>52492</v>
      </c>
      <c r="I1884" s="6">
        <v>77367</v>
      </c>
      <c r="J1884" s="6">
        <v>249462</v>
      </c>
      <c r="K1884" s="6">
        <v>488658</v>
      </c>
      <c r="L1884" s="6">
        <v>212947</v>
      </c>
      <c r="M1884" s="6">
        <v>2062469</v>
      </c>
      <c r="N1884" s="42"/>
      <c r="O1884" s="42"/>
      <c r="T1884" s="42"/>
    </row>
    <row r="1885" spans="1:20" x14ac:dyDescent="0.3">
      <c r="A1885" s="7">
        <v>43406</v>
      </c>
      <c r="B1885" s="7"/>
      <c r="C1885" s="6">
        <v>153819</v>
      </c>
      <c r="D1885" s="6">
        <v>230306</v>
      </c>
      <c r="E1885" s="6">
        <v>117399</v>
      </c>
      <c r="F1885" s="14">
        <v>503284</v>
      </c>
      <c r="G1885" s="6">
        <v>203100</v>
      </c>
      <c r="H1885" s="6">
        <v>54154</v>
      </c>
      <c r="I1885" s="6">
        <v>75722</v>
      </c>
      <c r="J1885" s="6">
        <v>254066</v>
      </c>
      <c r="K1885" s="6">
        <v>490218</v>
      </c>
      <c r="L1885" s="6">
        <v>211291</v>
      </c>
      <c r="M1885" s="6">
        <v>2080853</v>
      </c>
      <c r="N1885" s="42"/>
      <c r="O1885" s="42"/>
      <c r="T1885" s="42"/>
    </row>
    <row r="1886" spans="1:20" x14ac:dyDescent="0.3">
      <c r="A1886" s="7">
        <v>43405</v>
      </c>
      <c r="B1886" s="7"/>
      <c r="C1886" s="6">
        <v>159479</v>
      </c>
      <c r="D1886" s="6">
        <v>236267</v>
      </c>
      <c r="E1886" s="6">
        <v>118068</v>
      </c>
      <c r="F1886" s="14">
        <v>506100</v>
      </c>
      <c r="G1886" s="6">
        <v>202341</v>
      </c>
      <c r="H1886" s="6">
        <v>58182</v>
      </c>
      <c r="I1886" s="6">
        <v>74279</v>
      </c>
      <c r="J1886" s="6">
        <v>254615</v>
      </c>
      <c r="K1886" s="6">
        <v>491131</v>
      </c>
      <c r="L1886" s="6">
        <v>211565</v>
      </c>
      <c r="M1886" s="6">
        <v>2079404</v>
      </c>
      <c r="N1886" s="42"/>
      <c r="O1886" s="42"/>
      <c r="T1886" s="42"/>
    </row>
    <row r="1887" spans="1:20" x14ac:dyDescent="0.3">
      <c r="A1887" s="7">
        <v>43404</v>
      </c>
      <c r="B1887" s="7"/>
      <c r="C1887" s="6">
        <v>159519</v>
      </c>
      <c r="D1887" s="6">
        <v>228730</v>
      </c>
      <c r="E1887" s="6">
        <v>119905</v>
      </c>
      <c r="F1887" s="14">
        <v>506103</v>
      </c>
      <c r="G1887" s="6">
        <v>205120</v>
      </c>
      <c r="H1887" s="6">
        <v>58580</v>
      </c>
      <c r="I1887" s="6">
        <v>75962</v>
      </c>
      <c r="J1887" s="6">
        <v>259014</v>
      </c>
      <c r="K1887" s="6">
        <v>491511</v>
      </c>
      <c r="L1887" s="6">
        <v>211846</v>
      </c>
      <c r="M1887" s="6">
        <v>2082032</v>
      </c>
      <c r="N1887" s="42"/>
      <c r="O1887" s="42"/>
      <c r="T1887" s="42"/>
    </row>
    <row r="1888" spans="1:20" x14ac:dyDescent="0.3">
      <c r="A1888" s="7">
        <v>43403</v>
      </c>
      <c r="B1888" s="7"/>
      <c r="C1888" s="6">
        <v>164840</v>
      </c>
      <c r="D1888" s="6">
        <v>233339</v>
      </c>
      <c r="E1888" s="6">
        <v>118508</v>
      </c>
      <c r="F1888" s="14">
        <v>504458</v>
      </c>
      <c r="G1888" s="6">
        <v>203113</v>
      </c>
      <c r="H1888" s="6">
        <v>59718</v>
      </c>
      <c r="I1888" s="6">
        <v>75835</v>
      </c>
      <c r="J1888" s="6">
        <v>256266</v>
      </c>
      <c r="K1888" s="6">
        <v>474941</v>
      </c>
      <c r="L1888" s="6">
        <v>208976</v>
      </c>
      <c r="M1888" s="6">
        <v>2093055</v>
      </c>
      <c r="N1888" s="42"/>
      <c r="O1888" s="42"/>
      <c r="T1888" s="42"/>
    </row>
    <row r="1889" spans="1:20" x14ac:dyDescent="0.3">
      <c r="A1889" s="7">
        <v>43402</v>
      </c>
      <c r="B1889" s="7"/>
      <c r="C1889" s="6">
        <v>162041</v>
      </c>
      <c r="D1889" s="6">
        <v>227152</v>
      </c>
      <c r="E1889" s="6">
        <v>117325</v>
      </c>
      <c r="F1889" s="14">
        <v>506887</v>
      </c>
      <c r="G1889" s="6">
        <v>204890</v>
      </c>
      <c r="H1889" s="6">
        <v>59043</v>
      </c>
      <c r="I1889" s="6">
        <v>74344</v>
      </c>
      <c r="J1889" s="6">
        <v>251787</v>
      </c>
      <c r="K1889" s="6">
        <v>481636</v>
      </c>
      <c r="L1889" s="6">
        <v>209556</v>
      </c>
      <c r="M1889" s="6">
        <v>2098158</v>
      </c>
      <c r="T1889" s="42"/>
    </row>
    <row r="1890" spans="1:20" x14ac:dyDescent="0.3">
      <c r="A1890" s="7">
        <v>43399</v>
      </c>
      <c r="B1890" s="7"/>
      <c r="C1890" s="6">
        <v>163378</v>
      </c>
      <c r="D1890" s="6">
        <v>228176</v>
      </c>
      <c r="E1890" s="6">
        <v>117833</v>
      </c>
      <c r="F1890" s="14">
        <v>504741</v>
      </c>
      <c r="G1890" s="6">
        <v>205305</v>
      </c>
      <c r="H1890" s="6">
        <v>59500</v>
      </c>
      <c r="I1890" s="6">
        <v>74450</v>
      </c>
      <c r="J1890" s="6">
        <v>251432</v>
      </c>
      <c r="K1890" s="6">
        <v>488496</v>
      </c>
      <c r="L1890" s="6">
        <v>205643</v>
      </c>
      <c r="M1890" s="6">
        <v>2102836</v>
      </c>
      <c r="T1890" s="42"/>
    </row>
    <row r="1891" spans="1:20" x14ac:dyDescent="0.3">
      <c r="A1891" s="7">
        <v>43398</v>
      </c>
      <c r="B1891" s="7"/>
      <c r="C1891" s="6">
        <v>159800</v>
      </c>
      <c r="D1891" s="6">
        <v>226814</v>
      </c>
      <c r="E1891" s="6">
        <v>117571</v>
      </c>
      <c r="F1891" s="14">
        <v>505928</v>
      </c>
      <c r="G1891" s="6">
        <v>206621</v>
      </c>
      <c r="H1891" s="6">
        <v>58579</v>
      </c>
      <c r="I1891" s="6">
        <v>73523</v>
      </c>
      <c r="J1891" s="6">
        <v>248213</v>
      </c>
      <c r="K1891" s="6">
        <v>485222</v>
      </c>
      <c r="L1891" s="6">
        <v>204498</v>
      </c>
      <c r="M1891" s="6">
        <v>2110990</v>
      </c>
      <c r="T1891" s="42"/>
    </row>
    <row r="1892" spans="1:20" x14ac:dyDescent="0.3">
      <c r="A1892" s="7">
        <v>43397</v>
      </c>
      <c r="B1892" s="7"/>
      <c r="C1892" s="6">
        <v>158433</v>
      </c>
      <c r="D1892" s="6">
        <v>224134</v>
      </c>
      <c r="E1892" s="6">
        <v>116582</v>
      </c>
      <c r="F1892" s="14">
        <v>503791</v>
      </c>
      <c r="G1892" s="6">
        <v>204628</v>
      </c>
      <c r="H1892" s="6">
        <v>58283</v>
      </c>
      <c r="I1892" s="6">
        <v>73608</v>
      </c>
      <c r="J1892" s="6">
        <v>247422</v>
      </c>
      <c r="K1892" s="6">
        <v>475618</v>
      </c>
      <c r="L1892" s="6">
        <v>200743</v>
      </c>
      <c r="M1892" s="6">
        <v>2125059</v>
      </c>
      <c r="T1892" s="42"/>
    </row>
    <row r="1893" spans="1:20" x14ac:dyDescent="0.3">
      <c r="A1893" s="7">
        <v>43396</v>
      </c>
      <c r="B1893" s="7"/>
      <c r="C1893" s="6">
        <v>157539</v>
      </c>
      <c r="D1893" s="6">
        <v>221303</v>
      </c>
      <c r="E1893" s="6">
        <v>118053</v>
      </c>
      <c r="F1893" s="14">
        <v>489829</v>
      </c>
      <c r="G1893" s="6">
        <v>205643</v>
      </c>
      <c r="H1893" s="6">
        <v>58683</v>
      </c>
      <c r="I1893" s="6">
        <v>69685</v>
      </c>
      <c r="J1893" s="6">
        <v>246254</v>
      </c>
      <c r="K1893" s="6">
        <v>477832</v>
      </c>
      <c r="L1893" s="6">
        <v>199746</v>
      </c>
      <c r="M1893" s="6">
        <v>2131494</v>
      </c>
      <c r="T1893" s="42"/>
    </row>
    <row r="1894" spans="1:20" x14ac:dyDescent="0.3">
      <c r="A1894" s="7">
        <v>43395</v>
      </c>
      <c r="B1894" s="7"/>
      <c r="C1894" s="6">
        <v>158370</v>
      </c>
      <c r="D1894" s="6">
        <v>221391</v>
      </c>
      <c r="E1894" s="6">
        <v>117655</v>
      </c>
      <c r="F1894" s="14">
        <v>482735</v>
      </c>
      <c r="G1894" s="6">
        <v>207883</v>
      </c>
      <c r="H1894" s="6">
        <v>59592</v>
      </c>
      <c r="I1894" s="6">
        <v>68969</v>
      </c>
      <c r="J1894" s="6">
        <v>243650</v>
      </c>
      <c r="K1894" s="6">
        <v>472832</v>
      </c>
      <c r="L1894" s="6">
        <v>199544</v>
      </c>
      <c r="M1894" s="6">
        <v>2157759</v>
      </c>
      <c r="T1894" s="42"/>
    </row>
    <row r="1895" spans="1:20" x14ac:dyDescent="0.3">
      <c r="A1895" s="7">
        <v>43392</v>
      </c>
      <c r="B1895" s="7"/>
      <c r="C1895" s="6">
        <v>157133</v>
      </c>
      <c r="D1895" s="6">
        <v>216471</v>
      </c>
      <c r="E1895" s="6">
        <v>117268</v>
      </c>
      <c r="F1895" s="14">
        <v>478010</v>
      </c>
      <c r="G1895" s="6">
        <v>206788</v>
      </c>
      <c r="H1895" s="6">
        <v>60895</v>
      </c>
      <c r="I1895" s="6">
        <v>68775</v>
      </c>
      <c r="J1895" s="6">
        <v>241085</v>
      </c>
      <c r="K1895" s="6">
        <v>475077</v>
      </c>
      <c r="L1895" s="6">
        <v>197576</v>
      </c>
      <c r="M1895" s="6">
        <v>2171622</v>
      </c>
      <c r="T1895" s="42"/>
    </row>
    <row r="1896" spans="1:20" x14ac:dyDescent="0.3">
      <c r="A1896" s="7">
        <v>43391</v>
      </c>
      <c r="B1896" s="7"/>
      <c r="C1896" s="6">
        <v>156754</v>
      </c>
      <c r="D1896" s="6">
        <v>215233</v>
      </c>
      <c r="E1896" s="6">
        <v>117264</v>
      </c>
      <c r="F1896" s="14">
        <v>479817</v>
      </c>
      <c r="G1896" s="6">
        <v>208276</v>
      </c>
      <c r="H1896" s="6">
        <v>60683</v>
      </c>
      <c r="I1896" s="6">
        <v>68136</v>
      </c>
      <c r="J1896" s="6">
        <v>239235</v>
      </c>
      <c r="K1896" s="6">
        <v>472903</v>
      </c>
      <c r="L1896" s="6">
        <v>199051</v>
      </c>
      <c r="M1896" s="6">
        <v>2198650</v>
      </c>
      <c r="T1896" s="42"/>
    </row>
    <row r="1897" spans="1:20" x14ac:dyDescent="0.3">
      <c r="A1897" s="7">
        <v>43390</v>
      </c>
      <c r="B1897" s="7"/>
      <c r="C1897" s="6">
        <v>157275</v>
      </c>
      <c r="D1897" s="6">
        <v>210179</v>
      </c>
      <c r="E1897" s="6">
        <v>115695</v>
      </c>
      <c r="F1897" s="14">
        <v>474096</v>
      </c>
      <c r="G1897" s="6">
        <v>209620</v>
      </c>
      <c r="H1897" s="6">
        <v>61391</v>
      </c>
      <c r="I1897" s="6">
        <v>65881</v>
      </c>
      <c r="J1897" s="6">
        <v>237197</v>
      </c>
      <c r="K1897" s="6">
        <v>469297</v>
      </c>
      <c r="L1897" s="6">
        <v>198011</v>
      </c>
      <c r="M1897" s="6">
        <v>2194157</v>
      </c>
      <c r="T1897" s="42"/>
    </row>
    <row r="1898" spans="1:20" x14ac:dyDescent="0.3">
      <c r="A1898" s="7">
        <v>43389</v>
      </c>
      <c r="B1898" s="7"/>
      <c r="C1898" s="6">
        <v>156700</v>
      </c>
      <c r="D1898" s="6">
        <v>211137</v>
      </c>
      <c r="E1898" s="6">
        <v>115386</v>
      </c>
      <c r="F1898" s="14">
        <v>472878</v>
      </c>
      <c r="G1898" s="6">
        <v>211926</v>
      </c>
      <c r="H1898" s="6">
        <v>62490</v>
      </c>
      <c r="I1898" s="6">
        <v>64635</v>
      </c>
      <c r="J1898" s="6">
        <v>237336</v>
      </c>
      <c r="K1898" s="6">
        <v>474418</v>
      </c>
      <c r="L1898" s="6">
        <v>199398</v>
      </c>
      <c r="M1898" s="6">
        <v>2218887</v>
      </c>
      <c r="T1898" s="42"/>
    </row>
    <row r="1899" spans="1:20" x14ac:dyDescent="0.3">
      <c r="A1899" s="7">
        <v>43388</v>
      </c>
      <c r="B1899" s="7"/>
      <c r="C1899" s="6">
        <v>158860</v>
      </c>
      <c r="D1899" s="6">
        <v>209352</v>
      </c>
      <c r="E1899" s="6">
        <v>114104</v>
      </c>
      <c r="F1899" s="14">
        <v>474969</v>
      </c>
      <c r="G1899" s="6">
        <v>219370</v>
      </c>
      <c r="H1899" s="6">
        <v>62404</v>
      </c>
      <c r="I1899" s="6">
        <v>65298</v>
      </c>
      <c r="J1899" s="6">
        <v>236751</v>
      </c>
      <c r="K1899" s="6">
        <v>481088</v>
      </c>
      <c r="L1899" s="6">
        <v>199166</v>
      </c>
      <c r="M1899" s="6">
        <v>2220512</v>
      </c>
      <c r="T1899" s="42"/>
    </row>
    <row r="1900" spans="1:20" x14ac:dyDescent="0.3">
      <c r="A1900" s="7">
        <v>43385</v>
      </c>
      <c r="B1900" s="7"/>
      <c r="C1900" s="6">
        <v>160529</v>
      </c>
      <c r="D1900" s="6">
        <v>208466</v>
      </c>
      <c r="E1900" s="6">
        <v>114408</v>
      </c>
      <c r="F1900" s="14">
        <v>475119</v>
      </c>
      <c r="G1900" s="6">
        <v>223606</v>
      </c>
      <c r="H1900" s="6">
        <v>62315</v>
      </c>
      <c r="I1900" s="6">
        <v>65148</v>
      </c>
      <c r="J1900" s="6">
        <v>236961</v>
      </c>
      <c r="K1900" s="6">
        <v>476107</v>
      </c>
      <c r="L1900" s="6">
        <v>199552</v>
      </c>
      <c r="M1900" s="6">
        <v>2223244</v>
      </c>
      <c r="T1900" s="42"/>
    </row>
    <row r="1901" spans="1:20" x14ac:dyDescent="0.3">
      <c r="A1901" s="7">
        <v>43384</v>
      </c>
      <c r="B1901" s="7"/>
      <c r="C1901" s="6">
        <v>166162</v>
      </c>
      <c r="D1901" s="6">
        <v>211617</v>
      </c>
      <c r="E1901" s="6">
        <v>115222</v>
      </c>
      <c r="F1901" s="14">
        <v>485860</v>
      </c>
      <c r="G1901" s="6">
        <v>232492</v>
      </c>
      <c r="H1901" s="6">
        <v>63151</v>
      </c>
      <c r="I1901" s="6">
        <v>64942</v>
      </c>
      <c r="J1901" s="6">
        <v>236819</v>
      </c>
      <c r="K1901" s="6">
        <v>483084</v>
      </c>
      <c r="L1901" s="6">
        <v>201873</v>
      </c>
      <c r="M1901" s="6">
        <v>2232297</v>
      </c>
      <c r="T1901" s="42"/>
    </row>
    <row r="1902" spans="1:20" x14ac:dyDescent="0.3">
      <c r="A1902" s="7">
        <v>43383</v>
      </c>
      <c r="B1902" s="7"/>
      <c r="C1902" s="6">
        <v>168428</v>
      </c>
      <c r="D1902" s="6">
        <v>212426</v>
      </c>
      <c r="E1902" s="6">
        <v>117469</v>
      </c>
      <c r="F1902" s="14">
        <v>482811</v>
      </c>
      <c r="G1902" s="6">
        <v>247877</v>
      </c>
      <c r="H1902" s="6">
        <v>63831</v>
      </c>
      <c r="I1902" s="6">
        <v>64103</v>
      </c>
      <c r="J1902" s="6">
        <v>235304</v>
      </c>
      <c r="K1902" s="6">
        <v>458607</v>
      </c>
      <c r="L1902" s="6">
        <v>201029</v>
      </c>
      <c r="M1902" s="6">
        <v>2224667</v>
      </c>
      <c r="T1902" s="42"/>
    </row>
    <row r="1903" spans="1:20" x14ac:dyDescent="0.3">
      <c r="A1903" s="7">
        <v>43382</v>
      </c>
      <c r="B1903" s="7"/>
      <c r="C1903" s="6">
        <v>170758</v>
      </c>
      <c r="D1903" s="6">
        <v>210549</v>
      </c>
      <c r="E1903" s="6">
        <v>121489</v>
      </c>
      <c r="F1903" s="14">
        <v>483802</v>
      </c>
      <c r="G1903" s="6">
        <v>253374</v>
      </c>
      <c r="H1903" s="6">
        <v>64710</v>
      </c>
      <c r="I1903" s="6">
        <v>61862</v>
      </c>
      <c r="J1903" s="6">
        <v>235478</v>
      </c>
      <c r="K1903" s="6">
        <v>465253</v>
      </c>
      <c r="L1903" s="6">
        <v>199853</v>
      </c>
      <c r="M1903" s="6">
        <v>2217171</v>
      </c>
      <c r="T1903" s="42"/>
    </row>
    <row r="1904" spans="1:20" x14ac:dyDescent="0.3">
      <c r="A1904" s="7">
        <v>43381</v>
      </c>
      <c r="B1904" s="7"/>
      <c r="C1904" s="6">
        <v>167312</v>
      </c>
      <c r="D1904" s="6">
        <v>208980</v>
      </c>
      <c r="E1904" s="6">
        <v>122525</v>
      </c>
      <c r="F1904" s="14">
        <v>484061</v>
      </c>
      <c r="G1904" s="6">
        <v>256097</v>
      </c>
      <c r="H1904" s="6">
        <v>64374</v>
      </c>
      <c r="I1904" s="6">
        <v>60206</v>
      </c>
      <c r="J1904" s="6">
        <v>234675</v>
      </c>
      <c r="K1904" s="6">
        <v>470534</v>
      </c>
      <c r="L1904" s="6">
        <v>200648</v>
      </c>
      <c r="M1904" s="6">
        <v>2210206</v>
      </c>
      <c r="T1904" s="42"/>
    </row>
    <row r="1905" spans="1:20" x14ac:dyDescent="0.3">
      <c r="A1905" s="7">
        <v>43378</v>
      </c>
      <c r="B1905" s="7"/>
      <c r="C1905" s="6">
        <v>164381</v>
      </c>
      <c r="D1905" s="6">
        <v>213817</v>
      </c>
      <c r="E1905" s="6">
        <v>122176</v>
      </c>
      <c r="F1905" s="14">
        <v>481918</v>
      </c>
      <c r="G1905" s="6">
        <v>257209</v>
      </c>
      <c r="H1905" s="6">
        <v>62767</v>
      </c>
      <c r="I1905" s="6">
        <v>57544</v>
      </c>
      <c r="J1905" s="6">
        <v>234268</v>
      </c>
      <c r="K1905" s="6">
        <v>467497</v>
      </c>
      <c r="L1905" s="6">
        <v>200923</v>
      </c>
      <c r="M1905" s="6">
        <v>2222028</v>
      </c>
      <c r="T1905" s="42"/>
    </row>
    <row r="1906" spans="1:20" x14ac:dyDescent="0.3">
      <c r="A1906" s="7">
        <v>43377</v>
      </c>
      <c r="B1906" s="7"/>
      <c r="C1906" s="6">
        <v>161536</v>
      </c>
      <c r="D1906" s="6">
        <v>210152</v>
      </c>
      <c r="E1906" s="6">
        <v>123915</v>
      </c>
      <c r="F1906" s="14">
        <v>482727</v>
      </c>
      <c r="G1906" s="6">
        <v>256113</v>
      </c>
      <c r="H1906" s="6">
        <v>61960</v>
      </c>
      <c r="I1906" s="6">
        <v>54996</v>
      </c>
      <c r="J1906" s="6">
        <v>235300</v>
      </c>
      <c r="K1906" s="6">
        <v>462976</v>
      </c>
      <c r="L1906" s="6">
        <v>201345</v>
      </c>
      <c r="M1906" s="6">
        <v>2225180</v>
      </c>
      <c r="T1906" s="42"/>
    </row>
    <row r="1907" spans="1:20" x14ac:dyDescent="0.3">
      <c r="A1907" s="7">
        <v>43376</v>
      </c>
      <c r="B1907" s="7"/>
      <c r="C1907" s="6">
        <v>158657</v>
      </c>
      <c r="D1907" s="6">
        <v>209634</v>
      </c>
      <c r="E1907" s="6">
        <v>128395</v>
      </c>
      <c r="F1907" s="14">
        <v>482579</v>
      </c>
      <c r="G1907" s="6">
        <v>258250</v>
      </c>
      <c r="H1907" s="6">
        <v>59435</v>
      </c>
      <c r="I1907" s="6">
        <v>54932</v>
      </c>
      <c r="J1907" s="6">
        <v>236338</v>
      </c>
      <c r="K1907" s="6">
        <v>456500</v>
      </c>
      <c r="L1907" s="6">
        <v>200160</v>
      </c>
      <c r="M1907" s="6">
        <v>2258199</v>
      </c>
      <c r="T1907" s="42"/>
    </row>
    <row r="1908" spans="1:20" x14ac:dyDescent="0.3">
      <c r="A1908" s="7">
        <v>43375</v>
      </c>
      <c r="B1908" s="7"/>
      <c r="C1908" s="6">
        <v>154671</v>
      </c>
      <c r="D1908" s="6">
        <v>210495</v>
      </c>
      <c r="E1908" s="6">
        <v>127333</v>
      </c>
      <c r="F1908" s="14">
        <v>479644</v>
      </c>
      <c r="G1908" s="6">
        <v>252277</v>
      </c>
      <c r="H1908" s="6">
        <v>56448</v>
      </c>
      <c r="I1908" s="6">
        <v>54650</v>
      </c>
      <c r="J1908" s="6">
        <v>234368</v>
      </c>
      <c r="K1908" s="6">
        <v>459776</v>
      </c>
      <c r="L1908" s="6">
        <v>200173</v>
      </c>
      <c r="M1908" s="6">
        <v>2245589</v>
      </c>
      <c r="T1908" s="42"/>
    </row>
    <row r="1909" spans="1:20" x14ac:dyDescent="0.3">
      <c r="A1909" s="7">
        <v>43374</v>
      </c>
      <c r="B1909" s="7"/>
      <c r="C1909" s="6">
        <v>155315</v>
      </c>
      <c r="D1909" s="6">
        <v>215913</v>
      </c>
      <c r="E1909" s="6">
        <v>125521</v>
      </c>
      <c r="F1909" s="14">
        <v>475107</v>
      </c>
      <c r="G1909" s="6">
        <v>249557</v>
      </c>
      <c r="H1909" s="6">
        <v>56674</v>
      </c>
      <c r="I1909" s="6">
        <v>54420</v>
      </c>
      <c r="J1909" s="6">
        <v>237057</v>
      </c>
      <c r="K1909" s="6">
        <v>454667</v>
      </c>
      <c r="L1909" s="6">
        <v>200481</v>
      </c>
      <c r="M1909" s="6">
        <v>2244570</v>
      </c>
      <c r="T1909" s="42"/>
    </row>
    <row r="1910" spans="1:20" x14ac:dyDescent="0.3">
      <c r="A1910" s="7">
        <v>43371</v>
      </c>
      <c r="B1910" s="7"/>
      <c r="C1910" s="6">
        <v>156082</v>
      </c>
      <c r="D1910" s="6">
        <v>216786</v>
      </c>
      <c r="E1910" s="6">
        <v>113538</v>
      </c>
      <c r="F1910" s="14">
        <v>479552</v>
      </c>
      <c r="G1910" s="6">
        <v>233782</v>
      </c>
      <c r="H1910" s="6">
        <v>56827</v>
      </c>
      <c r="I1910" s="6">
        <v>53303</v>
      </c>
      <c r="J1910" s="6">
        <v>238304</v>
      </c>
      <c r="K1910" s="6">
        <v>456124</v>
      </c>
      <c r="L1910" s="6">
        <v>203706</v>
      </c>
      <c r="M1910" s="6">
        <v>2244372</v>
      </c>
      <c r="T1910" s="42"/>
    </row>
    <row r="1911" spans="1:20" x14ac:dyDescent="0.3">
      <c r="A1911" s="7">
        <v>43370</v>
      </c>
      <c r="B1911" s="7"/>
      <c r="C1911" s="6">
        <v>159752</v>
      </c>
      <c r="D1911" s="6">
        <v>220862</v>
      </c>
      <c r="E1911" s="6">
        <v>111544</v>
      </c>
      <c r="F1911" s="14">
        <v>472363</v>
      </c>
      <c r="G1911" s="6">
        <v>238449</v>
      </c>
      <c r="H1911" s="6">
        <v>57969</v>
      </c>
      <c r="I1911" s="6">
        <v>55096</v>
      </c>
      <c r="J1911" s="6">
        <v>236685</v>
      </c>
      <c r="K1911" s="6">
        <v>460678</v>
      </c>
      <c r="L1911" s="6">
        <v>203356</v>
      </c>
      <c r="M1911" s="6">
        <v>2231542</v>
      </c>
      <c r="T1911" s="42"/>
    </row>
    <row r="1912" spans="1:20" x14ac:dyDescent="0.3">
      <c r="A1912" s="7">
        <v>43369</v>
      </c>
      <c r="B1912" s="7"/>
      <c r="C1912" s="6">
        <v>160175</v>
      </c>
      <c r="D1912" s="6">
        <v>222151</v>
      </c>
      <c r="E1912" s="6">
        <v>113987</v>
      </c>
      <c r="F1912" s="14">
        <v>473883</v>
      </c>
      <c r="G1912" s="6">
        <v>223178</v>
      </c>
      <c r="H1912" s="6">
        <v>56903</v>
      </c>
      <c r="I1912" s="6">
        <v>53090</v>
      </c>
      <c r="J1912" s="6">
        <v>236883</v>
      </c>
      <c r="K1912" s="6">
        <v>453187</v>
      </c>
      <c r="L1912" s="6">
        <v>204196</v>
      </c>
      <c r="M1912" s="6">
        <v>2232077</v>
      </c>
      <c r="T1912" s="42"/>
    </row>
    <row r="1913" spans="1:20" x14ac:dyDescent="0.3">
      <c r="A1913" s="7">
        <v>43368</v>
      </c>
      <c r="B1913" s="7"/>
      <c r="C1913" s="6">
        <v>158761</v>
      </c>
      <c r="D1913" s="6">
        <v>225082</v>
      </c>
      <c r="E1913" s="6">
        <v>115727</v>
      </c>
      <c r="F1913" s="14">
        <v>477881</v>
      </c>
      <c r="G1913" s="6">
        <v>215376</v>
      </c>
      <c r="H1913" s="6">
        <v>56994</v>
      </c>
      <c r="I1913" s="6">
        <v>53927</v>
      </c>
      <c r="J1913" s="6">
        <v>237120</v>
      </c>
      <c r="K1913" s="6">
        <v>460279</v>
      </c>
      <c r="L1913" s="6">
        <v>204508</v>
      </c>
      <c r="M1913" s="6">
        <v>2225779</v>
      </c>
      <c r="T1913" s="42"/>
    </row>
    <row r="1914" spans="1:20" x14ac:dyDescent="0.3">
      <c r="A1914" s="7">
        <v>43367</v>
      </c>
      <c r="B1914" s="7"/>
      <c r="C1914" s="6">
        <v>157872</v>
      </c>
      <c r="D1914" s="6">
        <v>227148</v>
      </c>
      <c r="E1914" s="6">
        <v>115684</v>
      </c>
      <c r="F1914" s="14">
        <v>481549</v>
      </c>
      <c r="G1914" s="6">
        <v>207968</v>
      </c>
      <c r="H1914" s="6">
        <v>57171</v>
      </c>
      <c r="I1914" s="6">
        <v>55332</v>
      </c>
      <c r="J1914" s="6">
        <v>235481</v>
      </c>
      <c r="K1914" s="6">
        <v>466793</v>
      </c>
      <c r="L1914" s="6">
        <v>203413</v>
      </c>
      <c r="M1914" s="6">
        <v>2215536</v>
      </c>
      <c r="T1914" s="42"/>
    </row>
    <row r="1915" spans="1:20" x14ac:dyDescent="0.3">
      <c r="A1915" s="7">
        <v>43364</v>
      </c>
      <c r="B1915" s="7"/>
      <c r="C1915" s="6">
        <v>159942</v>
      </c>
      <c r="D1915" s="6">
        <v>227806</v>
      </c>
      <c r="E1915" s="6">
        <v>118707</v>
      </c>
      <c r="F1915" s="14">
        <v>476530</v>
      </c>
      <c r="G1915" s="6">
        <v>201841</v>
      </c>
      <c r="H1915" s="6">
        <v>57086</v>
      </c>
      <c r="I1915" s="6">
        <v>55478</v>
      </c>
      <c r="J1915" s="6">
        <v>234631</v>
      </c>
      <c r="K1915" s="6">
        <v>474343</v>
      </c>
      <c r="L1915" s="6">
        <v>205142</v>
      </c>
      <c r="M1915" s="6">
        <v>2211439</v>
      </c>
      <c r="T1915" s="42"/>
    </row>
    <row r="1916" spans="1:20" x14ac:dyDescent="0.3">
      <c r="A1916" s="7">
        <v>43363</v>
      </c>
      <c r="B1916" s="7"/>
      <c r="C1916" s="6">
        <v>161409</v>
      </c>
      <c r="D1916" s="6">
        <v>232140</v>
      </c>
      <c r="E1916" s="6">
        <v>118627</v>
      </c>
      <c r="F1916" s="14">
        <v>478256</v>
      </c>
      <c r="G1916" s="6">
        <v>200377</v>
      </c>
      <c r="H1916" s="6">
        <v>58745</v>
      </c>
      <c r="I1916" s="6">
        <v>55553</v>
      </c>
      <c r="J1916" s="6">
        <v>238618</v>
      </c>
      <c r="K1916" s="6">
        <v>473183</v>
      </c>
      <c r="L1916" s="6">
        <v>206030</v>
      </c>
      <c r="M1916" s="6">
        <v>2212762</v>
      </c>
      <c r="T1916" s="42"/>
    </row>
    <row r="1917" spans="1:20" x14ac:dyDescent="0.3">
      <c r="A1917" s="7">
        <v>43362</v>
      </c>
      <c r="B1917" s="7"/>
      <c r="C1917" s="6">
        <v>162169</v>
      </c>
      <c r="D1917" s="6">
        <v>232960</v>
      </c>
      <c r="E1917" s="6">
        <v>115750</v>
      </c>
      <c r="F1917" s="14">
        <v>468801</v>
      </c>
      <c r="G1917" s="6">
        <v>195705</v>
      </c>
      <c r="H1917" s="6">
        <v>57227</v>
      </c>
      <c r="I1917" s="6">
        <v>54599</v>
      </c>
      <c r="J1917" s="6">
        <v>235900</v>
      </c>
      <c r="K1917" s="6">
        <v>474414</v>
      </c>
      <c r="L1917" s="6">
        <v>206832</v>
      </c>
      <c r="M1917" s="6">
        <v>2208500</v>
      </c>
      <c r="T1917" s="42"/>
    </row>
    <row r="1918" spans="1:20" x14ac:dyDescent="0.3">
      <c r="A1918" s="7">
        <v>43361</v>
      </c>
      <c r="B1918" s="7"/>
      <c r="C1918" s="6">
        <v>188166</v>
      </c>
      <c r="D1918" s="6">
        <v>306466</v>
      </c>
      <c r="E1918" s="6">
        <v>150538</v>
      </c>
      <c r="F1918" s="14">
        <v>535284</v>
      </c>
      <c r="G1918" s="6">
        <v>239197</v>
      </c>
      <c r="H1918" s="6">
        <v>72529</v>
      </c>
      <c r="I1918" s="6">
        <v>81866</v>
      </c>
      <c r="J1918" s="6">
        <v>235543</v>
      </c>
      <c r="K1918" s="6">
        <v>469436</v>
      </c>
      <c r="L1918" s="6">
        <v>205469</v>
      </c>
      <c r="M1918" s="6">
        <v>2228937</v>
      </c>
      <c r="T1918" s="42"/>
    </row>
    <row r="1919" spans="1:20" x14ac:dyDescent="0.3">
      <c r="A1919" s="7">
        <v>43360</v>
      </c>
      <c r="B1919" s="7"/>
      <c r="C1919" s="6">
        <v>186919</v>
      </c>
      <c r="D1919" s="6">
        <v>314909</v>
      </c>
      <c r="E1919" s="6">
        <v>149212</v>
      </c>
      <c r="F1919" s="14">
        <v>538948</v>
      </c>
      <c r="G1919" s="6">
        <v>226971</v>
      </c>
      <c r="H1919" s="6">
        <v>71500</v>
      </c>
      <c r="I1919" s="6">
        <v>82733</v>
      </c>
      <c r="J1919" s="6">
        <v>233098</v>
      </c>
      <c r="K1919" s="6">
        <v>472975</v>
      </c>
      <c r="L1919" s="6">
        <v>203300</v>
      </c>
      <c r="M1919" s="6">
        <v>2220999</v>
      </c>
      <c r="T1919" s="42"/>
    </row>
    <row r="1920" spans="1:20" x14ac:dyDescent="0.3">
      <c r="A1920" s="7">
        <v>43357</v>
      </c>
      <c r="B1920" s="7"/>
      <c r="C1920" s="6">
        <v>187048</v>
      </c>
      <c r="D1920" s="6">
        <v>314579</v>
      </c>
      <c r="E1920" s="6">
        <v>151395</v>
      </c>
      <c r="F1920" s="14">
        <v>544529</v>
      </c>
      <c r="G1920" s="6">
        <v>223468</v>
      </c>
      <c r="H1920" s="6">
        <v>71920</v>
      </c>
      <c r="I1920" s="6">
        <v>83110</v>
      </c>
      <c r="J1920" s="6">
        <v>232109</v>
      </c>
      <c r="K1920" s="6">
        <v>470441</v>
      </c>
      <c r="L1920" s="6">
        <v>203734</v>
      </c>
      <c r="M1920" s="6">
        <v>2243940</v>
      </c>
      <c r="T1920" s="42"/>
    </row>
    <row r="1921" spans="1:20" x14ac:dyDescent="0.3">
      <c r="A1921" s="7">
        <v>43356</v>
      </c>
      <c r="B1921" s="7"/>
      <c r="C1921" s="6">
        <v>189980</v>
      </c>
      <c r="D1921" s="6">
        <v>344836</v>
      </c>
      <c r="E1921" s="6">
        <v>151684</v>
      </c>
      <c r="F1921" s="14">
        <v>562295</v>
      </c>
      <c r="G1921" s="6">
        <v>219549</v>
      </c>
      <c r="H1921" s="6">
        <v>73372</v>
      </c>
      <c r="I1921" s="6">
        <v>85272</v>
      </c>
      <c r="J1921" s="6">
        <v>230446</v>
      </c>
      <c r="K1921" s="6">
        <v>475646</v>
      </c>
      <c r="L1921" s="6">
        <v>206277</v>
      </c>
      <c r="M1921" s="6">
        <v>2241995</v>
      </c>
      <c r="T1921" s="42"/>
    </row>
    <row r="1922" spans="1:20" x14ac:dyDescent="0.3">
      <c r="A1922" s="7">
        <v>43355</v>
      </c>
      <c r="B1922" s="7"/>
      <c r="C1922" s="6">
        <v>184342</v>
      </c>
      <c r="D1922" s="6">
        <v>297191</v>
      </c>
      <c r="E1922" s="6">
        <v>161204</v>
      </c>
      <c r="F1922" s="14">
        <v>549540</v>
      </c>
      <c r="G1922" s="6">
        <v>212097</v>
      </c>
      <c r="H1922" s="6">
        <v>67253</v>
      </c>
      <c r="I1922" s="6">
        <v>81485</v>
      </c>
      <c r="J1922" s="6">
        <v>232614</v>
      </c>
      <c r="K1922" s="6">
        <v>471490</v>
      </c>
      <c r="L1922" s="6">
        <v>206803</v>
      </c>
      <c r="M1922" s="6">
        <v>2266415</v>
      </c>
      <c r="T1922" s="42"/>
    </row>
    <row r="1923" spans="1:20" x14ac:dyDescent="0.3">
      <c r="A1923" s="7">
        <v>43354</v>
      </c>
      <c r="B1923" s="7"/>
      <c r="C1923" s="6">
        <v>176761</v>
      </c>
      <c r="D1923" s="6">
        <v>279503</v>
      </c>
      <c r="E1923" s="6">
        <v>158974</v>
      </c>
      <c r="F1923" s="14">
        <v>550492</v>
      </c>
      <c r="G1923" s="6">
        <v>193428</v>
      </c>
      <c r="H1923" s="6">
        <v>59669</v>
      </c>
      <c r="I1923" s="6">
        <v>79879</v>
      </c>
      <c r="J1923" s="6">
        <v>230351</v>
      </c>
      <c r="K1923" s="6">
        <v>469450</v>
      </c>
      <c r="L1923" s="6">
        <v>208969</v>
      </c>
      <c r="M1923" s="6">
        <v>2281869</v>
      </c>
      <c r="T1923" s="42"/>
    </row>
    <row r="1924" spans="1:20" x14ac:dyDescent="0.3">
      <c r="A1924" s="7">
        <v>43353</v>
      </c>
      <c r="B1924" s="7"/>
      <c r="C1924" s="6">
        <v>164193</v>
      </c>
      <c r="D1924" s="6">
        <v>251853</v>
      </c>
      <c r="E1924" s="6">
        <v>158666</v>
      </c>
      <c r="F1924" s="14">
        <v>519325</v>
      </c>
      <c r="G1924" s="6">
        <v>186978</v>
      </c>
      <c r="H1924" s="6">
        <v>56561</v>
      </c>
      <c r="I1924" s="6">
        <v>79651</v>
      </c>
      <c r="J1924" s="6">
        <v>231532</v>
      </c>
      <c r="K1924" s="6">
        <v>470147</v>
      </c>
      <c r="L1924" s="6">
        <v>207811</v>
      </c>
      <c r="M1924" s="6">
        <v>2267052</v>
      </c>
      <c r="T1924" s="42"/>
    </row>
    <row r="1925" spans="1:20" x14ac:dyDescent="0.3">
      <c r="A1925" s="7">
        <v>43350</v>
      </c>
      <c r="B1925" s="7"/>
      <c r="C1925" s="6">
        <v>164299</v>
      </c>
      <c r="D1925" s="6">
        <v>254569</v>
      </c>
      <c r="E1925" s="6">
        <v>159643</v>
      </c>
      <c r="F1925" s="14">
        <v>516520</v>
      </c>
      <c r="G1925" s="6">
        <v>184722</v>
      </c>
      <c r="H1925" s="6">
        <v>55377</v>
      </c>
      <c r="I1925" s="6">
        <v>77122</v>
      </c>
      <c r="J1925" s="6">
        <v>235420</v>
      </c>
      <c r="K1925" s="6">
        <v>467260</v>
      </c>
      <c r="L1925" s="6">
        <v>209622</v>
      </c>
      <c r="M1925" s="6">
        <v>2272883</v>
      </c>
      <c r="T1925" s="42"/>
    </row>
    <row r="1926" spans="1:20" x14ac:dyDescent="0.3">
      <c r="A1926" s="7">
        <v>43349</v>
      </c>
      <c r="B1926" s="7"/>
      <c r="C1926" s="6">
        <v>164597</v>
      </c>
      <c r="D1926" s="6">
        <v>258691</v>
      </c>
      <c r="E1926" s="6">
        <v>153028</v>
      </c>
      <c r="F1926" s="14">
        <v>523236</v>
      </c>
      <c r="G1926" s="6">
        <v>192135</v>
      </c>
      <c r="H1926" s="6">
        <v>55869</v>
      </c>
      <c r="I1926" s="6">
        <v>76471</v>
      </c>
      <c r="J1926" s="6">
        <v>235189</v>
      </c>
      <c r="K1926" s="6">
        <v>469843</v>
      </c>
      <c r="L1926" s="6">
        <v>210462</v>
      </c>
      <c r="M1926" s="6">
        <v>2288220</v>
      </c>
      <c r="T1926" s="42"/>
    </row>
    <row r="1927" spans="1:20" x14ac:dyDescent="0.3">
      <c r="A1927" s="7">
        <v>43348</v>
      </c>
      <c r="B1927" s="7"/>
      <c r="C1927" s="6">
        <v>160154</v>
      </c>
      <c r="D1927" s="6">
        <v>260715</v>
      </c>
      <c r="E1927" s="6">
        <v>152830</v>
      </c>
      <c r="F1927" s="14">
        <v>521856</v>
      </c>
      <c r="G1927" s="6">
        <v>189466</v>
      </c>
      <c r="H1927" s="6">
        <v>56703</v>
      </c>
      <c r="I1927" s="6">
        <v>78560</v>
      </c>
      <c r="J1927" s="6">
        <v>236443</v>
      </c>
      <c r="K1927" s="6">
        <v>466209</v>
      </c>
      <c r="L1927" s="6">
        <v>210042</v>
      </c>
      <c r="M1927" s="6">
        <v>2303904</v>
      </c>
      <c r="T1927" s="42"/>
    </row>
    <row r="1928" spans="1:20" x14ac:dyDescent="0.3">
      <c r="A1928" s="7">
        <v>43347</v>
      </c>
      <c r="B1928" s="7"/>
      <c r="C1928" s="6">
        <v>156234</v>
      </c>
      <c r="D1928" s="6">
        <v>261700</v>
      </c>
      <c r="E1928" s="6">
        <v>151238</v>
      </c>
      <c r="F1928" s="14">
        <v>527579</v>
      </c>
      <c r="G1928" s="6">
        <v>185347</v>
      </c>
      <c r="H1928" s="6">
        <v>55781</v>
      </c>
      <c r="I1928" s="6">
        <v>80733</v>
      </c>
      <c r="J1928" s="6">
        <v>238426</v>
      </c>
      <c r="K1928" s="6">
        <v>473118</v>
      </c>
      <c r="L1928" s="6">
        <v>212391</v>
      </c>
      <c r="M1928" s="6">
        <v>2303047</v>
      </c>
      <c r="T1928" s="42"/>
    </row>
    <row r="1929" spans="1:20" x14ac:dyDescent="0.3">
      <c r="A1929" s="7">
        <v>43343</v>
      </c>
      <c r="B1929" s="7"/>
      <c r="C1929" s="6">
        <v>151018</v>
      </c>
      <c r="D1929" s="6">
        <v>257057</v>
      </c>
      <c r="E1929" s="6">
        <v>144538</v>
      </c>
      <c r="F1929" s="14">
        <v>529780</v>
      </c>
      <c r="G1929" s="6">
        <v>188021</v>
      </c>
      <c r="H1929" s="6">
        <v>54599</v>
      </c>
      <c r="I1929" s="6">
        <v>81103</v>
      </c>
      <c r="J1929" s="6">
        <v>232289</v>
      </c>
      <c r="K1929" s="6">
        <v>466584</v>
      </c>
      <c r="L1929" s="6">
        <v>211840</v>
      </c>
      <c r="M1929" s="6">
        <v>2290552</v>
      </c>
      <c r="T1929" s="42"/>
    </row>
    <row r="1930" spans="1:20" x14ac:dyDescent="0.3">
      <c r="A1930" s="7">
        <v>43342</v>
      </c>
      <c r="B1930" s="7"/>
      <c r="C1930" s="6">
        <v>145013</v>
      </c>
      <c r="D1930" s="6">
        <v>259003</v>
      </c>
      <c r="E1930" s="6">
        <v>145905</v>
      </c>
      <c r="F1930" s="14">
        <v>532616</v>
      </c>
      <c r="G1930" s="6">
        <v>186230</v>
      </c>
      <c r="H1930" s="6">
        <v>54196</v>
      </c>
      <c r="I1930" s="6">
        <v>81763</v>
      </c>
      <c r="J1930" s="6">
        <v>233057</v>
      </c>
      <c r="K1930" s="6">
        <v>473362</v>
      </c>
      <c r="L1930" s="6">
        <v>214123</v>
      </c>
      <c r="M1930" s="6">
        <v>2286740</v>
      </c>
      <c r="T1930" s="42"/>
    </row>
    <row r="1931" spans="1:20" x14ac:dyDescent="0.3">
      <c r="A1931" s="7">
        <v>43341</v>
      </c>
      <c r="B1931" s="7"/>
      <c r="C1931" s="6">
        <v>143300</v>
      </c>
      <c r="D1931" s="6">
        <v>261034</v>
      </c>
      <c r="E1931" s="6">
        <v>147370</v>
      </c>
      <c r="F1931" s="14">
        <v>531200</v>
      </c>
      <c r="G1931" s="6">
        <v>189670</v>
      </c>
      <c r="H1931" s="6">
        <v>54464</v>
      </c>
      <c r="I1931" s="6">
        <v>85154</v>
      </c>
      <c r="J1931" s="6">
        <v>231480</v>
      </c>
      <c r="K1931" s="6">
        <v>472208</v>
      </c>
      <c r="L1931" s="6">
        <v>215279</v>
      </c>
      <c r="M1931" s="6">
        <v>2269778</v>
      </c>
      <c r="T1931" s="42"/>
    </row>
    <row r="1932" spans="1:20" x14ac:dyDescent="0.3">
      <c r="A1932" s="7">
        <v>43340</v>
      </c>
      <c r="B1932" s="7"/>
      <c r="C1932" s="6">
        <v>141344</v>
      </c>
      <c r="D1932" s="6">
        <v>260228</v>
      </c>
      <c r="E1932" s="6">
        <v>147679</v>
      </c>
      <c r="F1932" s="14">
        <v>529124</v>
      </c>
      <c r="G1932" s="6">
        <v>185082</v>
      </c>
      <c r="H1932" s="6">
        <v>54564</v>
      </c>
      <c r="I1932" s="6">
        <v>85366</v>
      </c>
      <c r="J1932" s="6">
        <v>235094</v>
      </c>
      <c r="K1932" s="6">
        <v>479283</v>
      </c>
      <c r="L1932" s="6">
        <v>227329</v>
      </c>
      <c r="M1932" s="6">
        <v>2240977</v>
      </c>
      <c r="T1932" s="42"/>
    </row>
    <row r="1933" spans="1:20" x14ac:dyDescent="0.3">
      <c r="A1933" s="7">
        <v>43339</v>
      </c>
      <c r="B1933" s="7"/>
      <c r="C1933" s="6">
        <v>140761</v>
      </c>
      <c r="D1933" s="6">
        <v>258163</v>
      </c>
      <c r="E1933" s="6">
        <v>149099</v>
      </c>
      <c r="F1933" s="14">
        <v>527875</v>
      </c>
      <c r="G1933" s="6">
        <v>186738</v>
      </c>
      <c r="H1933" s="6">
        <v>54804</v>
      </c>
      <c r="I1933" s="6">
        <v>86567</v>
      </c>
      <c r="J1933" s="6">
        <v>239518</v>
      </c>
      <c r="K1933" s="6">
        <v>482342</v>
      </c>
      <c r="L1933" s="6">
        <v>235718</v>
      </c>
      <c r="M1933" s="6">
        <v>2236069</v>
      </c>
      <c r="T1933" s="42"/>
    </row>
    <row r="1934" spans="1:20" x14ac:dyDescent="0.3">
      <c r="A1934" s="7">
        <v>43336</v>
      </c>
      <c r="B1934" s="7"/>
      <c r="C1934" s="6">
        <v>141790</v>
      </c>
      <c r="D1934" s="6">
        <v>257866</v>
      </c>
      <c r="E1934" s="6">
        <v>149256</v>
      </c>
      <c r="F1934" s="14">
        <v>527087</v>
      </c>
      <c r="G1934" s="6">
        <v>189364</v>
      </c>
      <c r="H1934" s="6">
        <v>55201</v>
      </c>
      <c r="I1934" s="6">
        <v>86276</v>
      </c>
      <c r="J1934" s="6">
        <v>242442</v>
      </c>
      <c r="K1934" s="6">
        <v>481234</v>
      </c>
      <c r="L1934" s="6">
        <v>237613</v>
      </c>
      <c r="M1934" s="6">
        <v>2245372</v>
      </c>
      <c r="T1934" s="42"/>
    </row>
    <row r="1935" spans="1:20" x14ac:dyDescent="0.3">
      <c r="A1935" s="7">
        <v>43335</v>
      </c>
      <c r="B1935" s="7"/>
      <c r="C1935" s="6">
        <v>141525</v>
      </c>
      <c r="D1935" s="6">
        <v>262591</v>
      </c>
      <c r="E1935" s="6">
        <v>144771</v>
      </c>
      <c r="F1935" s="14">
        <v>533368</v>
      </c>
      <c r="G1935" s="6">
        <v>193077</v>
      </c>
      <c r="H1935" s="6">
        <v>55807</v>
      </c>
      <c r="I1935" s="6">
        <v>87800</v>
      </c>
      <c r="J1935" s="6">
        <v>251865</v>
      </c>
      <c r="K1935" s="6">
        <v>480516</v>
      </c>
      <c r="L1935" s="6">
        <v>242296</v>
      </c>
      <c r="M1935" s="6">
        <v>2233970</v>
      </c>
      <c r="T1935" s="42"/>
    </row>
    <row r="1936" spans="1:20" x14ac:dyDescent="0.3">
      <c r="A1936" s="7">
        <v>43334</v>
      </c>
      <c r="B1936" s="7"/>
      <c r="C1936" s="6">
        <v>138624</v>
      </c>
      <c r="D1936" s="6">
        <v>264669</v>
      </c>
      <c r="E1936" s="6">
        <v>146109</v>
      </c>
      <c r="F1936" s="14">
        <v>531554</v>
      </c>
      <c r="G1936" s="6">
        <v>192998</v>
      </c>
      <c r="H1936" s="6">
        <v>55723</v>
      </c>
      <c r="I1936" s="6">
        <v>88802</v>
      </c>
      <c r="J1936" s="6">
        <v>259186</v>
      </c>
      <c r="K1936" s="6">
        <v>485184</v>
      </c>
      <c r="L1936" s="6">
        <v>243195</v>
      </c>
      <c r="M1936" s="6">
        <v>2246199</v>
      </c>
      <c r="T1936" s="42"/>
    </row>
    <row r="1937" spans="1:20" x14ac:dyDescent="0.3">
      <c r="A1937" s="7">
        <v>43333</v>
      </c>
      <c r="B1937" s="7"/>
      <c r="C1937" s="6">
        <v>145299</v>
      </c>
      <c r="D1937" s="6">
        <v>267219</v>
      </c>
      <c r="E1937" s="6">
        <v>145677</v>
      </c>
      <c r="F1937" s="14">
        <v>532137</v>
      </c>
      <c r="G1937" s="6">
        <v>189698</v>
      </c>
      <c r="H1937" s="6">
        <v>55473</v>
      </c>
      <c r="I1937" s="6">
        <v>90905</v>
      </c>
      <c r="J1937" s="6">
        <v>265239</v>
      </c>
      <c r="K1937" s="6">
        <v>483730</v>
      </c>
      <c r="L1937" s="6">
        <v>244196</v>
      </c>
      <c r="M1937" s="6">
        <v>2235767</v>
      </c>
      <c r="T1937" s="42"/>
    </row>
    <row r="1938" spans="1:20" x14ac:dyDescent="0.3">
      <c r="A1938" s="7">
        <v>43332</v>
      </c>
      <c r="B1938" s="7"/>
      <c r="C1938" s="6">
        <v>150204</v>
      </c>
      <c r="D1938" s="6">
        <v>265146</v>
      </c>
      <c r="E1938" s="6">
        <v>147559</v>
      </c>
      <c r="F1938" s="14">
        <v>531821</v>
      </c>
      <c r="G1938" s="6">
        <v>193408</v>
      </c>
      <c r="H1938" s="6">
        <v>55335</v>
      </c>
      <c r="I1938" s="6">
        <v>90988</v>
      </c>
      <c r="J1938" s="6">
        <v>270457</v>
      </c>
      <c r="K1938" s="6">
        <v>481468</v>
      </c>
      <c r="L1938" s="6">
        <v>238613</v>
      </c>
      <c r="M1938" s="6">
        <v>2240175</v>
      </c>
      <c r="T1938" s="42"/>
    </row>
    <row r="1939" spans="1:20" x14ac:dyDescent="0.3">
      <c r="A1939" s="7">
        <v>43329</v>
      </c>
      <c r="B1939" s="7"/>
      <c r="C1939" s="6">
        <v>153142</v>
      </c>
      <c r="D1939" s="6">
        <v>258117</v>
      </c>
      <c r="E1939" s="6">
        <v>149023</v>
      </c>
      <c r="F1939" s="14">
        <v>530913</v>
      </c>
      <c r="G1939" s="6">
        <v>190315</v>
      </c>
      <c r="H1939" s="6">
        <v>55805</v>
      </c>
      <c r="I1939" s="6">
        <v>91357</v>
      </c>
      <c r="J1939" s="6">
        <v>273901</v>
      </c>
      <c r="K1939" s="6">
        <v>476035</v>
      </c>
      <c r="L1939" s="6">
        <v>237333</v>
      </c>
      <c r="M1939" s="6">
        <v>2252898</v>
      </c>
      <c r="T1939" s="42"/>
    </row>
    <row r="1940" spans="1:20" x14ac:dyDescent="0.3">
      <c r="A1940" s="7">
        <v>43328</v>
      </c>
      <c r="B1940" s="7"/>
      <c r="C1940" s="6">
        <v>154451</v>
      </c>
      <c r="D1940" s="6">
        <v>253217</v>
      </c>
      <c r="E1940" s="6">
        <v>146462</v>
      </c>
      <c r="F1940" s="14">
        <v>533078</v>
      </c>
      <c r="G1940" s="6">
        <v>184403</v>
      </c>
      <c r="H1940" s="6">
        <v>55453</v>
      </c>
      <c r="I1940" s="6">
        <v>91302</v>
      </c>
      <c r="J1940" s="6">
        <v>277861</v>
      </c>
      <c r="K1940" s="6">
        <v>477460</v>
      </c>
      <c r="L1940" s="6">
        <v>235287</v>
      </c>
      <c r="M1940" s="6">
        <v>2270912</v>
      </c>
      <c r="T1940" s="42"/>
    </row>
    <row r="1941" spans="1:20" x14ac:dyDescent="0.3">
      <c r="A1941" s="7">
        <v>43327</v>
      </c>
      <c r="B1941" s="7"/>
      <c r="C1941" s="6">
        <v>153719</v>
      </c>
      <c r="D1941" s="6">
        <v>246740</v>
      </c>
      <c r="E1941" s="6">
        <v>146128</v>
      </c>
      <c r="F1941" s="14">
        <v>525360</v>
      </c>
      <c r="G1941" s="6">
        <v>188206</v>
      </c>
      <c r="H1941" s="6">
        <v>56223</v>
      </c>
      <c r="I1941" s="6">
        <v>91337</v>
      </c>
      <c r="J1941" s="6">
        <v>293837</v>
      </c>
      <c r="K1941" s="6">
        <v>479969</v>
      </c>
      <c r="L1941" s="6">
        <v>236298</v>
      </c>
      <c r="M1941" s="6">
        <v>2309208</v>
      </c>
      <c r="T1941" s="42"/>
    </row>
    <row r="1942" spans="1:20" x14ac:dyDescent="0.3">
      <c r="A1942" s="7">
        <v>43326</v>
      </c>
      <c r="B1942" s="7"/>
      <c r="C1942" s="6">
        <v>149879</v>
      </c>
      <c r="D1942" s="6">
        <v>251608</v>
      </c>
      <c r="E1942" s="6">
        <v>144705</v>
      </c>
      <c r="F1942" s="14">
        <v>528828</v>
      </c>
      <c r="G1942" s="6">
        <v>186654</v>
      </c>
      <c r="H1942" s="6">
        <v>56128</v>
      </c>
      <c r="I1942" s="6">
        <v>90768</v>
      </c>
      <c r="J1942" s="6">
        <v>286872</v>
      </c>
      <c r="K1942" s="6">
        <v>476739</v>
      </c>
      <c r="L1942" s="6">
        <v>240038</v>
      </c>
      <c r="M1942" s="6">
        <v>2329989</v>
      </c>
      <c r="T1942" s="42"/>
    </row>
    <row r="1943" spans="1:20" x14ac:dyDescent="0.3">
      <c r="A1943" s="7">
        <v>43325</v>
      </c>
      <c r="B1943" s="7"/>
      <c r="C1943" s="6">
        <v>146260</v>
      </c>
      <c r="D1943" s="6">
        <v>244091</v>
      </c>
      <c r="E1943" s="6">
        <v>144647</v>
      </c>
      <c r="F1943" s="14">
        <v>521865</v>
      </c>
      <c r="G1943" s="6">
        <v>188544</v>
      </c>
      <c r="H1943" s="6">
        <v>56200</v>
      </c>
      <c r="I1943" s="6">
        <v>90323</v>
      </c>
      <c r="J1943" s="6">
        <v>284763</v>
      </c>
      <c r="K1943" s="6">
        <v>475774</v>
      </c>
      <c r="L1943" s="6">
        <v>241863</v>
      </c>
      <c r="M1943" s="6">
        <v>2324321</v>
      </c>
      <c r="T1943" s="42"/>
    </row>
    <row r="1944" spans="1:20" x14ac:dyDescent="0.3">
      <c r="A1944" s="7">
        <v>43322</v>
      </c>
      <c r="B1944" s="7"/>
      <c r="C1944" s="6">
        <v>145569</v>
      </c>
      <c r="D1944" s="6">
        <v>241473</v>
      </c>
      <c r="E1944" s="6">
        <v>147111</v>
      </c>
      <c r="F1944" s="14">
        <v>521794</v>
      </c>
      <c r="G1944" s="6">
        <v>192355</v>
      </c>
      <c r="H1944" s="6">
        <v>57065</v>
      </c>
      <c r="I1944" s="6">
        <v>90900</v>
      </c>
      <c r="J1944" s="6">
        <v>285911</v>
      </c>
      <c r="K1944" s="6">
        <v>466612</v>
      </c>
      <c r="L1944" s="6">
        <v>239710</v>
      </c>
      <c r="M1944" s="6">
        <v>2309923</v>
      </c>
      <c r="T1944" s="42"/>
    </row>
    <row r="1945" spans="1:20" x14ac:dyDescent="0.3">
      <c r="A1945" s="7">
        <v>43321</v>
      </c>
      <c r="B1945" s="7"/>
      <c r="C1945" s="6">
        <v>134692</v>
      </c>
      <c r="D1945" s="6">
        <v>235291</v>
      </c>
      <c r="E1945" s="6">
        <v>142192</v>
      </c>
      <c r="F1945" s="14">
        <v>510231</v>
      </c>
      <c r="G1945" s="6">
        <v>190219</v>
      </c>
      <c r="H1945" s="6">
        <v>56280</v>
      </c>
      <c r="I1945" s="6">
        <v>90512</v>
      </c>
      <c r="J1945" s="6">
        <v>283971</v>
      </c>
      <c r="K1945" s="6">
        <v>463370</v>
      </c>
      <c r="L1945" s="6">
        <v>239464</v>
      </c>
      <c r="M1945" s="6">
        <v>2308112</v>
      </c>
      <c r="T1945" s="42"/>
    </row>
    <row r="1946" spans="1:20" x14ac:dyDescent="0.3">
      <c r="A1946" s="7">
        <v>43320</v>
      </c>
      <c r="B1946" s="7"/>
      <c r="C1946" s="6">
        <v>137648</v>
      </c>
      <c r="D1946" s="6">
        <v>229201</v>
      </c>
      <c r="E1946" s="6">
        <v>141570</v>
      </c>
      <c r="F1946" s="14">
        <v>505638</v>
      </c>
      <c r="G1946" s="6">
        <v>190862</v>
      </c>
      <c r="H1946" s="6">
        <v>52442</v>
      </c>
      <c r="I1946" s="6">
        <v>91182</v>
      </c>
      <c r="J1946" s="6">
        <v>284242</v>
      </c>
      <c r="K1946" s="6">
        <v>461454</v>
      </c>
      <c r="L1946" s="6">
        <v>233454</v>
      </c>
      <c r="M1946" s="6">
        <v>2305518</v>
      </c>
      <c r="T1946" s="42"/>
    </row>
    <row r="1947" spans="1:20" x14ac:dyDescent="0.3">
      <c r="A1947" s="7">
        <v>43319</v>
      </c>
      <c r="B1947" s="7"/>
      <c r="C1947" s="6">
        <v>141237</v>
      </c>
      <c r="D1947" s="6">
        <v>219746</v>
      </c>
      <c r="E1947" s="6">
        <v>144934</v>
      </c>
      <c r="F1947" s="14">
        <v>507186</v>
      </c>
      <c r="G1947" s="6">
        <v>187902</v>
      </c>
      <c r="H1947" s="6">
        <v>51319</v>
      </c>
      <c r="I1947" s="6">
        <v>90930</v>
      </c>
      <c r="J1947" s="6">
        <v>289908</v>
      </c>
      <c r="K1947" s="6">
        <v>459474</v>
      </c>
      <c r="L1947" s="6">
        <v>235440</v>
      </c>
      <c r="M1947" s="6">
        <v>2342575</v>
      </c>
      <c r="T1947" s="42"/>
    </row>
    <row r="1948" spans="1:20" x14ac:dyDescent="0.3">
      <c r="A1948" s="7">
        <v>43318</v>
      </c>
      <c r="B1948" s="7"/>
      <c r="C1948" s="6">
        <v>141268</v>
      </c>
      <c r="D1948" s="6">
        <v>212691</v>
      </c>
      <c r="E1948" s="6">
        <v>144215</v>
      </c>
      <c r="F1948" s="14">
        <v>509889</v>
      </c>
      <c r="G1948" s="6">
        <v>185993</v>
      </c>
      <c r="H1948" s="6">
        <v>52467</v>
      </c>
      <c r="I1948" s="6">
        <v>91935</v>
      </c>
      <c r="J1948" s="6">
        <v>297617</v>
      </c>
      <c r="K1948" s="6">
        <v>459393</v>
      </c>
      <c r="L1948" s="6">
        <v>232885</v>
      </c>
      <c r="M1948" s="6">
        <v>2363744</v>
      </c>
      <c r="T1948" s="42"/>
    </row>
    <row r="1949" spans="1:20" x14ac:dyDescent="0.3">
      <c r="A1949" s="7">
        <v>43315</v>
      </c>
      <c r="B1949" s="7"/>
      <c r="C1949" s="6">
        <v>143462</v>
      </c>
      <c r="D1949" s="6">
        <v>204404</v>
      </c>
      <c r="E1949" s="6">
        <v>144598</v>
      </c>
      <c r="F1949" s="14">
        <v>508521</v>
      </c>
      <c r="G1949" s="6">
        <v>187198</v>
      </c>
      <c r="H1949" s="6">
        <v>52232</v>
      </c>
      <c r="I1949" s="6">
        <v>91026</v>
      </c>
      <c r="J1949" s="6">
        <v>297881</v>
      </c>
      <c r="K1949" s="6">
        <v>459970</v>
      </c>
      <c r="L1949" s="6">
        <v>230226</v>
      </c>
      <c r="M1949" s="6">
        <v>2362988</v>
      </c>
      <c r="T1949" s="42"/>
    </row>
    <row r="1950" spans="1:20" x14ac:dyDescent="0.3">
      <c r="A1950" s="7">
        <v>43314</v>
      </c>
      <c r="B1950" s="7"/>
      <c r="C1950" s="6">
        <v>145754</v>
      </c>
      <c r="D1950" s="6">
        <v>206152</v>
      </c>
      <c r="E1950" s="6">
        <v>141465</v>
      </c>
      <c r="F1950" s="14">
        <v>513080</v>
      </c>
      <c r="G1950" s="6">
        <v>189236</v>
      </c>
      <c r="H1950" s="6">
        <v>53899</v>
      </c>
      <c r="I1950" s="6">
        <v>92834</v>
      </c>
      <c r="J1950" s="6">
        <v>299037</v>
      </c>
      <c r="K1950" s="6">
        <v>458919</v>
      </c>
      <c r="L1950" s="6">
        <v>227001</v>
      </c>
      <c r="M1950" s="6">
        <v>2372039</v>
      </c>
      <c r="T1950" s="42"/>
    </row>
    <row r="1951" spans="1:20" x14ac:dyDescent="0.3">
      <c r="A1951" s="7">
        <v>43313</v>
      </c>
      <c r="B1951" s="7"/>
      <c r="C1951" s="6">
        <v>141838</v>
      </c>
      <c r="D1951" s="6">
        <v>193745</v>
      </c>
      <c r="E1951" s="6">
        <v>140553</v>
      </c>
      <c r="F1951" s="14">
        <v>498759</v>
      </c>
      <c r="G1951" s="6">
        <v>195055</v>
      </c>
      <c r="H1951" s="6">
        <v>52370</v>
      </c>
      <c r="I1951" s="6">
        <v>91289</v>
      </c>
      <c r="J1951" s="6">
        <v>300678</v>
      </c>
      <c r="K1951" s="6">
        <v>453432</v>
      </c>
      <c r="L1951" s="6">
        <v>224431</v>
      </c>
      <c r="M1951" s="6">
        <v>2349602</v>
      </c>
      <c r="T1951" s="42"/>
    </row>
    <row r="1952" spans="1:20" x14ac:dyDescent="0.3">
      <c r="A1952" s="7">
        <v>43312</v>
      </c>
      <c r="B1952" s="7"/>
      <c r="C1952" s="6">
        <v>137325</v>
      </c>
      <c r="D1952" s="6">
        <v>190296</v>
      </c>
      <c r="E1952" s="6">
        <v>140253</v>
      </c>
      <c r="F1952" s="14">
        <v>499721</v>
      </c>
      <c r="G1952" s="6">
        <v>197566</v>
      </c>
      <c r="H1952" s="6">
        <v>51816</v>
      </c>
      <c r="I1952" s="6">
        <v>91099</v>
      </c>
      <c r="J1952" s="6">
        <v>300522</v>
      </c>
      <c r="K1952" s="6">
        <v>452655</v>
      </c>
      <c r="L1952" s="6">
        <v>226512</v>
      </c>
      <c r="M1952" s="6">
        <v>2349169</v>
      </c>
      <c r="T1952" s="42"/>
    </row>
    <row r="1953" spans="1:20" x14ac:dyDescent="0.3">
      <c r="A1953" s="7">
        <v>43311</v>
      </c>
      <c r="B1953" s="7"/>
      <c r="C1953" s="6">
        <v>141018</v>
      </c>
      <c r="D1953" s="6">
        <v>189888</v>
      </c>
      <c r="E1953" s="6">
        <v>144781</v>
      </c>
      <c r="F1953" s="14">
        <v>500701</v>
      </c>
      <c r="G1953" s="6">
        <v>187863</v>
      </c>
      <c r="H1953" s="6">
        <v>51917</v>
      </c>
      <c r="I1953" s="6">
        <v>92782</v>
      </c>
      <c r="J1953" s="6">
        <v>301011</v>
      </c>
      <c r="K1953" s="6">
        <v>449871</v>
      </c>
      <c r="L1953" s="6">
        <v>220908</v>
      </c>
      <c r="M1953" s="6">
        <v>2357548</v>
      </c>
      <c r="T1953" s="42"/>
    </row>
    <row r="1954" spans="1:20" x14ac:dyDescent="0.3">
      <c r="A1954" s="7">
        <v>43308</v>
      </c>
      <c r="B1954" s="7"/>
      <c r="C1954" s="6">
        <v>138553</v>
      </c>
      <c r="D1954" s="6">
        <v>189445</v>
      </c>
      <c r="E1954" s="6">
        <v>145412</v>
      </c>
      <c r="F1954" s="14">
        <v>494408</v>
      </c>
      <c r="G1954" s="6">
        <v>189890</v>
      </c>
      <c r="H1954" s="6">
        <v>52833</v>
      </c>
      <c r="I1954" s="6">
        <v>93112</v>
      </c>
      <c r="J1954" s="6">
        <v>303738</v>
      </c>
      <c r="K1954" s="6">
        <v>463448</v>
      </c>
      <c r="L1954" s="6">
        <v>218447</v>
      </c>
      <c r="M1954" s="6">
        <v>2343341</v>
      </c>
      <c r="T1954" s="42"/>
    </row>
    <row r="1955" spans="1:20" x14ac:dyDescent="0.3">
      <c r="A1955" s="7">
        <v>43307</v>
      </c>
      <c r="B1955" s="7"/>
      <c r="C1955" s="6">
        <v>137607</v>
      </c>
      <c r="D1955" s="6">
        <v>188701</v>
      </c>
      <c r="E1955" s="6">
        <v>146358</v>
      </c>
      <c r="F1955" s="14">
        <v>496889</v>
      </c>
      <c r="G1955" s="6">
        <v>193629</v>
      </c>
      <c r="H1955" s="6">
        <v>52789</v>
      </c>
      <c r="I1955" s="6">
        <v>92375</v>
      </c>
      <c r="J1955" s="6">
        <v>307233</v>
      </c>
      <c r="K1955" s="6">
        <v>485701</v>
      </c>
      <c r="L1955" s="6">
        <v>217996</v>
      </c>
      <c r="M1955" s="6">
        <v>2357096</v>
      </c>
      <c r="T1955" s="42"/>
    </row>
    <row r="1956" spans="1:20" x14ac:dyDescent="0.3">
      <c r="A1956" s="7">
        <v>43306</v>
      </c>
      <c r="B1956" s="7"/>
      <c r="C1956" s="6">
        <v>134310</v>
      </c>
      <c r="D1956" s="6">
        <v>190021</v>
      </c>
      <c r="E1956" s="6">
        <v>151369</v>
      </c>
      <c r="F1956" s="14">
        <v>496481</v>
      </c>
      <c r="G1956" s="6">
        <v>195826</v>
      </c>
      <c r="H1956" s="6">
        <v>51596</v>
      </c>
      <c r="I1956" s="6">
        <v>90927</v>
      </c>
      <c r="J1956" s="6">
        <v>318006</v>
      </c>
      <c r="K1956" s="6">
        <v>500144</v>
      </c>
      <c r="L1956" s="6">
        <v>217308</v>
      </c>
      <c r="M1956" s="6">
        <v>2364862</v>
      </c>
      <c r="T1956" s="42"/>
    </row>
    <row r="1957" spans="1:20" x14ac:dyDescent="0.3">
      <c r="A1957" s="7">
        <v>43305</v>
      </c>
      <c r="B1957" s="7"/>
      <c r="C1957" s="6">
        <v>133557</v>
      </c>
      <c r="D1957" s="6">
        <v>191590</v>
      </c>
      <c r="E1957" s="6">
        <v>151441</v>
      </c>
      <c r="F1957" s="14">
        <v>496665</v>
      </c>
      <c r="G1957" s="6">
        <v>200427</v>
      </c>
      <c r="H1957" s="6">
        <v>51898</v>
      </c>
      <c r="I1957" s="6">
        <v>91838</v>
      </c>
      <c r="J1957" s="6">
        <v>315586</v>
      </c>
      <c r="K1957" s="6">
        <v>496620</v>
      </c>
      <c r="L1957" s="6">
        <v>214596</v>
      </c>
      <c r="M1957" s="6">
        <v>2361062</v>
      </c>
      <c r="T1957" s="42"/>
    </row>
    <row r="1958" spans="1:20" x14ac:dyDescent="0.3">
      <c r="A1958" s="7">
        <v>43304</v>
      </c>
      <c r="B1958" s="7"/>
      <c r="C1958" s="6">
        <v>135804</v>
      </c>
      <c r="D1958" s="6">
        <v>193878</v>
      </c>
      <c r="E1958" s="6">
        <v>151305</v>
      </c>
      <c r="F1958" s="14">
        <v>495631</v>
      </c>
      <c r="G1958" s="6">
        <v>212750</v>
      </c>
      <c r="H1958" s="6">
        <v>51187</v>
      </c>
      <c r="I1958" s="6">
        <v>92187</v>
      </c>
      <c r="J1958" s="6">
        <v>313666</v>
      </c>
      <c r="K1958" s="6">
        <v>495144</v>
      </c>
      <c r="L1958" s="6">
        <v>215596</v>
      </c>
      <c r="M1958" s="6">
        <v>2365753</v>
      </c>
      <c r="T1958" s="42"/>
    </row>
    <row r="1959" spans="1:20" x14ac:dyDescent="0.3">
      <c r="A1959" s="7">
        <v>43301</v>
      </c>
      <c r="B1959" s="7"/>
      <c r="C1959" s="6">
        <v>133747</v>
      </c>
      <c r="D1959" s="6">
        <v>197979</v>
      </c>
      <c r="E1959" s="6">
        <v>153767</v>
      </c>
      <c r="F1959" s="14">
        <v>500998</v>
      </c>
      <c r="G1959" s="6">
        <v>220271</v>
      </c>
      <c r="H1959" s="6">
        <v>52086</v>
      </c>
      <c r="I1959" s="6">
        <v>92756</v>
      </c>
      <c r="J1959" s="6">
        <v>316165</v>
      </c>
      <c r="K1959" s="6">
        <v>515584</v>
      </c>
      <c r="L1959" s="6">
        <v>215000</v>
      </c>
      <c r="M1959" s="6">
        <v>2378837</v>
      </c>
      <c r="T1959" s="42"/>
    </row>
    <row r="1960" spans="1:20" x14ac:dyDescent="0.3">
      <c r="A1960" s="7">
        <v>43300</v>
      </c>
      <c r="B1960" s="7"/>
      <c r="C1960" s="6">
        <v>136733</v>
      </c>
      <c r="D1960" s="6">
        <v>201709</v>
      </c>
      <c r="E1960" s="6">
        <v>157554</v>
      </c>
      <c r="F1960" s="14">
        <v>492006</v>
      </c>
      <c r="G1960" s="6">
        <v>220375</v>
      </c>
      <c r="H1960" s="6">
        <v>53445</v>
      </c>
      <c r="I1960" s="6">
        <v>92253</v>
      </c>
      <c r="J1960" s="6">
        <v>311736</v>
      </c>
      <c r="K1960" s="6">
        <v>523370</v>
      </c>
      <c r="L1960" s="6">
        <v>213606</v>
      </c>
      <c r="M1960" s="6">
        <v>2374203</v>
      </c>
      <c r="T1960" s="42"/>
    </row>
    <row r="1961" spans="1:20" x14ac:dyDescent="0.3">
      <c r="A1961" s="7">
        <v>43299</v>
      </c>
      <c r="B1961" s="7"/>
      <c r="C1961" s="6">
        <v>133904</v>
      </c>
      <c r="D1961" s="6">
        <v>196891</v>
      </c>
      <c r="E1961" s="6">
        <v>157151</v>
      </c>
      <c r="F1961" s="14">
        <v>490608</v>
      </c>
      <c r="G1961" s="6">
        <v>214360</v>
      </c>
      <c r="H1961" s="6">
        <v>52357</v>
      </c>
      <c r="I1961" s="6">
        <v>91726</v>
      </c>
      <c r="J1961" s="6">
        <v>307401</v>
      </c>
      <c r="K1961" s="6">
        <v>532128</v>
      </c>
      <c r="L1961" s="6">
        <v>212996</v>
      </c>
      <c r="M1961" s="6">
        <v>2409221</v>
      </c>
      <c r="T1961" s="42"/>
    </row>
    <row r="1962" spans="1:20" x14ac:dyDescent="0.3">
      <c r="A1962" s="7">
        <v>43298</v>
      </c>
      <c r="B1962" s="7"/>
      <c r="C1962" s="6">
        <v>132857</v>
      </c>
      <c r="D1962" s="6">
        <v>188087</v>
      </c>
      <c r="E1962" s="6">
        <v>157927</v>
      </c>
      <c r="F1962" s="14">
        <v>494539</v>
      </c>
      <c r="G1962" s="6">
        <v>215636</v>
      </c>
      <c r="H1962" s="6">
        <v>53254</v>
      </c>
      <c r="I1962" s="6">
        <v>91952</v>
      </c>
      <c r="J1962" s="6">
        <v>303929</v>
      </c>
      <c r="K1962" s="6">
        <v>528278</v>
      </c>
      <c r="L1962" s="6">
        <v>212527</v>
      </c>
      <c r="M1962" s="6">
        <v>2440486</v>
      </c>
      <c r="T1962" s="42"/>
    </row>
    <row r="1963" spans="1:20" x14ac:dyDescent="0.3">
      <c r="A1963" s="7">
        <v>43297</v>
      </c>
      <c r="B1963" s="7"/>
      <c r="C1963" s="6">
        <v>131520</v>
      </c>
      <c r="D1963" s="6">
        <v>176421</v>
      </c>
      <c r="E1963" s="6">
        <v>156329</v>
      </c>
      <c r="F1963" s="14">
        <v>493279</v>
      </c>
      <c r="G1963" s="6">
        <v>213625</v>
      </c>
      <c r="H1963" s="6">
        <v>53242</v>
      </c>
      <c r="I1963" s="6">
        <v>92845</v>
      </c>
      <c r="J1963" s="6">
        <v>301131</v>
      </c>
      <c r="K1963" s="6">
        <v>526471</v>
      </c>
      <c r="L1963" s="6">
        <v>211275</v>
      </c>
      <c r="M1963" s="6">
        <v>2490270</v>
      </c>
      <c r="T1963" s="42"/>
    </row>
    <row r="1964" spans="1:20" x14ac:dyDescent="0.3">
      <c r="A1964" s="7">
        <v>43294</v>
      </c>
      <c r="B1964" s="7"/>
      <c r="C1964" s="6">
        <v>134768</v>
      </c>
      <c r="D1964" s="6">
        <v>178871</v>
      </c>
      <c r="E1964" s="6">
        <v>157569</v>
      </c>
      <c r="F1964" s="14">
        <v>493765</v>
      </c>
      <c r="G1964" s="6">
        <v>209282</v>
      </c>
      <c r="H1964" s="6">
        <v>54473</v>
      </c>
      <c r="I1964" s="6">
        <v>93252</v>
      </c>
      <c r="J1964" s="6">
        <v>297739</v>
      </c>
      <c r="K1964" s="6">
        <v>522194</v>
      </c>
      <c r="L1964" s="6">
        <v>210964</v>
      </c>
      <c r="M1964" s="6">
        <v>2482858</v>
      </c>
      <c r="T1964" s="42"/>
    </row>
    <row r="1965" spans="1:20" x14ac:dyDescent="0.3">
      <c r="A1965" s="7">
        <v>43293</v>
      </c>
      <c r="B1965" s="7"/>
      <c r="C1965" s="6">
        <v>134471</v>
      </c>
      <c r="D1965" s="6">
        <v>178255</v>
      </c>
      <c r="E1965" s="6">
        <v>159490</v>
      </c>
      <c r="F1965" s="14">
        <v>493561</v>
      </c>
      <c r="G1965" s="6">
        <v>204174</v>
      </c>
      <c r="H1965" s="6">
        <v>54074</v>
      </c>
      <c r="I1965" s="6">
        <v>92749</v>
      </c>
      <c r="J1965" s="6">
        <v>290998</v>
      </c>
      <c r="K1965" s="6">
        <v>510768</v>
      </c>
      <c r="L1965" s="6">
        <v>208079</v>
      </c>
      <c r="M1965" s="6">
        <v>2465474</v>
      </c>
      <c r="T1965" s="42"/>
    </row>
    <row r="1966" spans="1:20" x14ac:dyDescent="0.3">
      <c r="A1966" s="7">
        <v>43292</v>
      </c>
      <c r="B1966" s="7"/>
      <c r="C1966" s="6">
        <v>137119</v>
      </c>
      <c r="D1966" s="6">
        <v>180054</v>
      </c>
      <c r="E1966" s="6">
        <v>162369</v>
      </c>
      <c r="F1966" s="14">
        <v>499107</v>
      </c>
      <c r="G1966" s="6">
        <v>196509</v>
      </c>
      <c r="H1966" s="6">
        <v>54313</v>
      </c>
      <c r="I1966" s="6">
        <v>90008</v>
      </c>
      <c r="J1966" s="6">
        <v>284824</v>
      </c>
      <c r="K1966" s="6">
        <v>507347</v>
      </c>
      <c r="L1966" s="6">
        <v>207802</v>
      </c>
      <c r="M1966" s="6">
        <v>2513828</v>
      </c>
      <c r="T1966" s="42"/>
    </row>
    <row r="1967" spans="1:20" x14ac:dyDescent="0.3">
      <c r="A1967" s="7">
        <v>43291</v>
      </c>
      <c r="B1967" s="7"/>
      <c r="C1967" s="6">
        <v>135171</v>
      </c>
      <c r="D1967" s="6">
        <v>178633</v>
      </c>
      <c r="E1967" s="6">
        <v>159504</v>
      </c>
      <c r="F1967" s="14">
        <v>477596</v>
      </c>
      <c r="G1967" s="6">
        <v>182066</v>
      </c>
      <c r="H1967" s="6">
        <v>52787</v>
      </c>
      <c r="I1967" s="6">
        <v>89910</v>
      </c>
      <c r="J1967" s="6">
        <v>280668</v>
      </c>
      <c r="K1967" s="6">
        <v>503593</v>
      </c>
      <c r="L1967" s="6">
        <v>207701</v>
      </c>
      <c r="M1967" s="6">
        <v>2499172</v>
      </c>
      <c r="T1967" s="42"/>
    </row>
    <row r="1968" spans="1:20" x14ac:dyDescent="0.3">
      <c r="A1968" s="7">
        <v>43290</v>
      </c>
      <c r="B1968" s="7"/>
      <c r="C1968" s="6">
        <v>138143</v>
      </c>
      <c r="D1968" s="6">
        <v>181283</v>
      </c>
      <c r="E1968" s="6">
        <v>161888</v>
      </c>
      <c r="F1968" s="14">
        <v>481503</v>
      </c>
      <c r="G1968" s="6">
        <v>169059</v>
      </c>
      <c r="H1968" s="6">
        <v>53643</v>
      </c>
      <c r="I1968" s="6">
        <v>90024</v>
      </c>
      <c r="J1968" s="6">
        <v>276227</v>
      </c>
      <c r="K1968" s="6">
        <v>507366</v>
      </c>
      <c r="L1968" s="6">
        <v>207154</v>
      </c>
      <c r="M1968" s="6">
        <v>2489778</v>
      </c>
      <c r="T1968" s="42"/>
    </row>
    <row r="1969" spans="1:20" x14ac:dyDescent="0.3">
      <c r="A1969" s="7">
        <v>43287</v>
      </c>
      <c r="B1969" s="7"/>
      <c r="C1969" s="6">
        <v>141461</v>
      </c>
      <c r="D1969" s="6">
        <v>178643</v>
      </c>
      <c r="E1969" s="6">
        <v>160556</v>
      </c>
      <c r="F1969" s="14">
        <v>473923</v>
      </c>
      <c r="G1969" s="6">
        <v>163575</v>
      </c>
      <c r="H1969" s="6">
        <v>54529</v>
      </c>
      <c r="I1969" s="6">
        <v>90239</v>
      </c>
      <c r="J1969" s="6">
        <v>268117</v>
      </c>
      <c r="K1969" s="6">
        <v>498271</v>
      </c>
      <c r="L1969" s="6">
        <v>204306</v>
      </c>
      <c r="M1969" s="6">
        <v>2480588</v>
      </c>
      <c r="T1969" s="42"/>
    </row>
    <row r="1970" spans="1:20" x14ac:dyDescent="0.3">
      <c r="A1970" s="7">
        <v>43286</v>
      </c>
      <c r="B1970" s="7"/>
      <c r="C1970" s="6">
        <v>141945</v>
      </c>
      <c r="D1970" s="6">
        <v>182733</v>
      </c>
      <c r="E1970" s="6">
        <v>161897</v>
      </c>
      <c r="F1970" s="14">
        <v>488587</v>
      </c>
      <c r="G1970" s="6">
        <v>170362</v>
      </c>
      <c r="H1970" s="6">
        <v>53738</v>
      </c>
      <c r="I1970" s="6">
        <v>90471</v>
      </c>
      <c r="J1970" s="6">
        <v>266049</v>
      </c>
      <c r="K1970" s="6">
        <v>490401</v>
      </c>
      <c r="L1970" s="6">
        <v>205426</v>
      </c>
      <c r="M1970" s="6">
        <v>2464057</v>
      </c>
      <c r="T1970" s="42"/>
    </row>
    <row r="1971" spans="1:20" x14ac:dyDescent="0.3">
      <c r="A1971" s="7">
        <v>43284</v>
      </c>
      <c r="B1971" s="7"/>
      <c r="C1971" s="6">
        <v>141049</v>
      </c>
      <c r="D1971" s="6">
        <v>184402</v>
      </c>
      <c r="E1971" s="6">
        <v>158341</v>
      </c>
      <c r="F1971" s="14">
        <v>487131</v>
      </c>
      <c r="G1971" s="6">
        <v>168360</v>
      </c>
      <c r="H1971" s="6">
        <v>53676</v>
      </c>
      <c r="I1971" s="6">
        <v>91196</v>
      </c>
      <c r="J1971" s="6">
        <v>261618</v>
      </c>
      <c r="K1971" s="6">
        <v>494164</v>
      </c>
      <c r="L1971" s="6">
        <v>205622</v>
      </c>
      <c r="M1971" s="6">
        <v>2466531</v>
      </c>
      <c r="T1971" s="42"/>
    </row>
    <row r="1972" spans="1:20" x14ac:dyDescent="0.3">
      <c r="A1972" s="7">
        <v>43283</v>
      </c>
      <c r="B1972" s="7"/>
      <c r="C1972" s="6">
        <v>144182</v>
      </c>
      <c r="D1972" s="6">
        <v>186130</v>
      </c>
      <c r="E1972" s="6">
        <v>159638</v>
      </c>
      <c r="F1972" s="14">
        <v>487514</v>
      </c>
      <c r="G1972" s="6">
        <v>171468</v>
      </c>
      <c r="H1972" s="6">
        <v>53374</v>
      </c>
      <c r="I1972" s="6">
        <v>93158</v>
      </c>
      <c r="J1972" s="6">
        <v>263401</v>
      </c>
      <c r="K1972" s="6">
        <v>490810</v>
      </c>
      <c r="L1972" s="6">
        <v>208174</v>
      </c>
      <c r="M1972" s="6">
        <v>2478333</v>
      </c>
      <c r="T1972" s="42"/>
    </row>
    <row r="1973" spans="1:20" x14ac:dyDescent="0.3">
      <c r="A1973" s="7">
        <v>43280</v>
      </c>
      <c r="B1973" s="7"/>
      <c r="C1973" s="6">
        <v>141630</v>
      </c>
      <c r="D1973" s="6">
        <v>183631</v>
      </c>
      <c r="E1973" s="6">
        <v>160429</v>
      </c>
      <c r="F1973" s="14">
        <v>484444</v>
      </c>
      <c r="G1973" s="6">
        <v>166067</v>
      </c>
      <c r="H1973" s="6">
        <v>50935</v>
      </c>
      <c r="I1973" s="6">
        <v>95328</v>
      </c>
      <c r="J1973" s="6">
        <v>266058</v>
      </c>
      <c r="K1973" s="6">
        <v>477440</v>
      </c>
      <c r="L1973" s="6">
        <v>209151</v>
      </c>
      <c r="M1973" s="6">
        <v>2491138</v>
      </c>
      <c r="T1973" s="42"/>
    </row>
    <row r="1974" spans="1:20" x14ac:dyDescent="0.3">
      <c r="A1974" s="7">
        <v>43279</v>
      </c>
      <c r="B1974" s="7"/>
      <c r="C1974" s="6">
        <v>140705</v>
      </c>
      <c r="D1974" s="6">
        <v>184826</v>
      </c>
      <c r="E1974" s="6">
        <v>162866</v>
      </c>
      <c r="F1974" s="14">
        <v>484300</v>
      </c>
      <c r="G1974" s="6">
        <v>157645</v>
      </c>
      <c r="H1974" s="6">
        <v>50867</v>
      </c>
      <c r="I1974" s="6">
        <v>95887</v>
      </c>
      <c r="J1974" s="6">
        <v>267344</v>
      </c>
      <c r="K1974" s="6">
        <v>470182</v>
      </c>
      <c r="L1974" s="6">
        <v>209605</v>
      </c>
      <c r="M1974" s="6">
        <v>2479039</v>
      </c>
      <c r="T1974" s="42"/>
    </row>
    <row r="1975" spans="1:20" x14ac:dyDescent="0.3">
      <c r="A1975" s="7">
        <v>43278</v>
      </c>
      <c r="B1975" s="7"/>
      <c r="C1975" s="6">
        <v>138785</v>
      </c>
      <c r="D1975" s="6">
        <v>176964</v>
      </c>
      <c r="E1975" s="6">
        <v>162605</v>
      </c>
      <c r="F1975" s="14">
        <v>485045</v>
      </c>
      <c r="G1975" s="6">
        <v>156271</v>
      </c>
      <c r="H1975" s="6">
        <v>48332</v>
      </c>
      <c r="I1975" s="6">
        <v>94788</v>
      </c>
      <c r="J1975" s="6">
        <v>266813</v>
      </c>
      <c r="K1975" s="6">
        <v>470312</v>
      </c>
      <c r="L1975" s="6">
        <v>218236</v>
      </c>
      <c r="M1975" s="6">
        <v>2467781</v>
      </c>
      <c r="T1975" s="42"/>
    </row>
    <row r="1976" spans="1:20" x14ac:dyDescent="0.3">
      <c r="A1976" s="7">
        <v>43277</v>
      </c>
      <c r="B1976" s="7"/>
      <c r="C1976" s="6">
        <v>137795</v>
      </c>
      <c r="D1976" s="6">
        <v>169623</v>
      </c>
      <c r="E1976" s="6">
        <v>159233</v>
      </c>
      <c r="F1976" s="14">
        <v>481383</v>
      </c>
      <c r="G1976" s="6">
        <v>153566</v>
      </c>
      <c r="H1976" s="6">
        <v>45026</v>
      </c>
      <c r="I1976" s="6">
        <v>92933</v>
      </c>
      <c r="J1976" s="6">
        <v>268714</v>
      </c>
      <c r="K1976" s="6">
        <v>468573</v>
      </c>
      <c r="L1976" s="6">
        <v>218492</v>
      </c>
      <c r="M1976" s="6">
        <v>2423829</v>
      </c>
      <c r="T1976" s="42"/>
    </row>
    <row r="1977" spans="1:20" x14ac:dyDescent="0.3">
      <c r="A1977" s="7">
        <v>43276</v>
      </c>
      <c r="B1977" s="7"/>
      <c r="C1977" s="6">
        <v>138223</v>
      </c>
      <c r="D1977" s="6">
        <v>169897</v>
      </c>
      <c r="E1977" s="6">
        <v>160788</v>
      </c>
      <c r="F1977" s="14">
        <v>484713</v>
      </c>
      <c r="G1977" s="6">
        <v>157311</v>
      </c>
      <c r="H1977" s="6">
        <v>44153</v>
      </c>
      <c r="I1977" s="6">
        <v>92061</v>
      </c>
      <c r="J1977" s="6">
        <v>265002</v>
      </c>
      <c r="K1977" s="6">
        <v>474898</v>
      </c>
      <c r="L1977" s="6">
        <v>220980</v>
      </c>
      <c r="M1977" s="6">
        <v>2403349</v>
      </c>
      <c r="T1977" s="42"/>
    </row>
    <row r="1978" spans="1:20" x14ac:dyDescent="0.3">
      <c r="A1978" s="7">
        <v>43273</v>
      </c>
      <c r="B1978" s="7"/>
      <c r="C1978" s="6">
        <v>144772</v>
      </c>
      <c r="D1978" s="6">
        <v>170674</v>
      </c>
      <c r="E1978" s="6">
        <v>158828</v>
      </c>
      <c r="F1978" s="14">
        <v>484030</v>
      </c>
      <c r="G1978" s="6">
        <v>153821</v>
      </c>
      <c r="H1978" s="6">
        <v>44252</v>
      </c>
      <c r="I1978" s="6">
        <v>92766</v>
      </c>
      <c r="J1978" s="6">
        <v>262377</v>
      </c>
      <c r="K1978" s="6">
        <v>473193</v>
      </c>
      <c r="L1978" s="6">
        <v>219048</v>
      </c>
      <c r="M1978" s="6">
        <v>2419733</v>
      </c>
      <c r="T1978" s="42"/>
    </row>
    <row r="1979" spans="1:20" x14ac:dyDescent="0.3">
      <c r="A1979" s="7">
        <v>43272</v>
      </c>
      <c r="B1979" s="7"/>
      <c r="C1979" s="6">
        <v>139661</v>
      </c>
      <c r="D1979" s="6">
        <v>173878</v>
      </c>
      <c r="E1979" s="6">
        <v>152345</v>
      </c>
      <c r="F1979" s="14">
        <v>488059</v>
      </c>
      <c r="G1979" s="6">
        <v>153841</v>
      </c>
      <c r="H1979" s="6">
        <v>45233</v>
      </c>
      <c r="I1979" s="6">
        <v>93539</v>
      </c>
      <c r="J1979" s="6">
        <v>260414</v>
      </c>
      <c r="K1979" s="6">
        <v>470217</v>
      </c>
      <c r="L1979" s="6">
        <v>219254</v>
      </c>
      <c r="M1979" s="6">
        <v>2458880</v>
      </c>
      <c r="T1979" s="42"/>
    </row>
    <row r="1980" spans="1:20" x14ac:dyDescent="0.3">
      <c r="A1980" s="7">
        <v>43271</v>
      </c>
      <c r="B1980" s="7"/>
      <c r="C1980" s="6">
        <v>138565</v>
      </c>
      <c r="D1980" s="6">
        <v>173440</v>
      </c>
      <c r="E1980" s="6">
        <v>148394</v>
      </c>
      <c r="F1980" s="14">
        <v>482596</v>
      </c>
      <c r="G1980" s="6">
        <v>154871</v>
      </c>
      <c r="H1980" s="6">
        <v>44344</v>
      </c>
      <c r="I1980" s="6">
        <v>96954</v>
      </c>
      <c r="J1980" s="6">
        <v>257582</v>
      </c>
      <c r="K1980" s="6">
        <v>467379</v>
      </c>
      <c r="L1980" s="6">
        <v>217679</v>
      </c>
      <c r="M1980" s="6">
        <v>2467238</v>
      </c>
      <c r="T1980" s="42"/>
    </row>
    <row r="1981" spans="1:20" x14ac:dyDescent="0.3">
      <c r="A1981" s="7">
        <v>43270</v>
      </c>
      <c r="B1981" s="7"/>
      <c r="C1981" s="6">
        <v>210176</v>
      </c>
      <c r="D1981" s="6">
        <v>251436</v>
      </c>
      <c r="E1981" s="6">
        <v>190384</v>
      </c>
      <c r="F1981" s="14">
        <v>626452</v>
      </c>
      <c r="G1981" s="6">
        <v>200908</v>
      </c>
      <c r="H1981" s="6">
        <v>80413</v>
      </c>
      <c r="I1981" s="6">
        <v>145526</v>
      </c>
      <c r="J1981" s="6">
        <v>268435</v>
      </c>
      <c r="K1981" s="6">
        <v>468345</v>
      </c>
      <c r="L1981" s="6">
        <v>218814</v>
      </c>
      <c r="M1981" s="6">
        <v>2458404</v>
      </c>
      <c r="T1981" s="42"/>
    </row>
    <row r="1982" spans="1:20" x14ac:dyDescent="0.3">
      <c r="A1982" s="7">
        <v>43269</v>
      </c>
      <c r="B1982" s="7"/>
      <c r="C1982" s="6">
        <v>208012</v>
      </c>
      <c r="D1982" s="6">
        <v>243004</v>
      </c>
      <c r="E1982" s="6">
        <v>187633</v>
      </c>
      <c r="F1982" s="14">
        <v>621851</v>
      </c>
      <c r="G1982" s="6">
        <v>197735</v>
      </c>
      <c r="H1982" s="6">
        <v>80053</v>
      </c>
      <c r="I1982" s="6">
        <v>145039</v>
      </c>
      <c r="J1982" s="6">
        <v>281952</v>
      </c>
      <c r="K1982" s="6">
        <v>468119</v>
      </c>
      <c r="L1982" s="6">
        <v>220295</v>
      </c>
      <c r="M1982" s="6">
        <v>2508601</v>
      </c>
      <c r="T1982" s="42"/>
    </row>
    <row r="1983" spans="1:20" x14ac:dyDescent="0.3">
      <c r="A1983" s="7">
        <v>43266</v>
      </c>
      <c r="B1983" s="7"/>
      <c r="C1983" s="6">
        <v>203627</v>
      </c>
      <c r="D1983" s="6">
        <v>240369</v>
      </c>
      <c r="E1983" s="6">
        <v>178945</v>
      </c>
      <c r="F1983" s="14">
        <v>628037</v>
      </c>
      <c r="G1983" s="6">
        <v>194051</v>
      </c>
      <c r="H1983" s="6">
        <v>80157</v>
      </c>
      <c r="I1983" s="6">
        <v>145507</v>
      </c>
      <c r="J1983" s="6">
        <v>288381</v>
      </c>
      <c r="K1983" s="6">
        <v>472680</v>
      </c>
      <c r="L1983" s="6">
        <v>220166</v>
      </c>
      <c r="M1983" s="6">
        <v>2536480</v>
      </c>
      <c r="T1983" s="42"/>
    </row>
    <row r="1984" spans="1:20" x14ac:dyDescent="0.3">
      <c r="A1984" s="7">
        <v>43265</v>
      </c>
      <c r="B1984" s="7"/>
      <c r="C1984" s="6">
        <v>193078</v>
      </c>
      <c r="D1984" s="6">
        <v>241363</v>
      </c>
      <c r="E1984" s="6">
        <v>177740</v>
      </c>
      <c r="F1984" s="14">
        <v>632127</v>
      </c>
      <c r="G1984" s="6">
        <v>185374</v>
      </c>
      <c r="H1984" s="6">
        <v>77742</v>
      </c>
      <c r="I1984" s="6">
        <v>143565</v>
      </c>
      <c r="J1984" s="6">
        <v>292547</v>
      </c>
      <c r="K1984" s="6">
        <v>464439</v>
      </c>
      <c r="L1984" s="6">
        <v>232754</v>
      </c>
      <c r="M1984" s="6">
        <v>2548321</v>
      </c>
      <c r="T1984" s="42"/>
    </row>
    <row r="1985" spans="1:20" x14ac:dyDescent="0.3">
      <c r="A1985" s="7">
        <v>43264</v>
      </c>
      <c r="B1985" s="7"/>
      <c r="C1985" s="6">
        <v>169760</v>
      </c>
      <c r="D1985" s="6">
        <v>235908</v>
      </c>
      <c r="E1985" s="6">
        <v>154971</v>
      </c>
      <c r="F1985" s="14">
        <v>606399</v>
      </c>
      <c r="G1985" s="6">
        <v>177627</v>
      </c>
      <c r="H1985" s="6">
        <v>70481</v>
      </c>
      <c r="I1985" s="6">
        <v>126912</v>
      </c>
      <c r="J1985" s="6">
        <v>287990</v>
      </c>
      <c r="K1985" s="6">
        <v>454229</v>
      </c>
      <c r="L1985" s="6">
        <v>228786</v>
      </c>
      <c r="M1985" s="6">
        <v>2538936</v>
      </c>
      <c r="T1985" s="42"/>
    </row>
    <row r="1986" spans="1:20" x14ac:dyDescent="0.3">
      <c r="A1986" s="7">
        <v>43263</v>
      </c>
      <c r="B1986" s="7"/>
      <c r="C1986" s="6">
        <v>137724</v>
      </c>
      <c r="D1986" s="6">
        <v>269609</v>
      </c>
      <c r="E1986" s="6">
        <v>156985</v>
      </c>
      <c r="F1986" s="14">
        <v>599561</v>
      </c>
      <c r="G1986" s="6">
        <v>166877</v>
      </c>
      <c r="H1986" s="6">
        <v>64699</v>
      </c>
      <c r="I1986" s="6">
        <v>101245</v>
      </c>
      <c r="J1986" s="6">
        <v>285593</v>
      </c>
      <c r="K1986" s="6">
        <v>448695</v>
      </c>
      <c r="L1986" s="6">
        <v>230163</v>
      </c>
      <c r="M1986" s="6">
        <v>2524439</v>
      </c>
      <c r="T1986" s="42"/>
    </row>
    <row r="1987" spans="1:20" x14ac:dyDescent="0.3">
      <c r="A1987" s="7">
        <v>43262</v>
      </c>
      <c r="B1987" s="7"/>
      <c r="C1987" s="6">
        <v>134918</v>
      </c>
      <c r="D1987" s="6">
        <v>252860</v>
      </c>
      <c r="E1987" s="6">
        <v>151760</v>
      </c>
      <c r="F1987" s="14">
        <v>575595</v>
      </c>
      <c r="G1987" s="6">
        <v>165887</v>
      </c>
      <c r="H1987" s="6">
        <v>62038</v>
      </c>
      <c r="I1987" s="6">
        <v>97850</v>
      </c>
      <c r="J1987" s="6">
        <v>287847</v>
      </c>
      <c r="K1987" s="6">
        <v>446828</v>
      </c>
      <c r="L1987" s="6">
        <v>232621</v>
      </c>
      <c r="M1987" s="6">
        <v>2521984</v>
      </c>
      <c r="T1987" s="42"/>
    </row>
    <row r="1988" spans="1:20" x14ac:dyDescent="0.3">
      <c r="A1988" s="7">
        <v>43259</v>
      </c>
      <c r="B1988" s="7"/>
      <c r="C1988" s="6">
        <v>141667</v>
      </c>
      <c r="D1988" s="6">
        <v>243491</v>
      </c>
      <c r="E1988" s="6">
        <v>156167</v>
      </c>
      <c r="F1988" s="14">
        <v>579461</v>
      </c>
      <c r="G1988" s="6">
        <v>158661</v>
      </c>
      <c r="H1988" s="6">
        <v>61806</v>
      </c>
      <c r="I1988" s="6">
        <v>99245</v>
      </c>
      <c r="J1988" s="6">
        <v>292360</v>
      </c>
      <c r="K1988" s="6">
        <v>446905</v>
      </c>
      <c r="L1988" s="6">
        <v>230413</v>
      </c>
      <c r="M1988" s="6">
        <v>2520940</v>
      </c>
      <c r="T1988" s="42"/>
    </row>
    <row r="1989" spans="1:20" x14ac:dyDescent="0.3">
      <c r="A1989" s="7">
        <v>43258</v>
      </c>
      <c r="B1989" s="7"/>
      <c r="C1989" s="6">
        <v>143813</v>
      </c>
      <c r="D1989" s="6">
        <v>251920</v>
      </c>
      <c r="E1989" s="6">
        <v>158658</v>
      </c>
      <c r="F1989" s="14">
        <v>586160</v>
      </c>
      <c r="G1989" s="6">
        <v>155647</v>
      </c>
      <c r="H1989" s="6">
        <v>61430</v>
      </c>
      <c r="I1989" s="6">
        <v>99791</v>
      </c>
      <c r="J1989" s="6">
        <v>284989</v>
      </c>
      <c r="K1989" s="6">
        <v>450367</v>
      </c>
      <c r="L1989" s="6">
        <v>230466</v>
      </c>
      <c r="M1989" s="6">
        <v>2551692</v>
      </c>
      <c r="T1989" s="42"/>
    </row>
    <row r="1990" spans="1:20" x14ac:dyDescent="0.3">
      <c r="A1990" s="7">
        <v>43257</v>
      </c>
      <c r="B1990" s="7"/>
      <c r="C1990" s="6">
        <v>142858</v>
      </c>
      <c r="D1990" s="6">
        <v>249614</v>
      </c>
      <c r="E1990" s="6">
        <v>159932</v>
      </c>
      <c r="F1990" s="14">
        <v>578768</v>
      </c>
      <c r="G1990" s="6">
        <v>145535</v>
      </c>
      <c r="H1990" s="6">
        <v>60600</v>
      </c>
      <c r="I1990" s="6">
        <v>98747</v>
      </c>
      <c r="J1990" s="6">
        <v>280938</v>
      </c>
      <c r="K1990" s="6">
        <v>445714</v>
      </c>
      <c r="L1990" s="6">
        <v>220693</v>
      </c>
      <c r="M1990" s="6">
        <v>2545587</v>
      </c>
      <c r="T1990" s="42"/>
    </row>
    <row r="1991" spans="1:20" x14ac:dyDescent="0.3">
      <c r="A1991" s="7">
        <v>43256</v>
      </c>
      <c r="B1991" s="7"/>
      <c r="C1991" s="6">
        <v>143872</v>
      </c>
      <c r="D1991" s="6">
        <v>239409</v>
      </c>
      <c r="E1991" s="6">
        <v>158317</v>
      </c>
      <c r="F1991" s="14">
        <v>576287</v>
      </c>
      <c r="G1991" s="6">
        <v>146448</v>
      </c>
      <c r="H1991" s="6">
        <v>62065</v>
      </c>
      <c r="I1991" s="6">
        <v>100867</v>
      </c>
      <c r="J1991" s="6">
        <v>264350</v>
      </c>
      <c r="K1991" s="6">
        <v>450641</v>
      </c>
      <c r="L1991" s="6">
        <v>211605</v>
      </c>
      <c r="M1991" s="6">
        <v>2546827</v>
      </c>
      <c r="T1991" s="42"/>
    </row>
    <row r="1992" spans="1:20" x14ac:dyDescent="0.3">
      <c r="A1992" s="7">
        <v>43255</v>
      </c>
      <c r="B1992" s="7"/>
      <c r="C1992" s="6">
        <v>150309</v>
      </c>
      <c r="D1992" s="6">
        <v>225963</v>
      </c>
      <c r="E1992" s="6">
        <v>158487</v>
      </c>
      <c r="F1992" s="14">
        <v>576907</v>
      </c>
      <c r="G1992" s="6">
        <v>149691</v>
      </c>
      <c r="H1992" s="6">
        <v>63617</v>
      </c>
      <c r="I1992" s="6">
        <v>100746</v>
      </c>
      <c r="J1992" s="6">
        <v>262314</v>
      </c>
      <c r="K1992" s="6">
        <v>452344</v>
      </c>
      <c r="L1992" s="6">
        <v>210074</v>
      </c>
      <c r="M1992" s="6">
        <v>2539191</v>
      </c>
      <c r="T1992" s="42"/>
    </row>
    <row r="1993" spans="1:20" x14ac:dyDescent="0.3">
      <c r="A1993" s="7">
        <v>43252</v>
      </c>
      <c r="B1993" s="7"/>
      <c r="C1993" s="6">
        <v>150359</v>
      </c>
      <c r="D1993" s="6">
        <v>224288</v>
      </c>
      <c r="E1993" s="6">
        <v>157370</v>
      </c>
      <c r="F1993" s="14">
        <v>565940</v>
      </c>
      <c r="G1993" s="6">
        <v>151993</v>
      </c>
      <c r="H1993" s="6">
        <v>63400</v>
      </c>
      <c r="I1993" s="6">
        <v>100798</v>
      </c>
      <c r="J1993" s="6">
        <v>261792</v>
      </c>
      <c r="K1993" s="6">
        <v>454581</v>
      </c>
      <c r="L1993" s="6">
        <v>209716</v>
      </c>
      <c r="M1993" s="6">
        <v>2587923</v>
      </c>
      <c r="T1993" s="42"/>
    </row>
    <row r="1994" spans="1:20" x14ac:dyDescent="0.3">
      <c r="A1994" s="7">
        <v>43251</v>
      </c>
      <c r="B1994" s="7"/>
      <c r="C1994" s="6">
        <v>149709</v>
      </c>
      <c r="D1994" s="6">
        <v>226465</v>
      </c>
      <c r="E1994" s="6">
        <v>155469</v>
      </c>
      <c r="F1994" s="14">
        <v>556816</v>
      </c>
      <c r="G1994" s="6">
        <v>158744</v>
      </c>
      <c r="H1994" s="6">
        <v>62992</v>
      </c>
      <c r="I1994" s="6">
        <v>100973</v>
      </c>
      <c r="J1994" s="6">
        <v>263368</v>
      </c>
      <c r="K1994" s="6">
        <v>459124</v>
      </c>
      <c r="L1994" s="6">
        <v>210423</v>
      </c>
      <c r="M1994" s="6">
        <v>2625957</v>
      </c>
      <c r="T1994" s="42"/>
    </row>
    <row r="1995" spans="1:20" x14ac:dyDescent="0.3">
      <c r="A1995" s="7">
        <v>43250</v>
      </c>
      <c r="B1995" s="7"/>
      <c r="C1995" s="6">
        <v>152002</v>
      </c>
      <c r="D1995" s="6">
        <v>221416</v>
      </c>
      <c r="E1995" s="6">
        <v>152264</v>
      </c>
      <c r="F1995" s="14">
        <v>549546</v>
      </c>
      <c r="G1995" s="6">
        <v>161032</v>
      </c>
      <c r="H1995" s="6">
        <v>62582</v>
      </c>
      <c r="I1995" s="6">
        <v>101985</v>
      </c>
      <c r="J1995" s="6">
        <v>263627</v>
      </c>
      <c r="K1995" s="6">
        <v>459911</v>
      </c>
      <c r="L1995" s="6">
        <v>209358</v>
      </c>
      <c r="M1995" s="6">
        <v>2638610</v>
      </c>
      <c r="T1995" s="42"/>
    </row>
    <row r="1996" spans="1:20" x14ac:dyDescent="0.3">
      <c r="A1996" s="7">
        <v>43249</v>
      </c>
      <c r="B1996" s="7"/>
      <c r="C1996" s="6">
        <v>155973</v>
      </c>
      <c r="D1996" s="6">
        <v>205778</v>
      </c>
      <c r="E1996" s="6">
        <v>147495</v>
      </c>
      <c r="F1996" s="14">
        <v>552251</v>
      </c>
      <c r="G1996" s="6">
        <v>171339</v>
      </c>
      <c r="H1996" s="6">
        <v>62523</v>
      </c>
      <c r="I1996" s="6">
        <v>107190</v>
      </c>
      <c r="J1996" s="6">
        <v>266370</v>
      </c>
      <c r="K1996" s="6">
        <v>469382</v>
      </c>
      <c r="L1996" s="6">
        <v>207610</v>
      </c>
      <c r="M1996" s="6">
        <v>2620926</v>
      </c>
      <c r="T1996" s="42"/>
    </row>
    <row r="1997" spans="1:20" x14ac:dyDescent="0.3">
      <c r="A1997" s="7">
        <v>43245</v>
      </c>
      <c r="B1997" s="7"/>
      <c r="C1997" s="6">
        <v>152262</v>
      </c>
      <c r="D1997" s="6">
        <v>199674</v>
      </c>
      <c r="E1997" s="6">
        <v>147617</v>
      </c>
      <c r="F1997" s="14">
        <v>535594</v>
      </c>
      <c r="G1997" s="6">
        <v>171046</v>
      </c>
      <c r="H1997" s="6">
        <v>61989</v>
      </c>
      <c r="I1997" s="6">
        <v>108009</v>
      </c>
      <c r="J1997" s="6">
        <v>265010</v>
      </c>
      <c r="K1997" s="6">
        <v>474566</v>
      </c>
      <c r="L1997" s="6">
        <v>205464</v>
      </c>
      <c r="M1997" s="6">
        <v>2632315</v>
      </c>
      <c r="T1997" s="42"/>
    </row>
    <row r="1998" spans="1:20" x14ac:dyDescent="0.3">
      <c r="A1998" s="7">
        <v>43244</v>
      </c>
      <c r="B1998" s="7"/>
      <c r="C1998" s="6">
        <v>155543</v>
      </c>
      <c r="D1998" s="6">
        <v>194456</v>
      </c>
      <c r="E1998" s="6">
        <v>148260</v>
      </c>
      <c r="F1998" s="14">
        <v>526947</v>
      </c>
      <c r="G1998" s="6">
        <v>175252</v>
      </c>
      <c r="H1998" s="6">
        <v>60867</v>
      </c>
      <c r="I1998" s="6">
        <v>107431</v>
      </c>
      <c r="J1998" s="6">
        <v>265049</v>
      </c>
      <c r="K1998" s="6">
        <v>478572</v>
      </c>
      <c r="L1998" s="6">
        <v>206374</v>
      </c>
      <c r="M1998" s="6">
        <v>2655091</v>
      </c>
      <c r="T1998" s="42"/>
    </row>
    <row r="1999" spans="1:20" x14ac:dyDescent="0.3">
      <c r="A1999" s="7">
        <v>43243</v>
      </c>
      <c r="B1999" s="7"/>
      <c r="C1999" s="6">
        <v>157625</v>
      </c>
      <c r="D1999" s="6">
        <v>194336</v>
      </c>
      <c r="E1999" s="6">
        <v>147035</v>
      </c>
      <c r="F1999" s="14">
        <v>529872</v>
      </c>
      <c r="G1999" s="6">
        <v>177439</v>
      </c>
      <c r="H1999" s="6">
        <v>60348</v>
      </c>
      <c r="I1999" s="6">
        <v>108171</v>
      </c>
      <c r="J1999" s="6">
        <v>264725</v>
      </c>
      <c r="K1999" s="6">
        <v>496131</v>
      </c>
      <c r="L1999" s="6">
        <v>200325</v>
      </c>
      <c r="M1999" s="6">
        <v>2646087</v>
      </c>
      <c r="T1999" s="42"/>
    </row>
    <row r="2000" spans="1:20" x14ac:dyDescent="0.3">
      <c r="A2000" s="7">
        <v>43242</v>
      </c>
      <c r="B2000" s="7"/>
      <c r="C2000" s="6">
        <v>150320</v>
      </c>
      <c r="D2000" s="6">
        <v>186517</v>
      </c>
      <c r="E2000" s="6">
        <v>136118</v>
      </c>
      <c r="F2000" s="14">
        <v>520648</v>
      </c>
      <c r="G2000" s="6">
        <v>175316</v>
      </c>
      <c r="H2000" s="6">
        <v>60456</v>
      </c>
      <c r="I2000" s="6">
        <v>104258</v>
      </c>
      <c r="J2000" s="6">
        <v>260111</v>
      </c>
      <c r="K2000" s="6">
        <v>502942</v>
      </c>
      <c r="L2000" s="6">
        <v>198248</v>
      </c>
      <c r="M2000" s="6">
        <v>2643354</v>
      </c>
      <c r="T2000" s="42"/>
    </row>
    <row r="2001" spans="1:20" x14ac:dyDescent="0.3">
      <c r="A2001" s="7">
        <v>43241</v>
      </c>
      <c r="B2001" s="7"/>
      <c r="C2001" s="6">
        <v>149893</v>
      </c>
      <c r="D2001" s="6">
        <v>187693</v>
      </c>
      <c r="E2001" s="6">
        <v>123434</v>
      </c>
      <c r="F2001" s="14">
        <v>518591</v>
      </c>
      <c r="G2001" s="6">
        <v>171268</v>
      </c>
      <c r="H2001" s="6">
        <v>61725</v>
      </c>
      <c r="I2001" s="6">
        <v>104289</v>
      </c>
      <c r="J2001" s="6">
        <v>255784</v>
      </c>
      <c r="K2001" s="6">
        <v>506479</v>
      </c>
      <c r="L2001" s="6">
        <v>199896</v>
      </c>
      <c r="M2001" s="6">
        <v>2641241</v>
      </c>
      <c r="T2001" s="42"/>
    </row>
    <row r="2002" spans="1:20" x14ac:dyDescent="0.3">
      <c r="A2002" s="7">
        <v>43238</v>
      </c>
      <c r="B2002" s="7"/>
      <c r="C2002" s="6">
        <v>164444</v>
      </c>
      <c r="D2002" s="6">
        <v>184547</v>
      </c>
      <c r="E2002" s="6">
        <v>124126</v>
      </c>
      <c r="F2002" s="14">
        <v>513951</v>
      </c>
      <c r="G2002" s="6">
        <v>164530</v>
      </c>
      <c r="H2002" s="6">
        <v>60998</v>
      </c>
      <c r="I2002" s="6">
        <v>103829</v>
      </c>
      <c r="J2002" s="6">
        <v>254813</v>
      </c>
      <c r="K2002" s="6">
        <v>513158</v>
      </c>
      <c r="L2002" s="6">
        <v>200264</v>
      </c>
      <c r="M2002" s="6">
        <v>2658315</v>
      </c>
      <c r="T2002" s="42"/>
    </row>
    <row r="2003" spans="1:20" x14ac:dyDescent="0.3">
      <c r="A2003" s="7">
        <v>43237</v>
      </c>
      <c r="B2003" s="7"/>
      <c r="C2003" s="6">
        <v>167303</v>
      </c>
      <c r="D2003" s="6">
        <v>184367</v>
      </c>
      <c r="E2003" s="6">
        <v>124486</v>
      </c>
      <c r="F2003" s="14">
        <v>510232</v>
      </c>
      <c r="G2003" s="6">
        <v>165081</v>
      </c>
      <c r="H2003" s="6">
        <v>62810</v>
      </c>
      <c r="I2003" s="6">
        <v>102807</v>
      </c>
      <c r="J2003" s="6">
        <v>253706</v>
      </c>
      <c r="K2003" s="6">
        <v>512963</v>
      </c>
      <c r="L2003" s="6">
        <v>199277</v>
      </c>
      <c r="M2003" s="6">
        <v>2659819</v>
      </c>
      <c r="T2003" s="42"/>
    </row>
    <row r="2004" spans="1:20" x14ac:dyDescent="0.3">
      <c r="A2004" s="7">
        <v>43236</v>
      </c>
      <c r="B2004" s="7"/>
      <c r="C2004" s="6">
        <v>166785</v>
      </c>
      <c r="D2004" s="6">
        <v>183523</v>
      </c>
      <c r="E2004" s="6">
        <v>126181</v>
      </c>
      <c r="F2004" s="14">
        <v>507809</v>
      </c>
      <c r="G2004" s="6">
        <v>160902</v>
      </c>
      <c r="H2004" s="6">
        <v>60292</v>
      </c>
      <c r="I2004" s="6">
        <v>103709</v>
      </c>
      <c r="J2004" s="6">
        <v>254072</v>
      </c>
      <c r="K2004" s="6">
        <v>512413</v>
      </c>
      <c r="L2004" s="6">
        <v>200059</v>
      </c>
      <c r="M2004" s="6">
        <v>2713986</v>
      </c>
    </row>
    <row r="2005" spans="1:20" x14ac:dyDescent="0.3">
      <c r="A2005" s="7">
        <v>43235</v>
      </c>
      <c r="B2005" s="7"/>
      <c r="C2005" s="6">
        <v>174078</v>
      </c>
      <c r="D2005" s="6">
        <v>191692</v>
      </c>
      <c r="E2005" s="6">
        <v>128708</v>
      </c>
      <c r="F2005" s="14">
        <v>514736</v>
      </c>
      <c r="G2005" s="6">
        <v>163724</v>
      </c>
      <c r="H2005" s="6">
        <v>59874</v>
      </c>
      <c r="I2005" s="6">
        <v>103691</v>
      </c>
      <c r="J2005" s="6">
        <v>258587</v>
      </c>
      <c r="K2005" s="6">
        <v>519958</v>
      </c>
      <c r="L2005" s="6">
        <v>198065</v>
      </c>
      <c r="M2005" s="6">
        <v>2706454</v>
      </c>
    </row>
    <row r="2006" spans="1:20" x14ac:dyDescent="0.3">
      <c r="A2006" s="7">
        <v>43234</v>
      </c>
      <c r="B2006" s="7"/>
      <c r="C2006" s="6">
        <v>172741</v>
      </c>
      <c r="D2006" s="6">
        <v>189337</v>
      </c>
      <c r="E2006" s="6">
        <v>126792</v>
      </c>
      <c r="F2006" s="14">
        <v>515169</v>
      </c>
      <c r="G2006" s="6">
        <v>155587</v>
      </c>
      <c r="H2006" s="6">
        <v>57505</v>
      </c>
      <c r="I2006" s="6">
        <v>103913</v>
      </c>
      <c r="J2006" s="6">
        <v>263172</v>
      </c>
      <c r="K2006" s="6">
        <v>514183</v>
      </c>
      <c r="L2006" s="6">
        <v>194882</v>
      </c>
      <c r="M2006" s="6">
        <v>2680287</v>
      </c>
    </row>
    <row r="2007" spans="1:20" x14ac:dyDescent="0.3">
      <c r="A2007" s="7">
        <v>43231</v>
      </c>
      <c r="B2007" s="7"/>
      <c r="C2007" s="6">
        <v>170517</v>
      </c>
      <c r="D2007" s="6">
        <v>187821</v>
      </c>
      <c r="E2007" s="6">
        <v>127887</v>
      </c>
      <c r="F2007" s="14">
        <v>517160</v>
      </c>
      <c r="G2007" s="6">
        <v>152591</v>
      </c>
      <c r="H2007" s="6">
        <v>55038</v>
      </c>
      <c r="I2007" s="6">
        <v>102825</v>
      </c>
      <c r="J2007" s="6">
        <v>262314</v>
      </c>
      <c r="K2007" s="6">
        <v>502178</v>
      </c>
      <c r="L2007" s="6">
        <v>197928</v>
      </c>
      <c r="M2007" s="6">
        <v>2706686</v>
      </c>
    </row>
    <row r="2008" spans="1:20" x14ac:dyDescent="0.3">
      <c r="A2008" s="7">
        <v>43230</v>
      </c>
      <c r="B2008" s="7"/>
      <c r="C2008" s="6">
        <v>167799</v>
      </c>
      <c r="D2008" s="6">
        <v>192216</v>
      </c>
      <c r="E2008" s="6">
        <v>128680</v>
      </c>
      <c r="F2008" s="14">
        <v>516528</v>
      </c>
      <c r="G2008" s="6">
        <v>152970</v>
      </c>
      <c r="H2008" s="6">
        <v>52338</v>
      </c>
      <c r="I2008" s="6">
        <v>101293</v>
      </c>
      <c r="J2008" s="6">
        <v>258839</v>
      </c>
      <c r="K2008" s="6">
        <v>506316</v>
      </c>
      <c r="L2008" s="6">
        <v>198275</v>
      </c>
      <c r="M2008" s="6">
        <v>2694428</v>
      </c>
    </row>
    <row r="2009" spans="1:20" x14ac:dyDescent="0.3">
      <c r="A2009" s="7">
        <v>43229</v>
      </c>
      <c r="B2009" s="7"/>
      <c r="C2009" s="6">
        <v>163126</v>
      </c>
      <c r="D2009" s="6">
        <v>186938</v>
      </c>
      <c r="E2009" s="6">
        <v>128558</v>
      </c>
      <c r="F2009" s="14">
        <v>510412</v>
      </c>
      <c r="G2009" s="6">
        <v>155611</v>
      </c>
      <c r="H2009" s="6">
        <v>50590</v>
      </c>
      <c r="I2009" s="6">
        <v>99431</v>
      </c>
      <c r="J2009" s="6">
        <v>253619</v>
      </c>
      <c r="K2009" s="6">
        <v>495151</v>
      </c>
      <c r="L2009" s="6">
        <v>194936</v>
      </c>
      <c r="M2009" s="6">
        <v>2676256</v>
      </c>
    </row>
    <row r="2010" spans="1:20" x14ac:dyDescent="0.3">
      <c r="A2010" s="7">
        <v>43228</v>
      </c>
      <c r="B2010" s="7"/>
      <c r="C2010" s="6">
        <v>160224</v>
      </c>
      <c r="D2010" s="6">
        <v>188802</v>
      </c>
      <c r="E2010" s="6">
        <v>128877</v>
      </c>
      <c r="F2010" s="14">
        <v>515132</v>
      </c>
      <c r="G2010" s="6">
        <v>157576</v>
      </c>
      <c r="H2010" s="6">
        <v>49725</v>
      </c>
      <c r="I2010" s="6">
        <v>97900</v>
      </c>
      <c r="J2010" s="6">
        <v>253834</v>
      </c>
      <c r="K2010" s="6">
        <v>491398</v>
      </c>
      <c r="L2010" s="6">
        <v>195865</v>
      </c>
      <c r="M2010" s="6">
        <v>2658229</v>
      </c>
    </row>
    <row r="2011" spans="1:20" x14ac:dyDescent="0.3">
      <c r="A2011" s="7">
        <v>43227</v>
      </c>
      <c r="B2011" s="7"/>
      <c r="C2011" s="6">
        <v>159854</v>
      </c>
      <c r="D2011" s="6">
        <v>187971</v>
      </c>
      <c r="E2011" s="6">
        <v>122054</v>
      </c>
      <c r="F2011" s="14">
        <v>515291</v>
      </c>
      <c r="G2011" s="6">
        <v>159523</v>
      </c>
      <c r="H2011" s="6">
        <v>48031</v>
      </c>
      <c r="I2011" s="6">
        <v>94337</v>
      </c>
      <c r="J2011" s="6">
        <v>246113</v>
      </c>
      <c r="K2011" s="6">
        <v>495157</v>
      </c>
      <c r="L2011" s="6">
        <v>195234</v>
      </c>
      <c r="M2011" s="6">
        <v>2686536</v>
      </c>
    </row>
    <row r="2012" spans="1:20" x14ac:dyDescent="0.3">
      <c r="A2012" s="7">
        <v>43224</v>
      </c>
      <c r="B2012" s="7"/>
      <c r="C2012" s="6">
        <v>160266</v>
      </c>
      <c r="D2012" s="6">
        <v>190286</v>
      </c>
      <c r="E2012" s="6">
        <v>123139</v>
      </c>
      <c r="F2012" s="14">
        <v>513716</v>
      </c>
      <c r="G2012" s="6">
        <v>163522</v>
      </c>
      <c r="H2012" s="6">
        <v>47749</v>
      </c>
      <c r="I2012" s="6">
        <v>93383</v>
      </c>
      <c r="J2012" s="6">
        <v>244825</v>
      </c>
      <c r="K2012" s="6">
        <v>499189</v>
      </c>
      <c r="L2012" s="6">
        <v>194762</v>
      </c>
      <c r="M2012" s="6">
        <v>2695178</v>
      </c>
    </row>
    <row r="2013" spans="1:20" x14ac:dyDescent="0.3">
      <c r="A2013" s="7">
        <v>43223</v>
      </c>
      <c r="B2013" s="7"/>
      <c r="C2013" s="6">
        <v>159854</v>
      </c>
      <c r="D2013" s="6">
        <v>192497</v>
      </c>
      <c r="E2013" s="6">
        <v>122723</v>
      </c>
      <c r="F2013" s="14">
        <v>520890</v>
      </c>
      <c r="G2013" s="6">
        <v>164067</v>
      </c>
      <c r="H2013" s="6">
        <v>48025</v>
      </c>
      <c r="I2013" s="6">
        <v>90224</v>
      </c>
      <c r="J2013" s="6">
        <v>243373</v>
      </c>
      <c r="K2013" s="6">
        <v>497125</v>
      </c>
      <c r="L2013" s="6">
        <v>193685</v>
      </c>
      <c r="M2013" s="6">
        <v>2679593</v>
      </c>
    </row>
    <row r="2014" spans="1:20" x14ac:dyDescent="0.3">
      <c r="A2014" s="7">
        <v>43222</v>
      </c>
      <c r="B2014" s="7"/>
      <c r="C2014" s="6">
        <v>153145</v>
      </c>
      <c r="D2014" s="6">
        <v>191559</v>
      </c>
      <c r="E2014" s="6">
        <v>122338</v>
      </c>
      <c r="F2014" s="14">
        <v>516385</v>
      </c>
      <c r="G2014" s="6">
        <v>162077</v>
      </c>
      <c r="H2014" s="6">
        <v>47132</v>
      </c>
      <c r="I2014" s="6">
        <v>87417</v>
      </c>
      <c r="J2014" s="6">
        <v>242878</v>
      </c>
      <c r="K2014" s="6">
        <v>501065</v>
      </c>
      <c r="L2014" s="6">
        <v>193395</v>
      </c>
      <c r="M2014" s="6">
        <v>2643779</v>
      </c>
    </row>
    <row r="2015" spans="1:20" x14ac:dyDescent="0.3">
      <c r="A2015" s="7">
        <v>43221</v>
      </c>
      <c r="B2015" s="7"/>
      <c r="C2015" s="6">
        <v>145711</v>
      </c>
      <c r="D2015" s="6">
        <v>194859</v>
      </c>
      <c r="E2015" s="6">
        <v>121676</v>
      </c>
      <c r="F2015" s="14">
        <v>509659</v>
      </c>
      <c r="G2015" s="6">
        <v>160337</v>
      </c>
      <c r="H2015" s="6">
        <v>47605</v>
      </c>
      <c r="I2015" s="6">
        <v>84228</v>
      </c>
      <c r="J2015" s="6">
        <v>243337</v>
      </c>
      <c r="K2015" s="6">
        <v>507756</v>
      </c>
      <c r="L2015" s="6">
        <v>194685</v>
      </c>
      <c r="M2015" s="6">
        <v>2621768</v>
      </c>
    </row>
    <row r="2016" spans="1:20" x14ac:dyDescent="0.3">
      <c r="A2016" s="7">
        <v>43220</v>
      </c>
      <c r="B2016" s="7"/>
      <c r="C2016" s="6">
        <v>142155</v>
      </c>
      <c r="D2016" s="6">
        <v>193955</v>
      </c>
      <c r="E2016" s="6">
        <v>121980</v>
      </c>
      <c r="F2016" s="14">
        <v>505508</v>
      </c>
      <c r="G2016" s="6">
        <v>156720</v>
      </c>
      <c r="H2016" s="6">
        <v>48592</v>
      </c>
      <c r="I2016" s="6">
        <v>83068</v>
      </c>
      <c r="J2016" s="6">
        <v>239923</v>
      </c>
      <c r="K2016" s="6">
        <v>503700</v>
      </c>
      <c r="L2016" s="6">
        <v>193383</v>
      </c>
      <c r="M2016" s="6">
        <v>2635063</v>
      </c>
    </row>
    <row r="2017" spans="1:13" x14ac:dyDescent="0.3">
      <c r="A2017" s="7">
        <v>43217</v>
      </c>
      <c r="B2017" s="7"/>
      <c r="C2017" s="6">
        <v>138487</v>
      </c>
      <c r="D2017" s="6">
        <v>192474</v>
      </c>
      <c r="E2017" s="6">
        <v>122267</v>
      </c>
      <c r="F2017" s="14">
        <v>500806</v>
      </c>
      <c r="G2017" s="6">
        <v>152955</v>
      </c>
      <c r="H2017" s="6">
        <v>49656</v>
      </c>
      <c r="I2017" s="6">
        <v>79949</v>
      </c>
      <c r="J2017" s="6">
        <v>240541</v>
      </c>
      <c r="K2017" s="6">
        <v>495761</v>
      </c>
      <c r="L2017" s="6">
        <v>190177</v>
      </c>
      <c r="M2017" s="6">
        <v>2638303</v>
      </c>
    </row>
    <row r="2018" spans="1:13" x14ac:dyDescent="0.3">
      <c r="A2018" s="7">
        <v>43216</v>
      </c>
      <c r="B2018" s="7"/>
      <c r="C2018" s="6">
        <v>133561</v>
      </c>
      <c r="D2018" s="6">
        <v>184545</v>
      </c>
      <c r="E2018" s="6">
        <v>121219</v>
      </c>
      <c r="F2018" s="14">
        <v>495505</v>
      </c>
      <c r="G2018" s="6">
        <v>156735</v>
      </c>
      <c r="H2018" s="6">
        <v>51607</v>
      </c>
      <c r="I2018" s="6">
        <v>78166</v>
      </c>
      <c r="J2018" s="6">
        <v>236732</v>
      </c>
      <c r="K2018" s="6">
        <v>499967</v>
      </c>
      <c r="L2018" s="6">
        <v>189853</v>
      </c>
      <c r="M2018" s="6">
        <v>2630989</v>
      </c>
    </row>
    <row r="2019" spans="1:13" x14ac:dyDescent="0.3">
      <c r="A2019" s="7">
        <v>43215</v>
      </c>
      <c r="B2019" s="7"/>
      <c r="C2019" s="6">
        <v>127603</v>
      </c>
      <c r="D2019" s="6">
        <v>185392</v>
      </c>
      <c r="E2019" s="6">
        <v>121191</v>
      </c>
      <c r="F2019" s="14">
        <v>494272</v>
      </c>
      <c r="G2019" s="6">
        <v>157459</v>
      </c>
      <c r="H2019" s="6">
        <v>55334</v>
      </c>
      <c r="I2019" s="6">
        <v>73410</v>
      </c>
      <c r="J2019" s="6">
        <v>239994</v>
      </c>
      <c r="K2019" s="6">
        <v>506783</v>
      </c>
      <c r="L2019" s="6">
        <v>196548</v>
      </c>
      <c r="M2019" s="6">
        <v>2597874</v>
      </c>
    </row>
    <row r="2020" spans="1:13" x14ac:dyDescent="0.3">
      <c r="A2020" s="7">
        <v>43214</v>
      </c>
      <c r="B2020" s="7"/>
      <c r="C2020" s="6">
        <v>122645</v>
      </c>
      <c r="D2020" s="6">
        <v>183826</v>
      </c>
      <c r="E2020" s="6">
        <v>120406</v>
      </c>
      <c r="F2020" s="14">
        <v>494154</v>
      </c>
      <c r="G2020" s="6">
        <v>155237</v>
      </c>
      <c r="H2020" s="6">
        <v>55385</v>
      </c>
      <c r="I2020" s="6">
        <v>71004</v>
      </c>
      <c r="J2020" s="6">
        <v>240990</v>
      </c>
      <c r="K2020" s="6">
        <v>506410</v>
      </c>
      <c r="L2020" s="6">
        <v>201707</v>
      </c>
      <c r="M2020" s="6">
        <v>2574820</v>
      </c>
    </row>
    <row r="2021" spans="1:13" x14ac:dyDescent="0.3">
      <c r="A2021" s="7">
        <v>43213</v>
      </c>
      <c r="B2021" s="7"/>
      <c r="C2021" s="6">
        <v>116330</v>
      </c>
      <c r="D2021" s="6">
        <v>182818</v>
      </c>
      <c r="E2021" s="6">
        <v>122010</v>
      </c>
      <c r="F2021" s="14">
        <v>501512</v>
      </c>
      <c r="G2021" s="6">
        <v>153600</v>
      </c>
      <c r="H2021" s="6">
        <v>57193</v>
      </c>
      <c r="I2021" s="6">
        <v>67783</v>
      </c>
      <c r="J2021" s="6">
        <v>239362</v>
      </c>
      <c r="K2021" s="6">
        <v>510223</v>
      </c>
      <c r="L2021" s="6">
        <v>214580</v>
      </c>
      <c r="M2021" s="6">
        <v>2567723</v>
      </c>
    </row>
    <row r="2022" spans="1:13" x14ac:dyDescent="0.3">
      <c r="A2022" s="7">
        <v>43210</v>
      </c>
      <c r="B2022" s="7"/>
      <c r="C2022" s="6">
        <v>108673</v>
      </c>
      <c r="D2022" s="6">
        <v>187299</v>
      </c>
      <c r="E2022" s="6">
        <v>125358</v>
      </c>
      <c r="F2022" s="14">
        <v>503909</v>
      </c>
      <c r="G2022" s="6">
        <v>148963</v>
      </c>
      <c r="H2022" s="6">
        <v>57710</v>
      </c>
      <c r="I2022" s="6">
        <v>63936</v>
      </c>
      <c r="J2022" s="6">
        <v>243019</v>
      </c>
      <c r="K2022" s="6">
        <v>514852</v>
      </c>
      <c r="L2022" s="6">
        <v>221503</v>
      </c>
      <c r="M2022" s="6">
        <v>2565772</v>
      </c>
    </row>
    <row r="2023" spans="1:13" x14ac:dyDescent="0.3">
      <c r="A2023" s="7">
        <v>43209</v>
      </c>
      <c r="B2023" s="7"/>
      <c r="C2023" s="6">
        <v>100404</v>
      </c>
      <c r="D2023" s="6">
        <v>199246</v>
      </c>
      <c r="E2023" s="6">
        <v>128676</v>
      </c>
      <c r="F2023" s="14">
        <v>508084</v>
      </c>
      <c r="G2023" s="6">
        <v>151393</v>
      </c>
      <c r="H2023" s="6">
        <v>60492</v>
      </c>
      <c r="I2023" s="6">
        <v>61213</v>
      </c>
      <c r="J2023" s="6">
        <v>243046</v>
      </c>
      <c r="K2023" s="6">
        <v>519453</v>
      </c>
      <c r="L2023" s="6">
        <v>221913</v>
      </c>
      <c r="M2023" s="6">
        <v>2598362</v>
      </c>
    </row>
    <row r="2024" spans="1:13" x14ac:dyDescent="0.3">
      <c r="A2024" s="7">
        <v>43208</v>
      </c>
      <c r="B2024" s="7"/>
      <c r="C2024" s="6">
        <v>99189</v>
      </c>
      <c r="D2024" s="6">
        <v>201570</v>
      </c>
      <c r="E2024" s="6">
        <v>130443</v>
      </c>
      <c r="F2024" s="14">
        <v>510744</v>
      </c>
      <c r="G2024" s="6">
        <v>148626</v>
      </c>
      <c r="H2024" s="6">
        <v>61107</v>
      </c>
      <c r="I2024" s="6">
        <v>58803</v>
      </c>
      <c r="J2024" s="6">
        <v>242560</v>
      </c>
      <c r="K2024" s="6">
        <v>517921</v>
      </c>
      <c r="L2024" s="6">
        <v>221659</v>
      </c>
      <c r="M2024" s="6">
        <v>2616362</v>
      </c>
    </row>
    <row r="2025" spans="1:13" x14ac:dyDescent="0.3">
      <c r="A2025" s="7">
        <v>43207</v>
      </c>
      <c r="B2025" s="7"/>
      <c r="C2025" s="6">
        <v>100453</v>
      </c>
      <c r="D2025" s="6">
        <v>206109</v>
      </c>
      <c r="E2025" s="6">
        <v>128174</v>
      </c>
      <c r="F2025" s="14">
        <v>509942</v>
      </c>
      <c r="G2025" s="6">
        <v>147645</v>
      </c>
      <c r="H2025" s="6">
        <v>61437</v>
      </c>
      <c r="I2025" s="6">
        <v>59012</v>
      </c>
      <c r="J2025" s="6">
        <v>240008</v>
      </c>
      <c r="K2025" s="6">
        <v>510229</v>
      </c>
      <c r="L2025" s="6">
        <v>214297</v>
      </c>
      <c r="M2025" s="6">
        <v>2596578</v>
      </c>
    </row>
    <row r="2026" spans="1:13" x14ac:dyDescent="0.3">
      <c r="A2026" s="7">
        <v>43206</v>
      </c>
      <c r="B2026" s="7"/>
      <c r="C2026" s="6">
        <v>100800</v>
      </c>
      <c r="D2026" s="6">
        <v>202869</v>
      </c>
      <c r="E2026" s="6">
        <v>132080</v>
      </c>
      <c r="F2026" s="14">
        <v>514272</v>
      </c>
      <c r="G2026" s="6">
        <v>148067</v>
      </c>
      <c r="H2026" s="6">
        <v>62504</v>
      </c>
      <c r="I2026" s="6">
        <v>56259</v>
      </c>
      <c r="J2026" s="6">
        <v>237989</v>
      </c>
      <c r="K2026" s="6">
        <v>509128</v>
      </c>
      <c r="L2026" s="6">
        <v>214000</v>
      </c>
      <c r="M2026" s="6">
        <v>2605000</v>
      </c>
    </row>
    <row r="2027" spans="1:13" x14ac:dyDescent="0.3">
      <c r="A2027" s="7">
        <v>43203</v>
      </c>
      <c r="B2027" s="7"/>
      <c r="C2027" s="6">
        <v>102057</v>
      </c>
      <c r="D2027" s="6">
        <v>196915</v>
      </c>
      <c r="E2027" s="6">
        <v>131129</v>
      </c>
      <c r="F2027" s="14">
        <v>508118</v>
      </c>
      <c r="G2027" s="6">
        <v>149001</v>
      </c>
      <c r="H2027" s="6">
        <v>62184</v>
      </c>
      <c r="I2027" s="6">
        <v>56510</v>
      </c>
      <c r="J2027" s="6">
        <v>239797</v>
      </c>
      <c r="K2027" s="6">
        <v>506429</v>
      </c>
      <c r="L2027" s="6">
        <v>217817</v>
      </c>
      <c r="M2027" s="6">
        <v>2609563</v>
      </c>
    </row>
    <row r="2028" spans="1:13" x14ac:dyDescent="0.3">
      <c r="A2028" s="7">
        <v>43202</v>
      </c>
      <c r="B2028" s="7"/>
      <c r="C2028" s="6">
        <v>102884</v>
      </c>
      <c r="D2028" s="6">
        <v>194854</v>
      </c>
      <c r="E2028" s="6">
        <v>130555</v>
      </c>
      <c r="F2028" s="14">
        <v>505909</v>
      </c>
      <c r="G2028" s="6">
        <v>149813</v>
      </c>
      <c r="H2028" s="6">
        <v>60674</v>
      </c>
      <c r="I2028" s="6">
        <v>54353</v>
      </c>
      <c r="J2028" s="6">
        <v>241774</v>
      </c>
      <c r="K2028" s="6">
        <v>514001</v>
      </c>
      <c r="L2028" s="6">
        <v>220167</v>
      </c>
      <c r="M2028" s="6">
        <v>2565785</v>
      </c>
    </row>
    <row r="2029" spans="1:13" x14ac:dyDescent="0.3">
      <c r="A2029" s="7">
        <v>43201</v>
      </c>
      <c r="B2029" s="7"/>
      <c r="C2029" s="6">
        <v>102879</v>
      </c>
      <c r="D2029" s="6">
        <v>185513</v>
      </c>
      <c r="E2029" s="6">
        <v>126671</v>
      </c>
      <c r="F2029" s="14">
        <v>511001</v>
      </c>
      <c r="G2029" s="6">
        <v>150654</v>
      </c>
      <c r="H2029" s="6">
        <v>58348</v>
      </c>
      <c r="I2029" s="6">
        <v>51059</v>
      </c>
      <c r="J2029" s="6">
        <v>244354</v>
      </c>
      <c r="K2029" s="6">
        <v>531749</v>
      </c>
      <c r="L2029" s="6">
        <v>224186</v>
      </c>
      <c r="M2029" s="6">
        <v>2534391</v>
      </c>
    </row>
    <row r="2030" spans="1:13" x14ac:dyDescent="0.3">
      <c r="A2030" s="7">
        <v>43200</v>
      </c>
      <c r="B2030" s="7"/>
      <c r="C2030" s="6">
        <v>104209</v>
      </c>
      <c r="D2030" s="6">
        <v>182784</v>
      </c>
      <c r="E2030" s="6">
        <v>124621</v>
      </c>
      <c r="F2030" s="14">
        <v>508204</v>
      </c>
      <c r="G2030" s="6">
        <v>151202</v>
      </c>
      <c r="H2030" s="6">
        <v>55938</v>
      </c>
      <c r="I2030" s="6">
        <v>51144</v>
      </c>
      <c r="J2030" s="6">
        <v>255757</v>
      </c>
      <c r="K2030" s="6">
        <v>499588</v>
      </c>
      <c r="L2030" s="6">
        <v>227175</v>
      </c>
      <c r="M2030" s="6">
        <v>2480033</v>
      </c>
    </row>
    <row r="2031" spans="1:13" x14ac:dyDescent="0.3">
      <c r="A2031" s="7">
        <v>43199</v>
      </c>
      <c r="B2031" s="7"/>
      <c r="C2031" s="6">
        <v>105049</v>
      </c>
      <c r="D2031" s="6">
        <v>178825</v>
      </c>
      <c r="E2031" s="6">
        <v>123502</v>
      </c>
      <c r="F2031" s="14">
        <v>497944</v>
      </c>
      <c r="G2031" s="6">
        <v>150357</v>
      </c>
      <c r="H2031" s="6">
        <v>50341</v>
      </c>
      <c r="I2031" s="6">
        <v>51143</v>
      </c>
      <c r="J2031" s="6">
        <v>272300</v>
      </c>
      <c r="K2031" s="6">
        <v>493869</v>
      </c>
      <c r="L2031" s="6">
        <v>235679</v>
      </c>
      <c r="M2031" s="6">
        <v>2469396</v>
      </c>
    </row>
    <row r="2032" spans="1:13" x14ac:dyDescent="0.3">
      <c r="A2032" s="7">
        <v>43196</v>
      </c>
      <c r="B2032" s="7"/>
      <c r="C2032" s="6">
        <v>104154</v>
      </c>
      <c r="D2032" s="6">
        <v>173842</v>
      </c>
      <c r="E2032" s="6">
        <v>123870</v>
      </c>
      <c r="F2032" s="14">
        <v>494782</v>
      </c>
      <c r="G2032" s="6">
        <v>151936</v>
      </c>
      <c r="H2032" s="6">
        <v>47887</v>
      </c>
      <c r="I2032" s="6">
        <v>50883</v>
      </c>
      <c r="J2032" s="6">
        <v>277167</v>
      </c>
      <c r="K2032" s="6">
        <v>495082</v>
      </c>
      <c r="L2032" s="6">
        <v>243411</v>
      </c>
      <c r="M2032" s="6">
        <v>2499221</v>
      </c>
    </row>
    <row r="2033" spans="1:13" x14ac:dyDescent="0.3">
      <c r="A2033" s="7">
        <v>43195</v>
      </c>
      <c r="B2033" s="7"/>
      <c r="C2033" s="6">
        <v>109210</v>
      </c>
      <c r="D2033" s="6">
        <v>171186</v>
      </c>
      <c r="E2033" s="6">
        <v>126911</v>
      </c>
      <c r="F2033" s="14">
        <v>495359</v>
      </c>
      <c r="G2033" s="6">
        <v>156019</v>
      </c>
      <c r="H2033" s="6">
        <v>48351</v>
      </c>
      <c r="I2033" s="6">
        <v>49991</v>
      </c>
      <c r="J2033" s="6">
        <v>285125</v>
      </c>
      <c r="K2033" s="6">
        <v>493317</v>
      </c>
      <c r="L2033" s="6">
        <v>242895</v>
      </c>
      <c r="M2033" s="6">
        <v>2522714</v>
      </c>
    </row>
    <row r="2034" spans="1:13" x14ac:dyDescent="0.3">
      <c r="A2034" s="7">
        <v>43194</v>
      </c>
      <c r="B2034" s="7"/>
      <c r="C2034" s="6">
        <v>108295</v>
      </c>
      <c r="D2034" s="6">
        <v>174157</v>
      </c>
      <c r="E2034" s="6">
        <v>125046</v>
      </c>
      <c r="F2034" s="14">
        <v>492126</v>
      </c>
      <c r="G2034" s="6">
        <v>151721</v>
      </c>
      <c r="H2034" s="6">
        <v>48091</v>
      </c>
      <c r="I2034" s="6">
        <v>49250</v>
      </c>
      <c r="J2034" s="6">
        <v>289595</v>
      </c>
      <c r="K2034" s="6">
        <v>499710</v>
      </c>
      <c r="L2034" s="6">
        <v>241135</v>
      </c>
      <c r="M2034" s="6">
        <v>2542709</v>
      </c>
    </row>
    <row r="2035" spans="1:13" x14ac:dyDescent="0.3">
      <c r="A2035" s="7">
        <v>43193</v>
      </c>
      <c r="B2035" s="7"/>
      <c r="C2035" s="6">
        <v>108830</v>
      </c>
      <c r="D2035" s="6">
        <v>172017</v>
      </c>
      <c r="E2035" s="6">
        <v>127509</v>
      </c>
      <c r="F2035" s="14">
        <v>493677</v>
      </c>
      <c r="G2035" s="6">
        <v>148818</v>
      </c>
      <c r="H2035" s="6">
        <v>47079</v>
      </c>
      <c r="I2035" s="6">
        <v>48734</v>
      </c>
      <c r="J2035" s="6">
        <v>289138</v>
      </c>
      <c r="K2035" s="6">
        <v>493141</v>
      </c>
      <c r="L2035" s="6">
        <v>232682</v>
      </c>
      <c r="M2035" s="6">
        <v>2547337</v>
      </c>
    </row>
    <row r="2036" spans="1:13" x14ac:dyDescent="0.3">
      <c r="A2036" s="7">
        <v>43192</v>
      </c>
      <c r="B2036" s="7"/>
      <c r="C2036" s="6">
        <v>110620</v>
      </c>
      <c r="D2036" s="6">
        <v>173400</v>
      </c>
      <c r="E2036" s="6">
        <v>124822</v>
      </c>
      <c r="F2036" s="14">
        <v>492662</v>
      </c>
      <c r="G2036" s="6">
        <v>151367</v>
      </c>
      <c r="H2036" s="6">
        <v>46891</v>
      </c>
      <c r="I2036" s="6">
        <v>46913</v>
      </c>
      <c r="J2036" s="6">
        <v>292455</v>
      </c>
      <c r="K2036" s="6">
        <v>501415</v>
      </c>
      <c r="L2036" s="6">
        <v>228225</v>
      </c>
      <c r="M2036" s="6">
        <v>2532289</v>
      </c>
    </row>
    <row r="2037" spans="1:13" x14ac:dyDescent="0.3">
      <c r="A2037" s="7">
        <v>43188</v>
      </c>
      <c r="B2037" s="7"/>
      <c r="C2037" s="6">
        <v>108075</v>
      </c>
      <c r="D2037" s="6">
        <v>175670</v>
      </c>
      <c r="E2037" s="6">
        <v>125247</v>
      </c>
      <c r="F2037" s="14">
        <v>490597</v>
      </c>
      <c r="G2037" s="6">
        <v>148671</v>
      </c>
      <c r="H2037" s="6">
        <v>46811</v>
      </c>
      <c r="I2037" s="6">
        <v>46925</v>
      </c>
      <c r="J2037" s="6">
        <v>291353</v>
      </c>
      <c r="K2037" s="6">
        <v>499565</v>
      </c>
      <c r="L2037" s="6">
        <v>229131</v>
      </c>
      <c r="M2037" s="6">
        <v>2521210</v>
      </c>
    </row>
    <row r="2038" spans="1:13" x14ac:dyDescent="0.3">
      <c r="A2038" s="7">
        <v>43187</v>
      </c>
      <c r="B2038" s="7"/>
      <c r="C2038" s="6">
        <v>110768</v>
      </c>
      <c r="D2038" s="6">
        <v>177208</v>
      </c>
      <c r="E2038" s="6">
        <v>126074</v>
      </c>
      <c r="F2038" s="14">
        <v>503635</v>
      </c>
      <c r="G2038" s="6">
        <v>152073</v>
      </c>
      <c r="H2038" s="6">
        <v>46819</v>
      </c>
      <c r="I2038" s="6">
        <v>47712</v>
      </c>
      <c r="J2038" s="6">
        <v>293488</v>
      </c>
      <c r="K2038" s="6">
        <v>508167</v>
      </c>
      <c r="L2038" s="6">
        <v>227230</v>
      </c>
      <c r="M2038" s="6">
        <v>2509804</v>
      </c>
    </row>
    <row r="2039" spans="1:13" x14ac:dyDescent="0.3">
      <c r="A2039" s="7">
        <v>43186</v>
      </c>
      <c r="B2039" s="7"/>
      <c r="C2039" s="6">
        <v>104797</v>
      </c>
      <c r="D2039" s="6">
        <v>176947</v>
      </c>
      <c r="E2039" s="6">
        <v>127568</v>
      </c>
      <c r="F2039" s="14">
        <v>514049</v>
      </c>
      <c r="G2039" s="6">
        <v>162038</v>
      </c>
      <c r="H2039" s="6">
        <v>46728</v>
      </c>
      <c r="I2039" s="6">
        <v>44649</v>
      </c>
      <c r="J2039" s="6">
        <v>293335</v>
      </c>
      <c r="K2039" s="6">
        <v>529690</v>
      </c>
      <c r="L2039" s="6">
        <v>219518</v>
      </c>
      <c r="M2039" s="6">
        <v>2513575</v>
      </c>
    </row>
    <row r="2040" spans="1:13" x14ac:dyDescent="0.3">
      <c r="A2040" s="7">
        <v>43185</v>
      </c>
      <c r="B2040" s="7"/>
      <c r="C2040" s="6">
        <v>101328</v>
      </c>
      <c r="D2040" s="6">
        <v>184006</v>
      </c>
      <c r="E2040" s="6">
        <v>128751</v>
      </c>
      <c r="F2040" s="14">
        <v>519330</v>
      </c>
      <c r="G2040" s="6">
        <v>171467</v>
      </c>
      <c r="H2040" s="6">
        <v>46952</v>
      </c>
      <c r="I2040" s="6">
        <v>44462</v>
      </c>
      <c r="J2040" s="6">
        <v>290849</v>
      </c>
      <c r="K2040" s="6">
        <v>551620</v>
      </c>
      <c r="L2040" s="6">
        <v>217799</v>
      </c>
      <c r="M2040" s="6">
        <v>2483359</v>
      </c>
    </row>
    <row r="2041" spans="1:13" x14ac:dyDescent="0.3">
      <c r="A2041" s="7">
        <v>43182</v>
      </c>
      <c r="B2041" s="7"/>
      <c r="C2041" s="6">
        <v>99030</v>
      </c>
      <c r="D2041" s="6">
        <v>179918</v>
      </c>
      <c r="E2041" s="6">
        <v>128772</v>
      </c>
      <c r="F2041" s="14">
        <v>499537</v>
      </c>
      <c r="G2041" s="6">
        <v>176242</v>
      </c>
      <c r="H2041" s="6">
        <v>45335</v>
      </c>
      <c r="I2041" s="6">
        <v>45092</v>
      </c>
      <c r="J2041" s="6">
        <v>288419</v>
      </c>
      <c r="K2041" s="6">
        <v>564301</v>
      </c>
      <c r="L2041" s="6">
        <v>217622</v>
      </c>
      <c r="M2041" s="6">
        <v>2469551</v>
      </c>
    </row>
    <row r="2042" spans="1:13" x14ac:dyDescent="0.3">
      <c r="A2042" s="7">
        <v>43181</v>
      </c>
      <c r="B2042" s="7"/>
      <c r="C2042" s="6">
        <v>101115</v>
      </c>
      <c r="D2042" s="6">
        <v>176225</v>
      </c>
      <c r="E2042" s="6">
        <v>129963</v>
      </c>
      <c r="F2042" s="14">
        <v>495901</v>
      </c>
      <c r="G2042" s="6">
        <v>173017</v>
      </c>
      <c r="H2042" s="6">
        <v>45507</v>
      </c>
      <c r="I2042" s="6">
        <v>45408</v>
      </c>
      <c r="J2042" s="6">
        <v>285730</v>
      </c>
      <c r="K2042" s="6">
        <v>570423</v>
      </c>
      <c r="L2042" s="6">
        <v>216910</v>
      </c>
      <c r="M2042" s="6">
        <v>2436690</v>
      </c>
    </row>
    <row r="2043" spans="1:13" x14ac:dyDescent="0.3">
      <c r="A2043" s="7">
        <v>43180</v>
      </c>
      <c r="B2043" s="7"/>
      <c r="C2043" s="6">
        <v>100689</v>
      </c>
      <c r="D2043" s="6">
        <v>168973</v>
      </c>
      <c r="E2043" s="6">
        <v>124735</v>
      </c>
      <c r="F2043" s="14">
        <v>497405</v>
      </c>
      <c r="G2043" s="6">
        <v>313689</v>
      </c>
      <c r="H2043" s="6">
        <v>44967</v>
      </c>
      <c r="I2043" s="6">
        <v>45697</v>
      </c>
      <c r="J2043" s="6">
        <v>287965</v>
      </c>
      <c r="K2043" s="6">
        <v>558857</v>
      </c>
      <c r="L2043" s="6">
        <v>214048</v>
      </c>
      <c r="M2043" s="6">
        <v>2440769</v>
      </c>
    </row>
    <row r="2044" spans="1:13" x14ac:dyDescent="0.3">
      <c r="A2044" s="7">
        <v>43179</v>
      </c>
      <c r="B2044" s="7"/>
      <c r="C2044" s="6">
        <v>130444</v>
      </c>
      <c r="D2044" s="6">
        <v>229878</v>
      </c>
      <c r="E2044" s="6">
        <v>180240</v>
      </c>
      <c r="F2044" s="14">
        <v>599875</v>
      </c>
      <c r="G2044" s="6">
        <v>312255</v>
      </c>
      <c r="H2044" s="6">
        <v>84891</v>
      </c>
      <c r="I2044" s="6">
        <v>70206</v>
      </c>
      <c r="J2044" s="6">
        <v>283457</v>
      </c>
      <c r="K2044" s="6">
        <v>545499</v>
      </c>
      <c r="L2044" s="6">
        <v>216042</v>
      </c>
      <c r="M2044" s="6">
        <v>2392391</v>
      </c>
    </row>
    <row r="2045" spans="1:13" x14ac:dyDescent="0.3">
      <c r="A2045" s="7">
        <v>43178</v>
      </c>
      <c r="B2045" s="7"/>
      <c r="C2045" s="6">
        <v>128194</v>
      </c>
      <c r="D2045" s="6">
        <v>232861</v>
      </c>
      <c r="E2045" s="6">
        <v>176290</v>
      </c>
      <c r="F2045" s="14">
        <v>600892</v>
      </c>
      <c r="G2045" s="6">
        <v>315357</v>
      </c>
      <c r="H2045" s="6">
        <v>85623</v>
      </c>
      <c r="I2045" s="6">
        <v>68872</v>
      </c>
      <c r="J2045" s="6">
        <v>276053</v>
      </c>
      <c r="K2045" s="6">
        <v>540677</v>
      </c>
      <c r="L2045" s="6">
        <v>211561</v>
      </c>
      <c r="M2045" s="6">
        <v>2376271</v>
      </c>
    </row>
    <row r="2046" spans="1:13" x14ac:dyDescent="0.3">
      <c r="A2046" s="7">
        <v>43175</v>
      </c>
      <c r="B2046" s="7"/>
      <c r="C2046" s="6">
        <v>128270</v>
      </c>
      <c r="D2046" s="6">
        <v>222892</v>
      </c>
      <c r="E2046" s="6">
        <v>169311</v>
      </c>
      <c r="F2046" s="14">
        <v>609396</v>
      </c>
      <c r="G2046" s="6">
        <v>318081</v>
      </c>
      <c r="H2046" s="6">
        <v>86603</v>
      </c>
      <c r="I2046" s="6">
        <v>68231</v>
      </c>
      <c r="J2046" s="6">
        <v>273575</v>
      </c>
      <c r="K2046" s="6">
        <v>533887</v>
      </c>
      <c r="L2046" s="6">
        <v>210242</v>
      </c>
      <c r="M2046" s="6">
        <v>2401800</v>
      </c>
    </row>
    <row r="2047" spans="1:13" x14ac:dyDescent="0.3">
      <c r="A2047" s="7">
        <v>43174</v>
      </c>
      <c r="B2047" s="7"/>
      <c r="C2047" s="6">
        <v>127010</v>
      </c>
      <c r="D2047" s="6">
        <v>218334</v>
      </c>
      <c r="E2047" s="6">
        <v>162506</v>
      </c>
      <c r="F2047" s="14">
        <v>592770</v>
      </c>
      <c r="G2047" s="6">
        <v>305802</v>
      </c>
      <c r="H2047" s="6">
        <v>86024</v>
      </c>
      <c r="I2047" s="6">
        <v>67932</v>
      </c>
      <c r="J2047" s="6">
        <v>273171</v>
      </c>
      <c r="K2047" s="6">
        <v>542647</v>
      </c>
      <c r="L2047" s="6">
        <v>208501</v>
      </c>
      <c r="M2047" s="6">
        <v>2381898</v>
      </c>
    </row>
    <row r="2048" spans="1:13" x14ac:dyDescent="0.3">
      <c r="A2048" s="7">
        <v>43173</v>
      </c>
      <c r="B2048" s="7"/>
      <c r="C2048" s="6">
        <v>121222</v>
      </c>
      <c r="D2048" s="6">
        <v>205021</v>
      </c>
      <c r="E2048" s="6">
        <v>157826</v>
      </c>
      <c r="F2048" s="14">
        <v>583751</v>
      </c>
      <c r="G2048" s="6">
        <v>293406</v>
      </c>
      <c r="H2048" s="6">
        <v>81128</v>
      </c>
      <c r="I2048" s="6">
        <v>68122</v>
      </c>
      <c r="J2048" s="6">
        <v>269430</v>
      </c>
      <c r="K2048" s="6">
        <v>537768</v>
      </c>
      <c r="L2048" s="6">
        <v>203158</v>
      </c>
      <c r="M2048" s="6">
        <v>2401740</v>
      </c>
    </row>
    <row r="2049" spans="1:13" x14ac:dyDescent="0.3">
      <c r="A2049" s="7">
        <v>43172</v>
      </c>
      <c r="B2049" s="7"/>
      <c r="C2049" s="6">
        <v>106473</v>
      </c>
      <c r="D2049" s="6">
        <v>206151</v>
      </c>
      <c r="E2049" s="6">
        <v>154478</v>
      </c>
      <c r="F2049" s="14">
        <v>584759</v>
      </c>
      <c r="G2049" s="6">
        <v>279671</v>
      </c>
      <c r="H2049" s="6">
        <v>66872</v>
      </c>
      <c r="I2049" s="6">
        <v>63221</v>
      </c>
      <c r="J2049" s="6">
        <v>273651</v>
      </c>
      <c r="K2049" s="6">
        <v>526762</v>
      </c>
      <c r="L2049" s="6">
        <v>200094</v>
      </c>
      <c r="M2049" s="6">
        <v>2403162</v>
      </c>
    </row>
    <row r="2050" spans="1:13" x14ac:dyDescent="0.3">
      <c r="A2050" s="7">
        <v>43171</v>
      </c>
      <c r="B2050" s="7"/>
      <c r="C2050" s="6">
        <v>106513</v>
      </c>
      <c r="D2050" s="6">
        <v>199965</v>
      </c>
      <c r="E2050" s="6">
        <v>151816</v>
      </c>
      <c r="F2050" s="14">
        <v>562718</v>
      </c>
      <c r="G2050" s="6">
        <v>280849</v>
      </c>
      <c r="H2050" s="6">
        <v>61570</v>
      </c>
      <c r="I2050" s="6">
        <v>61893</v>
      </c>
      <c r="J2050" s="6">
        <v>269829</v>
      </c>
      <c r="K2050" s="6">
        <v>505991</v>
      </c>
      <c r="L2050" s="6">
        <v>199184</v>
      </c>
      <c r="M2050" s="6">
        <v>2428425</v>
      </c>
    </row>
    <row r="2051" spans="1:13" x14ac:dyDescent="0.3">
      <c r="A2051" s="7">
        <v>43168</v>
      </c>
      <c r="B2051" s="7"/>
      <c r="C2051" s="6">
        <v>103366</v>
      </c>
      <c r="D2051" s="6">
        <v>199222</v>
      </c>
      <c r="E2051" s="6">
        <v>148481</v>
      </c>
      <c r="F2051" s="14">
        <v>557767</v>
      </c>
      <c r="G2051" s="6">
        <v>276381</v>
      </c>
      <c r="H2051" s="6">
        <v>59830</v>
      </c>
      <c r="I2051" s="6">
        <v>62262</v>
      </c>
      <c r="J2051" s="6">
        <v>268915</v>
      </c>
      <c r="K2051" s="6">
        <v>495769</v>
      </c>
      <c r="L2051" s="6">
        <v>196956</v>
      </c>
      <c r="M2051" s="6">
        <v>2432754</v>
      </c>
    </row>
    <row r="2052" spans="1:13" x14ac:dyDescent="0.3">
      <c r="A2052" s="7">
        <v>43167</v>
      </c>
      <c r="B2052" s="7"/>
      <c r="C2052" s="6">
        <v>104230</v>
      </c>
      <c r="D2052" s="6">
        <v>198581</v>
      </c>
      <c r="E2052" s="6">
        <v>145640</v>
      </c>
      <c r="F2052" s="14">
        <v>562849</v>
      </c>
      <c r="G2052" s="6">
        <v>279687</v>
      </c>
      <c r="H2052" s="6">
        <v>58557</v>
      </c>
      <c r="I2052" s="6">
        <v>63703</v>
      </c>
      <c r="J2052" s="6">
        <v>268707</v>
      </c>
      <c r="K2052" s="6">
        <v>497387</v>
      </c>
      <c r="L2052" s="6">
        <v>196520</v>
      </c>
      <c r="M2052" s="6">
        <v>2446518</v>
      </c>
    </row>
    <row r="2053" spans="1:13" x14ac:dyDescent="0.3">
      <c r="A2053" s="7">
        <v>43166</v>
      </c>
      <c r="B2053" s="7"/>
      <c r="C2053" s="6">
        <v>104152</v>
      </c>
      <c r="D2053" s="6">
        <v>194807</v>
      </c>
      <c r="E2053" s="6">
        <v>140051</v>
      </c>
      <c r="F2053" s="14">
        <v>557703</v>
      </c>
      <c r="G2053" s="6">
        <v>278970</v>
      </c>
      <c r="H2053" s="6">
        <v>58438</v>
      </c>
      <c r="I2053" s="6">
        <v>62980</v>
      </c>
      <c r="J2053" s="6">
        <v>259860</v>
      </c>
      <c r="K2053" s="6">
        <v>508050</v>
      </c>
      <c r="L2053" s="6">
        <v>195724</v>
      </c>
      <c r="M2053" s="6">
        <v>2461343</v>
      </c>
    </row>
    <row r="2054" spans="1:13" x14ac:dyDescent="0.3">
      <c r="A2054" s="7">
        <v>43165</v>
      </c>
      <c r="B2054" s="7"/>
      <c r="C2054" s="6">
        <v>106051</v>
      </c>
      <c r="D2054" s="6">
        <v>197439</v>
      </c>
      <c r="E2054" s="6">
        <v>139318</v>
      </c>
      <c r="F2054" s="14">
        <v>557530</v>
      </c>
      <c r="G2054" s="6">
        <v>277327</v>
      </c>
      <c r="H2054" s="6">
        <v>59354</v>
      </c>
      <c r="I2054" s="6">
        <v>62349</v>
      </c>
      <c r="J2054" s="6">
        <v>260097</v>
      </c>
      <c r="K2054" s="6">
        <v>508100</v>
      </c>
      <c r="L2054" s="6">
        <v>196590</v>
      </c>
      <c r="M2054" s="6">
        <v>2451492</v>
      </c>
    </row>
    <row r="2055" spans="1:13" x14ac:dyDescent="0.3">
      <c r="A2055" s="7">
        <v>43164</v>
      </c>
      <c r="B2055" s="7"/>
      <c r="C2055" s="6">
        <v>110412</v>
      </c>
      <c r="D2055" s="6">
        <v>196035</v>
      </c>
      <c r="E2055" s="6">
        <v>142562</v>
      </c>
      <c r="F2055" s="14">
        <v>556623</v>
      </c>
      <c r="G2055" s="6">
        <v>278044</v>
      </c>
      <c r="H2055" s="6">
        <v>58038</v>
      </c>
      <c r="I2055" s="6">
        <v>61765</v>
      </c>
      <c r="J2055" s="6">
        <v>262894</v>
      </c>
      <c r="K2055" s="6">
        <v>499602</v>
      </c>
      <c r="L2055" s="6">
        <v>193489</v>
      </c>
      <c r="M2055" s="6">
        <v>2469014</v>
      </c>
    </row>
    <row r="2056" spans="1:13" x14ac:dyDescent="0.3">
      <c r="A2056" s="7">
        <v>43161</v>
      </c>
      <c r="B2056" s="7"/>
      <c r="C2056" s="6">
        <v>111265</v>
      </c>
      <c r="D2056" s="6">
        <v>200472</v>
      </c>
      <c r="E2056" s="6">
        <v>139705</v>
      </c>
      <c r="F2056" s="14">
        <v>556491</v>
      </c>
      <c r="G2056" s="6">
        <v>278435</v>
      </c>
      <c r="H2056" s="6">
        <v>58240</v>
      </c>
      <c r="I2056" s="6">
        <v>63989</v>
      </c>
      <c r="J2056" s="6">
        <v>259085</v>
      </c>
      <c r="K2056" s="6">
        <v>505451</v>
      </c>
      <c r="L2056" s="6">
        <v>190630</v>
      </c>
      <c r="M2056" s="6">
        <v>2457804</v>
      </c>
    </row>
    <row r="2057" spans="1:13" x14ac:dyDescent="0.3">
      <c r="A2057" s="7">
        <v>43160</v>
      </c>
      <c r="B2057" s="7"/>
      <c r="C2057" s="6">
        <v>113254</v>
      </c>
      <c r="D2057" s="6">
        <v>202386</v>
      </c>
      <c r="E2057" s="6">
        <v>142326</v>
      </c>
      <c r="F2057" s="14">
        <v>560868</v>
      </c>
      <c r="G2057" s="6">
        <v>270043</v>
      </c>
      <c r="H2057" s="6">
        <v>58154</v>
      </c>
      <c r="I2057" s="6">
        <v>70004</v>
      </c>
      <c r="J2057" s="6">
        <v>263763</v>
      </c>
      <c r="K2057" s="6">
        <v>509899</v>
      </c>
      <c r="L2057" s="6">
        <v>192332</v>
      </c>
      <c r="M2057" s="6">
        <v>2468735</v>
      </c>
    </row>
    <row r="2058" spans="1:13" x14ac:dyDescent="0.3">
      <c r="A2058" s="7">
        <v>43159</v>
      </c>
      <c r="B2058" s="7"/>
      <c r="C2058" s="6">
        <v>112104</v>
      </c>
      <c r="D2058" s="6">
        <v>203324</v>
      </c>
      <c r="E2058" s="6">
        <v>144401</v>
      </c>
      <c r="F2058" s="14">
        <v>566803</v>
      </c>
      <c r="G2058" s="6">
        <v>266066</v>
      </c>
      <c r="H2058" s="6">
        <v>58662</v>
      </c>
      <c r="I2058" s="6">
        <v>68481</v>
      </c>
      <c r="J2058" s="6">
        <v>268955</v>
      </c>
      <c r="K2058" s="6">
        <v>527812</v>
      </c>
      <c r="L2058" s="6">
        <v>192010</v>
      </c>
      <c r="M2058" s="6">
        <v>2462234</v>
      </c>
    </row>
    <row r="2059" spans="1:13" x14ac:dyDescent="0.3">
      <c r="A2059" s="7">
        <v>43158</v>
      </c>
      <c r="B2059" s="7"/>
      <c r="C2059" s="6">
        <v>111306</v>
      </c>
      <c r="D2059" s="6">
        <v>196913</v>
      </c>
      <c r="E2059" s="6">
        <v>145351</v>
      </c>
      <c r="F2059" s="14">
        <v>567463</v>
      </c>
      <c r="G2059" s="6">
        <v>263066</v>
      </c>
      <c r="H2059" s="6">
        <v>58443</v>
      </c>
      <c r="I2059" s="6">
        <v>69018</v>
      </c>
      <c r="J2059" s="6">
        <v>264683</v>
      </c>
      <c r="K2059" s="6">
        <v>532860</v>
      </c>
      <c r="L2059" s="6">
        <v>193343</v>
      </c>
      <c r="M2059" s="6">
        <v>2460214</v>
      </c>
    </row>
    <row r="2060" spans="1:13" x14ac:dyDescent="0.3">
      <c r="A2060" s="7">
        <v>43157</v>
      </c>
      <c r="B2060" s="7"/>
      <c r="C2060" s="6">
        <v>112082</v>
      </c>
      <c r="D2060" s="6">
        <v>195344</v>
      </c>
      <c r="E2060" s="6">
        <v>144111</v>
      </c>
      <c r="F2060" s="14">
        <v>560213</v>
      </c>
      <c r="G2060" s="6">
        <v>263995</v>
      </c>
      <c r="H2060" s="6">
        <v>57822</v>
      </c>
      <c r="I2060" s="6">
        <v>69833</v>
      </c>
      <c r="J2060" s="6">
        <v>259369</v>
      </c>
      <c r="K2060" s="6">
        <v>532649</v>
      </c>
      <c r="L2060" s="6">
        <v>191999</v>
      </c>
      <c r="M2060" s="6">
        <v>2453633</v>
      </c>
    </row>
    <row r="2061" spans="1:13" x14ac:dyDescent="0.3">
      <c r="A2061" s="7">
        <v>43154</v>
      </c>
      <c r="B2061" s="7"/>
      <c r="C2061" s="6">
        <v>110989</v>
      </c>
      <c r="D2061" s="6">
        <v>193102</v>
      </c>
      <c r="E2061" s="6">
        <v>144295</v>
      </c>
      <c r="F2061" s="14">
        <v>561181</v>
      </c>
      <c r="G2061" s="6">
        <v>265458</v>
      </c>
      <c r="H2061" s="6">
        <v>57382</v>
      </c>
      <c r="I2061" s="6">
        <v>70192</v>
      </c>
      <c r="J2061" s="6">
        <v>254914</v>
      </c>
      <c r="K2061" s="6">
        <v>526638</v>
      </c>
      <c r="L2061" s="6">
        <v>196437</v>
      </c>
      <c r="M2061" s="6">
        <v>2434031</v>
      </c>
    </row>
    <row r="2062" spans="1:13" x14ac:dyDescent="0.3">
      <c r="A2062" s="7">
        <v>43153</v>
      </c>
      <c r="B2062" s="7"/>
      <c r="C2062" s="6">
        <v>111235</v>
      </c>
      <c r="D2062" s="6">
        <v>190132</v>
      </c>
      <c r="E2062" s="6">
        <v>144585</v>
      </c>
      <c r="F2062" s="14">
        <v>564600</v>
      </c>
      <c r="G2062" s="6">
        <v>265972</v>
      </c>
      <c r="H2062" s="6">
        <v>55588</v>
      </c>
      <c r="I2062" s="6">
        <v>69711</v>
      </c>
      <c r="J2062" s="6">
        <v>251214</v>
      </c>
      <c r="K2062" s="6">
        <v>524449</v>
      </c>
      <c r="L2062" s="6">
        <v>198429</v>
      </c>
      <c r="M2062" s="6">
        <v>2430072</v>
      </c>
    </row>
    <row r="2063" spans="1:13" x14ac:dyDescent="0.3">
      <c r="A2063" s="7">
        <v>43152</v>
      </c>
      <c r="B2063" s="7"/>
      <c r="C2063" s="6">
        <v>112766</v>
      </c>
      <c r="D2063" s="6">
        <v>187994</v>
      </c>
      <c r="E2063" s="6">
        <v>147092</v>
      </c>
      <c r="F2063" s="14">
        <v>567922</v>
      </c>
      <c r="G2063" s="6">
        <v>271875</v>
      </c>
      <c r="H2063" s="6">
        <v>54528</v>
      </c>
      <c r="I2063" s="6">
        <v>69840</v>
      </c>
      <c r="J2063" s="6">
        <v>251063</v>
      </c>
      <c r="K2063" s="6">
        <v>524449</v>
      </c>
      <c r="L2063" s="6">
        <v>201605</v>
      </c>
      <c r="M2063" s="6">
        <v>2426073</v>
      </c>
    </row>
    <row r="2064" spans="1:13" x14ac:dyDescent="0.3">
      <c r="A2064" s="7">
        <v>43151</v>
      </c>
      <c r="B2064" s="7"/>
      <c r="C2064" s="6">
        <v>112582</v>
      </c>
      <c r="D2064" s="6">
        <v>188734</v>
      </c>
      <c r="E2064" s="6">
        <v>144832</v>
      </c>
      <c r="F2064" s="14">
        <v>568158</v>
      </c>
      <c r="G2064" s="6">
        <v>272594</v>
      </c>
      <c r="H2064" s="6">
        <v>54483</v>
      </c>
      <c r="I2064" s="6">
        <v>69137</v>
      </c>
      <c r="J2064" s="6">
        <v>256420</v>
      </c>
      <c r="K2064" s="6">
        <v>528154</v>
      </c>
      <c r="L2064" s="6">
        <v>203629</v>
      </c>
      <c r="M2064" s="6">
        <v>2431805</v>
      </c>
    </row>
    <row r="2065" spans="1:13" x14ac:dyDescent="0.3">
      <c r="A2065" s="7">
        <v>43147</v>
      </c>
      <c r="B2065" s="7"/>
      <c r="C2065" s="6">
        <v>113885</v>
      </c>
      <c r="D2065" s="6">
        <v>188230</v>
      </c>
      <c r="E2065" s="6">
        <v>147996</v>
      </c>
      <c r="F2065" s="14">
        <v>578630</v>
      </c>
      <c r="G2065" s="6">
        <v>268495</v>
      </c>
      <c r="H2065" s="6">
        <v>53600</v>
      </c>
      <c r="I2065" s="6">
        <v>69277</v>
      </c>
      <c r="J2065" s="6">
        <v>254148</v>
      </c>
      <c r="K2065" s="6">
        <v>536075</v>
      </c>
      <c r="L2065" s="6">
        <v>199852</v>
      </c>
      <c r="M2065" s="6">
        <v>2421110</v>
      </c>
    </row>
    <row r="2066" spans="1:13" x14ac:dyDescent="0.3">
      <c r="A2066" s="7">
        <v>43146</v>
      </c>
      <c r="B2066" s="7"/>
      <c r="C2066" s="6">
        <v>115155</v>
      </c>
      <c r="D2066" s="6">
        <v>188807</v>
      </c>
      <c r="E2066" s="6">
        <v>149020</v>
      </c>
      <c r="F2066" s="14">
        <v>574231</v>
      </c>
      <c r="G2066" s="6">
        <v>266358</v>
      </c>
      <c r="H2066" s="6">
        <v>53604</v>
      </c>
      <c r="I2066" s="6">
        <v>69627</v>
      </c>
      <c r="J2066" s="6">
        <v>255337</v>
      </c>
      <c r="K2066" s="6">
        <v>532060</v>
      </c>
      <c r="L2066" s="6">
        <v>199730</v>
      </c>
      <c r="M2066" s="6">
        <v>2477064</v>
      </c>
    </row>
    <row r="2067" spans="1:13" x14ac:dyDescent="0.3">
      <c r="A2067" s="7">
        <v>43145</v>
      </c>
      <c r="B2067" s="7"/>
      <c r="C2067" s="6">
        <v>114466</v>
      </c>
      <c r="D2067" s="6">
        <v>190152</v>
      </c>
      <c r="E2067" s="6">
        <v>151898</v>
      </c>
      <c r="F2067" s="14">
        <v>561548</v>
      </c>
      <c r="G2067" s="6">
        <v>261845</v>
      </c>
      <c r="H2067" s="6">
        <v>53761</v>
      </c>
      <c r="I2067" s="6">
        <v>69889</v>
      </c>
      <c r="J2067" s="6">
        <v>257427</v>
      </c>
      <c r="K2067" s="6">
        <v>528382</v>
      </c>
      <c r="L2067" s="6">
        <v>197126</v>
      </c>
      <c r="M2067" s="6">
        <v>2520377</v>
      </c>
    </row>
    <row r="2068" spans="1:13" x14ac:dyDescent="0.3">
      <c r="A2068" s="7">
        <v>43144</v>
      </c>
      <c r="B2068" s="7"/>
      <c r="C2068" s="6">
        <v>113967</v>
      </c>
      <c r="D2068" s="6">
        <v>193326</v>
      </c>
      <c r="E2068" s="6">
        <v>155262</v>
      </c>
      <c r="F2068" s="14">
        <v>564233</v>
      </c>
      <c r="G2068" s="6">
        <v>260170</v>
      </c>
      <c r="H2068" s="6">
        <v>53739</v>
      </c>
      <c r="I2068" s="6">
        <v>74651</v>
      </c>
      <c r="J2068" s="6">
        <v>255708</v>
      </c>
      <c r="K2068" s="6">
        <v>511745</v>
      </c>
      <c r="L2068" s="6">
        <v>194056</v>
      </c>
      <c r="M2068" s="6">
        <v>2530604</v>
      </c>
    </row>
    <row r="2069" spans="1:13" x14ac:dyDescent="0.3">
      <c r="A2069" s="7">
        <v>43143</v>
      </c>
      <c r="B2069" s="7"/>
      <c r="C2069" s="6">
        <v>117164</v>
      </c>
      <c r="D2069" s="6">
        <v>198137</v>
      </c>
      <c r="E2069" s="6">
        <v>159655</v>
      </c>
      <c r="F2069" s="14">
        <v>571304</v>
      </c>
      <c r="G2069" s="6">
        <v>254576</v>
      </c>
      <c r="H2069" s="6">
        <v>54754</v>
      </c>
      <c r="I2069" s="6">
        <v>75169</v>
      </c>
      <c r="J2069" s="6">
        <v>258304</v>
      </c>
      <c r="K2069" s="6">
        <v>510150</v>
      </c>
      <c r="L2069" s="6">
        <v>195511</v>
      </c>
      <c r="M2069" s="6">
        <v>2518019</v>
      </c>
    </row>
    <row r="2070" spans="1:13" x14ac:dyDescent="0.3">
      <c r="A2070" s="7">
        <v>43140</v>
      </c>
      <c r="B2070" s="7"/>
      <c r="C2070" s="6">
        <v>120829</v>
      </c>
      <c r="D2070" s="6">
        <v>202823</v>
      </c>
      <c r="E2070" s="6">
        <v>160143</v>
      </c>
      <c r="F2070" s="14">
        <v>577699</v>
      </c>
      <c r="G2070" s="6">
        <v>254062</v>
      </c>
      <c r="H2070" s="6">
        <v>54852</v>
      </c>
      <c r="I2070" s="6">
        <v>74305</v>
      </c>
      <c r="J2070" s="6">
        <v>262175</v>
      </c>
      <c r="K2070" s="6">
        <v>510740</v>
      </c>
      <c r="L2070" s="6">
        <v>195964</v>
      </c>
      <c r="M2070" s="6">
        <v>2524015</v>
      </c>
    </row>
    <row r="2071" spans="1:13" x14ac:dyDescent="0.3">
      <c r="A2071" s="7">
        <v>43139</v>
      </c>
      <c r="B2071" s="7"/>
      <c r="C2071" s="6">
        <v>128947</v>
      </c>
      <c r="D2071" s="6">
        <v>209855</v>
      </c>
      <c r="E2071" s="6">
        <v>164036</v>
      </c>
      <c r="F2071" s="14">
        <v>585242</v>
      </c>
      <c r="G2071" s="6">
        <v>254275</v>
      </c>
      <c r="H2071" s="6">
        <v>55416</v>
      </c>
      <c r="I2071" s="6">
        <v>74714</v>
      </c>
      <c r="J2071" s="6">
        <v>274055</v>
      </c>
      <c r="K2071" s="6">
        <v>517708</v>
      </c>
      <c r="L2071" s="6">
        <v>193135</v>
      </c>
      <c r="M2071" s="6">
        <v>2543617</v>
      </c>
    </row>
    <row r="2072" spans="1:13" x14ac:dyDescent="0.3">
      <c r="A2072" s="7">
        <v>43138</v>
      </c>
      <c r="B2072" s="7"/>
      <c r="C2072" s="6">
        <v>133088</v>
      </c>
      <c r="D2072" s="6">
        <v>214637</v>
      </c>
      <c r="E2072" s="6">
        <v>166326</v>
      </c>
      <c r="F2072" s="14">
        <v>590861</v>
      </c>
      <c r="G2072" s="6">
        <v>248679</v>
      </c>
      <c r="H2072" s="6">
        <v>55768</v>
      </c>
      <c r="I2072" s="6">
        <v>75205</v>
      </c>
      <c r="J2072" s="6">
        <v>287474</v>
      </c>
      <c r="K2072" s="6">
        <v>525207</v>
      </c>
      <c r="L2072" s="6">
        <v>202506</v>
      </c>
      <c r="M2072" s="6">
        <v>2550513</v>
      </c>
    </row>
    <row r="2073" spans="1:13" x14ac:dyDescent="0.3">
      <c r="A2073" s="7">
        <v>43137</v>
      </c>
      <c r="B2073" s="7"/>
      <c r="C2073" s="6">
        <v>139810</v>
      </c>
      <c r="D2073" s="6">
        <v>216402</v>
      </c>
      <c r="E2073" s="6">
        <v>167890</v>
      </c>
      <c r="F2073" s="14">
        <v>596937</v>
      </c>
      <c r="G2073" s="6">
        <v>249478</v>
      </c>
      <c r="H2073" s="6">
        <v>55563</v>
      </c>
      <c r="I2073" s="6">
        <v>73968</v>
      </c>
      <c r="J2073" s="6">
        <v>285964</v>
      </c>
      <c r="K2073" s="6">
        <v>535321</v>
      </c>
      <c r="L2073" s="6">
        <v>205470</v>
      </c>
      <c r="M2073" s="6">
        <v>2589270</v>
      </c>
    </row>
    <row r="2074" spans="1:13" x14ac:dyDescent="0.3">
      <c r="A2074" s="7">
        <v>43136</v>
      </c>
      <c r="B2074" s="7"/>
      <c r="C2074" s="6">
        <v>146519</v>
      </c>
      <c r="D2074" s="6">
        <v>228212</v>
      </c>
      <c r="E2074" s="6">
        <v>175469</v>
      </c>
      <c r="F2074" s="14">
        <v>601458</v>
      </c>
      <c r="G2074" s="6">
        <v>261119</v>
      </c>
      <c r="H2074" s="6">
        <v>56581</v>
      </c>
      <c r="I2074" s="6">
        <v>73741</v>
      </c>
      <c r="J2074" s="6">
        <v>287664</v>
      </c>
      <c r="K2074" s="6">
        <v>545893</v>
      </c>
      <c r="L2074" s="6">
        <v>206170</v>
      </c>
      <c r="M2074" s="6">
        <v>2587299</v>
      </c>
    </row>
    <row r="2075" spans="1:13" x14ac:dyDescent="0.3">
      <c r="A2075" s="7">
        <v>43133</v>
      </c>
      <c r="B2075" s="7"/>
      <c r="C2075" s="6">
        <v>150054</v>
      </c>
      <c r="D2075" s="6">
        <v>226080</v>
      </c>
      <c r="E2075" s="6">
        <v>181796</v>
      </c>
      <c r="F2075" s="14">
        <v>602418</v>
      </c>
      <c r="G2075" s="6">
        <v>260842</v>
      </c>
      <c r="H2075" s="6">
        <v>56853</v>
      </c>
      <c r="I2075" s="6">
        <v>71935</v>
      </c>
      <c r="J2075" s="6">
        <v>291155</v>
      </c>
      <c r="K2075" s="6">
        <v>548278</v>
      </c>
      <c r="L2075" s="6">
        <v>209256</v>
      </c>
      <c r="M2075" s="6">
        <v>2637021</v>
      </c>
    </row>
    <row r="2076" spans="1:13" x14ac:dyDescent="0.3">
      <c r="A2076" s="7">
        <v>43132</v>
      </c>
      <c r="B2076" s="7"/>
      <c r="C2076" s="6">
        <v>149236</v>
      </c>
      <c r="D2076" s="6">
        <v>227214</v>
      </c>
      <c r="E2076" s="6">
        <v>181718</v>
      </c>
      <c r="F2076" s="14">
        <v>601029</v>
      </c>
      <c r="G2076" s="6">
        <v>263806</v>
      </c>
      <c r="H2076" s="6">
        <v>56078</v>
      </c>
      <c r="I2076" s="6">
        <v>71967</v>
      </c>
      <c r="J2076" s="6">
        <v>287709</v>
      </c>
      <c r="K2076" s="6">
        <v>548982</v>
      </c>
      <c r="L2076" s="6">
        <v>202554</v>
      </c>
      <c r="M2076" s="6">
        <v>2680530</v>
      </c>
    </row>
    <row r="2077" spans="1:13" x14ac:dyDescent="0.3">
      <c r="A2077" s="7">
        <v>43131</v>
      </c>
      <c r="B2077" s="7"/>
      <c r="C2077" s="6">
        <v>145118</v>
      </c>
      <c r="D2077" s="6">
        <v>227517</v>
      </c>
      <c r="E2077" s="6">
        <v>178506</v>
      </c>
      <c r="F2077" s="14">
        <v>597952</v>
      </c>
      <c r="G2077" s="6">
        <v>259237</v>
      </c>
      <c r="H2077" s="6">
        <v>54933</v>
      </c>
      <c r="I2077" s="6">
        <v>71241</v>
      </c>
      <c r="J2077" s="6">
        <v>285968</v>
      </c>
      <c r="K2077" s="6">
        <v>552035</v>
      </c>
      <c r="L2077" s="6">
        <v>198036</v>
      </c>
      <c r="M2077" s="6">
        <v>2648774</v>
      </c>
    </row>
    <row r="2078" spans="1:13" x14ac:dyDescent="0.3">
      <c r="A2078" s="7">
        <v>43130</v>
      </c>
      <c r="B2078" s="7"/>
      <c r="C2078" s="6">
        <v>140204</v>
      </c>
      <c r="D2078" s="6">
        <v>235080</v>
      </c>
      <c r="E2078" s="6">
        <v>176871</v>
      </c>
      <c r="F2078" s="14">
        <v>603460</v>
      </c>
      <c r="G2078" s="6">
        <v>260237</v>
      </c>
      <c r="H2078" s="6">
        <v>55783</v>
      </c>
      <c r="I2078" s="6">
        <v>72587</v>
      </c>
      <c r="J2078" s="6">
        <v>287352</v>
      </c>
      <c r="K2078" s="6">
        <v>559332</v>
      </c>
      <c r="L2078" s="6">
        <v>198358</v>
      </c>
      <c r="M2078" s="6">
        <v>2643683</v>
      </c>
    </row>
    <row r="2079" spans="1:13" x14ac:dyDescent="0.3">
      <c r="A2079" s="7">
        <v>43129</v>
      </c>
      <c r="B2079" s="7"/>
      <c r="C2079" s="6">
        <v>139291</v>
      </c>
      <c r="D2079" s="6">
        <v>238195</v>
      </c>
      <c r="E2079" s="6">
        <v>177355</v>
      </c>
      <c r="F2079" s="14">
        <v>611843</v>
      </c>
      <c r="G2079" s="6">
        <v>256872</v>
      </c>
      <c r="H2079" s="6">
        <v>54854</v>
      </c>
      <c r="I2079" s="6">
        <v>72374</v>
      </c>
      <c r="J2079" s="6">
        <v>285775</v>
      </c>
      <c r="K2079" s="6">
        <v>556441</v>
      </c>
      <c r="L2079" s="6">
        <v>201188</v>
      </c>
      <c r="M2079" s="6">
        <v>2644526</v>
      </c>
    </row>
    <row r="2080" spans="1:13" x14ac:dyDescent="0.3">
      <c r="A2080" s="7">
        <v>43126</v>
      </c>
      <c r="B2080" s="7"/>
      <c r="C2080" s="6">
        <v>141788</v>
      </c>
      <c r="D2080" s="6">
        <v>235331</v>
      </c>
      <c r="E2080" s="6">
        <v>175387</v>
      </c>
      <c r="F2080" s="14">
        <v>615686</v>
      </c>
      <c r="G2080" s="6">
        <v>256493</v>
      </c>
      <c r="H2080" s="6">
        <v>53869</v>
      </c>
      <c r="I2080" s="6">
        <v>70814</v>
      </c>
      <c r="J2080" s="6">
        <v>284354</v>
      </c>
      <c r="K2080" s="6">
        <v>565240</v>
      </c>
      <c r="L2080" s="6">
        <v>200827</v>
      </c>
      <c r="M2080" s="6">
        <v>2648090</v>
      </c>
    </row>
    <row r="2081" spans="1:13" x14ac:dyDescent="0.3">
      <c r="A2081" s="7">
        <v>43125</v>
      </c>
      <c r="B2081" s="7"/>
      <c r="C2081" s="6">
        <v>141238</v>
      </c>
      <c r="D2081" s="6">
        <v>231416</v>
      </c>
      <c r="E2081" s="6">
        <v>176603</v>
      </c>
      <c r="F2081" s="14">
        <v>616516</v>
      </c>
      <c r="G2081" s="6">
        <v>254905</v>
      </c>
      <c r="H2081" s="6">
        <v>54169</v>
      </c>
      <c r="I2081" s="6">
        <v>73138</v>
      </c>
      <c r="J2081" s="6">
        <v>282421</v>
      </c>
      <c r="K2081" s="6">
        <v>573135</v>
      </c>
      <c r="L2081" s="6">
        <v>204418</v>
      </c>
      <c r="M2081" s="6">
        <v>2632514</v>
      </c>
    </row>
    <row r="2082" spans="1:13" x14ac:dyDescent="0.3">
      <c r="A2082" s="7">
        <v>43124</v>
      </c>
      <c r="B2082" s="7"/>
      <c r="C2082" s="6">
        <v>144295</v>
      </c>
      <c r="D2082" s="6">
        <v>238815</v>
      </c>
      <c r="E2082" s="6">
        <v>175906</v>
      </c>
      <c r="F2082" s="14">
        <v>619147</v>
      </c>
      <c r="G2082" s="6">
        <v>247995</v>
      </c>
      <c r="H2082" s="6">
        <v>54696</v>
      </c>
      <c r="I2082" s="6">
        <v>73330</v>
      </c>
      <c r="J2082" s="6">
        <v>280314</v>
      </c>
      <c r="K2082" s="6">
        <v>597952</v>
      </c>
      <c r="L2082" s="6">
        <v>205874</v>
      </c>
      <c r="M2082" s="6">
        <v>2655181</v>
      </c>
    </row>
    <row r="2083" spans="1:13" x14ac:dyDescent="0.3">
      <c r="A2083" s="7">
        <v>43123</v>
      </c>
      <c r="B2083" s="7"/>
      <c r="C2083" s="6">
        <v>141176</v>
      </c>
      <c r="D2083" s="6">
        <v>236432</v>
      </c>
      <c r="E2083" s="6">
        <v>168849</v>
      </c>
      <c r="F2083" s="14">
        <v>608683</v>
      </c>
      <c r="G2083" s="6">
        <v>241136</v>
      </c>
      <c r="H2083" s="6">
        <v>53374</v>
      </c>
      <c r="I2083" s="6">
        <v>71767</v>
      </c>
      <c r="J2083" s="6">
        <v>284300</v>
      </c>
      <c r="K2083" s="6">
        <v>582421</v>
      </c>
      <c r="L2083" s="6">
        <v>199985</v>
      </c>
      <c r="M2083" s="6">
        <v>2593128</v>
      </c>
    </row>
    <row r="2084" spans="1:13" x14ac:dyDescent="0.3">
      <c r="A2084" s="7">
        <v>43122</v>
      </c>
      <c r="B2084" s="7"/>
      <c r="C2084" s="6">
        <v>137631</v>
      </c>
      <c r="D2084" s="6">
        <v>232296</v>
      </c>
      <c r="E2084" s="6">
        <v>166591</v>
      </c>
      <c r="F2084" s="14">
        <v>603288</v>
      </c>
      <c r="G2084" s="6">
        <v>236803</v>
      </c>
      <c r="H2084" s="6">
        <v>52929</v>
      </c>
      <c r="I2084" s="6">
        <v>70879</v>
      </c>
      <c r="J2084" s="6">
        <v>282099</v>
      </c>
      <c r="K2084" s="6">
        <v>573295</v>
      </c>
      <c r="L2084" s="6">
        <v>200061</v>
      </c>
      <c r="M2084" s="6">
        <v>2568481</v>
      </c>
    </row>
    <row r="2085" spans="1:13" x14ac:dyDescent="0.3">
      <c r="A2085" s="7">
        <v>43119</v>
      </c>
      <c r="B2085" s="7"/>
      <c r="C2085" s="6">
        <v>133466</v>
      </c>
      <c r="D2085" s="6">
        <v>229244</v>
      </c>
      <c r="E2085" s="6">
        <v>166537</v>
      </c>
      <c r="F2085" s="14">
        <v>596267</v>
      </c>
      <c r="G2085" s="6">
        <v>239131</v>
      </c>
      <c r="H2085" s="6">
        <v>52832</v>
      </c>
      <c r="I2085" s="6">
        <v>70589</v>
      </c>
      <c r="J2085" s="6">
        <v>281431</v>
      </c>
      <c r="K2085" s="6">
        <v>586528</v>
      </c>
      <c r="L2085" s="6">
        <v>197449</v>
      </c>
      <c r="M2085" s="6">
        <v>2568615</v>
      </c>
    </row>
    <row r="2086" spans="1:13" x14ac:dyDescent="0.3">
      <c r="A2086" s="7">
        <v>43118</v>
      </c>
      <c r="B2086" s="7"/>
      <c r="C2086" s="6">
        <v>131436</v>
      </c>
      <c r="D2086" s="6">
        <v>229478</v>
      </c>
      <c r="E2086" s="6">
        <v>164809</v>
      </c>
      <c r="F2086" s="14">
        <v>600875</v>
      </c>
      <c r="G2086" s="6">
        <v>235217</v>
      </c>
      <c r="H2086" s="6">
        <v>52301</v>
      </c>
      <c r="I2086" s="6">
        <v>70829</v>
      </c>
      <c r="J2086" s="6">
        <v>283290</v>
      </c>
      <c r="K2086" s="6">
        <v>595151</v>
      </c>
      <c r="L2086" s="6">
        <v>194808</v>
      </c>
      <c r="M2086" s="6">
        <v>2600256</v>
      </c>
    </row>
    <row r="2087" spans="1:13" x14ac:dyDescent="0.3">
      <c r="A2087" s="7">
        <v>43117</v>
      </c>
      <c r="B2087" s="7"/>
      <c r="C2087" s="6">
        <v>128858</v>
      </c>
      <c r="D2087" s="6">
        <v>227992</v>
      </c>
      <c r="E2087" s="6">
        <v>163751</v>
      </c>
      <c r="F2087" s="14">
        <v>596428</v>
      </c>
      <c r="G2087" s="6">
        <v>234581</v>
      </c>
      <c r="H2087" s="6">
        <v>50174</v>
      </c>
      <c r="I2087" s="6">
        <v>70455</v>
      </c>
      <c r="J2087" s="6">
        <v>284683</v>
      </c>
      <c r="K2087" s="6">
        <v>591198</v>
      </c>
      <c r="L2087" s="6">
        <v>196423</v>
      </c>
      <c r="M2087" s="6">
        <v>2602314</v>
      </c>
    </row>
    <row r="2088" spans="1:13" x14ac:dyDescent="0.3">
      <c r="A2088" s="7">
        <v>43116</v>
      </c>
      <c r="B2088" s="7"/>
      <c r="C2088" s="6">
        <v>124213</v>
      </c>
      <c r="D2088" s="6">
        <v>220227</v>
      </c>
      <c r="E2088" s="6">
        <v>160810</v>
      </c>
      <c r="F2088" s="14">
        <v>599435</v>
      </c>
      <c r="G2088" s="6">
        <v>238508</v>
      </c>
      <c r="H2088" s="6">
        <v>46780</v>
      </c>
      <c r="I2088" s="6">
        <v>70214</v>
      </c>
      <c r="J2088" s="6">
        <v>288577</v>
      </c>
      <c r="K2088" s="6">
        <v>582333</v>
      </c>
      <c r="L2088" s="6">
        <v>196511</v>
      </c>
      <c r="M2088" s="6">
        <v>2611581</v>
      </c>
    </row>
    <row r="2089" spans="1:13" x14ac:dyDescent="0.3">
      <c r="A2089" s="7">
        <v>43112</v>
      </c>
      <c r="B2089" s="7"/>
      <c r="C2089" s="6">
        <v>124730</v>
      </c>
      <c r="D2089" s="6">
        <v>213161</v>
      </c>
      <c r="E2089" s="6">
        <v>153725</v>
      </c>
      <c r="F2089" s="14">
        <v>587071</v>
      </c>
      <c r="G2089" s="6">
        <v>235887</v>
      </c>
      <c r="H2089" s="6">
        <v>47118</v>
      </c>
      <c r="I2089" s="6">
        <v>69894</v>
      </c>
      <c r="J2089" s="6">
        <v>291223</v>
      </c>
      <c r="K2089" s="6">
        <v>574992</v>
      </c>
      <c r="L2089" s="6">
        <v>200423</v>
      </c>
      <c r="M2089" s="6">
        <v>2639926</v>
      </c>
    </row>
    <row r="2090" spans="1:13" x14ac:dyDescent="0.3">
      <c r="A2090" s="7">
        <v>43111</v>
      </c>
      <c r="B2090" s="7"/>
      <c r="C2090" s="6">
        <v>121114</v>
      </c>
      <c r="D2090" s="6">
        <v>196931</v>
      </c>
      <c r="E2090" s="6">
        <v>152493</v>
      </c>
      <c r="F2090" s="14">
        <v>566983</v>
      </c>
      <c r="G2090" s="6">
        <v>242954</v>
      </c>
      <c r="H2090" s="6">
        <v>47059</v>
      </c>
      <c r="I2090" s="6">
        <v>69264</v>
      </c>
      <c r="J2090" s="6">
        <v>290478</v>
      </c>
      <c r="K2090" s="6">
        <v>564056</v>
      </c>
      <c r="L2090" s="6">
        <v>196444</v>
      </c>
      <c r="M2090" s="6">
        <v>2595401</v>
      </c>
    </row>
    <row r="2091" spans="1:13" x14ac:dyDescent="0.3">
      <c r="A2091" s="7">
        <v>43110</v>
      </c>
      <c r="B2091" s="7"/>
      <c r="C2091" s="6">
        <v>121046</v>
      </c>
      <c r="D2091" s="6">
        <v>200603</v>
      </c>
      <c r="E2091" s="6">
        <v>150225</v>
      </c>
      <c r="F2091" s="14">
        <v>563255</v>
      </c>
      <c r="G2091" s="6">
        <v>240716</v>
      </c>
      <c r="H2091" s="6">
        <v>46563</v>
      </c>
      <c r="I2091" s="6">
        <v>70873</v>
      </c>
      <c r="J2091" s="6">
        <v>290493</v>
      </c>
      <c r="K2091" s="6">
        <v>567435</v>
      </c>
      <c r="L2091" s="6">
        <v>196660</v>
      </c>
      <c r="M2091" s="6">
        <v>2569123</v>
      </c>
    </row>
    <row r="2092" spans="1:13" x14ac:dyDescent="0.3">
      <c r="A2092" s="7">
        <v>43109</v>
      </c>
      <c r="B2092" s="7"/>
      <c r="C2092" s="6">
        <v>123463</v>
      </c>
      <c r="D2092" s="6">
        <v>203484</v>
      </c>
      <c r="E2092" s="6">
        <v>147839</v>
      </c>
      <c r="F2092" s="14">
        <v>563400</v>
      </c>
      <c r="G2092" s="6">
        <v>233144</v>
      </c>
      <c r="H2092" s="6">
        <v>45519</v>
      </c>
      <c r="I2092" s="6">
        <v>77070</v>
      </c>
      <c r="J2092" s="6">
        <v>292480</v>
      </c>
      <c r="K2092" s="6">
        <v>555455</v>
      </c>
      <c r="L2092" s="6">
        <v>195009</v>
      </c>
      <c r="M2092" s="6">
        <v>2545313</v>
      </c>
    </row>
    <row r="2093" spans="1:13" x14ac:dyDescent="0.3">
      <c r="A2093" s="7">
        <v>43108</v>
      </c>
      <c r="B2093" s="7"/>
      <c r="C2093" s="6">
        <v>121070</v>
      </c>
      <c r="D2093" s="6">
        <v>206248</v>
      </c>
      <c r="E2093" s="6">
        <v>143724</v>
      </c>
      <c r="F2093" s="14">
        <v>568302</v>
      </c>
      <c r="G2093" s="6">
        <v>242258</v>
      </c>
      <c r="H2093" s="6">
        <v>44357</v>
      </c>
      <c r="I2093" s="6">
        <v>71676</v>
      </c>
      <c r="J2093" s="6">
        <v>292665</v>
      </c>
      <c r="K2093" s="6">
        <v>552072</v>
      </c>
      <c r="L2093" s="6">
        <v>194214</v>
      </c>
      <c r="M2093" s="6">
        <v>2538049</v>
      </c>
    </row>
    <row r="2094" spans="1:13" x14ac:dyDescent="0.3">
      <c r="A2094" s="7">
        <v>43105</v>
      </c>
      <c r="B2094" s="7"/>
      <c r="C2094" s="6">
        <v>119034</v>
      </c>
      <c r="D2094" s="6">
        <v>204262</v>
      </c>
      <c r="E2094" s="6">
        <v>141389</v>
      </c>
      <c r="F2094" s="14">
        <v>567854</v>
      </c>
      <c r="G2094" s="6">
        <v>240984</v>
      </c>
      <c r="H2094" s="6">
        <v>44633</v>
      </c>
      <c r="I2094" s="6">
        <v>72602</v>
      </c>
      <c r="J2094" s="6">
        <v>292251</v>
      </c>
      <c r="K2094" s="6">
        <v>551441</v>
      </c>
      <c r="L2094" s="6">
        <v>194429</v>
      </c>
      <c r="M2094" s="6">
        <v>2539230</v>
      </c>
    </row>
    <row r="2095" spans="1:13" x14ac:dyDescent="0.3">
      <c r="A2095" s="7">
        <v>43104</v>
      </c>
      <c r="B2095" s="7"/>
      <c r="C2095" s="6">
        <v>122327</v>
      </c>
      <c r="D2095" s="6">
        <v>207333</v>
      </c>
      <c r="E2095" s="6">
        <v>132844</v>
      </c>
      <c r="F2095" s="14">
        <v>578386</v>
      </c>
      <c r="G2095" s="6">
        <v>233234</v>
      </c>
      <c r="H2095" s="6">
        <v>45240</v>
      </c>
      <c r="I2095" s="6">
        <v>73383</v>
      </c>
      <c r="J2095" s="6">
        <v>294411</v>
      </c>
      <c r="K2095" s="6">
        <v>542313</v>
      </c>
      <c r="L2095" s="6">
        <v>194264</v>
      </c>
      <c r="M2095" s="6">
        <v>2538817</v>
      </c>
    </row>
    <row r="2096" spans="1:13" x14ac:dyDescent="0.3">
      <c r="A2096" s="7">
        <v>43103</v>
      </c>
      <c r="B2096" s="7"/>
      <c r="C2096" s="6">
        <v>122369</v>
      </c>
      <c r="D2096" s="6">
        <v>206751</v>
      </c>
      <c r="E2096" s="6">
        <v>126946</v>
      </c>
      <c r="F2096" s="14">
        <v>549538</v>
      </c>
      <c r="G2096" s="6">
        <v>228743</v>
      </c>
      <c r="H2096" s="6">
        <v>45674</v>
      </c>
      <c r="I2096" s="6">
        <v>75432</v>
      </c>
      <c r="J2096" s="6">
        <v>292592</v>
      </c>
      <c r="K2096" s="6">
        <v>512172</v>
      </c>
      <c r="L2096" s="6">
        <v>191728</v>
      </c>
      <c r="M2096" s="6">
        <v>2525660</v>
      </c>
    </row>
    <row r="2097" spans="1:13" x14ac:dyDescent="0.3">
      <c r="A2097" s="7">
        <v>43102</v>
      </c>
      <c r="B2097" s="7"/>
      <c r="C2097" s="6">
        <v>123176</v>
      </c>
      <c r="D2097" s="6">
        <v>211627</v>
      </c>
      <c r="E2097" s="6">
        <v>126829</v>
      </c>
      <c r="F2097" s="14">
        <v>542622</v>
      </c>
      <c r="G2097" s="6">
        <v>230564</v>
      </c>
      <c r="H2097" s="6">
        <v>45141</v>
      </c>
      <c r="I2097" s="6">
        <v>75662</v>
      </c>
      <c r="J2097" s="6">
        <v>288846</v>
      </c>
      <c r="K2097" s="6">
        <v>500731</v>
      </c>
      <c r="L2097" s="6">
        <v>192423</v>
      </c>
      <c r="M2097" s="6">
        <v>2479798</v>
      </c>
    </row>
    <row r="2098" spans="1:13" x14ac:dyDescent="0.3">
      <c r="A2098" s="7">
        <v>43098</v>
      </c>
      <c r="B2098" s="7"/>
      <c r="C2098" s="6">
        <v>122834</v>
      </c>
      <c r="D2098" s="6">
        <v>210306</v>
      </c>
      <c r="E2098" s="6">
        <v>122098</v>
      </c>
      <c r="F2098" s="14">
        <v>530121</v>
      </c>
      <c r="G2098" s="6">
        <v>232073</v>
      </c>
      <c r="H2098" s="6">
        <v>45210</v>
      </c>
      <c r="I2098" s="6">
        <v>77423</v>
      </c>
      <c r="J2098" s="6">
        <v>284224</v>
      </c>
      <c r="K2098" s="6">
        <v>492970</v>
      </c>
      <c r="L2098" s="6">
        <v>193228</v>
      </c>
      <c r="M2098" s="6">
        <v>2457526</v>
      </c>
    </row>
    <row r="2099" spans="1:13" x14ac:dyDescent="0.3">
      <c r="A2099" s="7">
        <v>43097</v>
      </c>
      <c r="B2099" s="7"/>
      <c r="C2099" s="6">
        <v>123171</v>
      </c>
      <c r="D2099" s="6">
        <v>202496</v>
      </c>
      <c r="E2099" s="6">
        <v>119456</v>
      </c>
      <c r="F2099" s="14">
        <v>519873</v>
      </c>
      <c r="G2099" s="6">
        <v>233469</v>
      </c>
      <c r="H2099" s="6">
        <v>46301</v>
      </c>
      <c r="I2099" s="6">
        <v>80131</v>
      </c>
      <c r="J2099" s="6">
        <v>279713</v>
      </c>
      <c r="K2099" s="6">
        <v>471653</v>
      </c>
      <c r="L2099" s="6">
        <v>193821</v>
      </c>
      <c r="M2099" s="6">
        <v>2460033</v>
      </c>
    </row>
    <row r="2100" spans="1:13" x14ac:dyDescent="0.3">
      <c r="A2100" s="7">
        <v>43096</v>
      </c>
      <c r="B2100" s="7"/>
      <c r="C2100" s="6">
        <v>119190</v>
      </c>
      <c r="D2100" s="6">
        <v>196056</v>
      </c>
      <c r="E2100" s="6">
        <v>116214</v>
      </c>
      <c r="F2100" s="14">
        <v>507656</v>
      </c>
      <c r="G2100" s="6">
        <v>235504</v>
      </c>
      <c r="H2100" s="6">
        <v>46999</v>
      </c>
      <c r="I2100" s="6">
        <v>82456</v>
      </c>
      <c r="J2100" s="6">
        <v>276065</v>
      </c>
      <c r="K2100" s="6">
        <v>458486</v>
      </c>
      <c r="L2100" s="6">
        <v>197222</v>
      </c>
      <c r="M2100" s="6">
        <v>2463720</v>
      </c>
    </row>
    <row r="2101" spans="1:13" x14ac:dyDescent="0.3">
      <c r="A2101" s="7">
        <v>43095</v>
      </c>
      <c r="B2101" s="7"/>
      <c r="C2101" s="6">
        <v>110525</v>
      </c>
      <c r="D2101" s="6">
        <v>190393</v>
      </c>
      <c r="E2101" s="6">
        <v>116559</v>
      </c>
      <c r="F2101" s="14">
        <v>497744</v>
      </c>
      <c r="G2101" s="6">
        <v>232428</v>
      </c>
      <c r="H2101" s="6">
        <v>47219</v>
      </c>
      <c r="I2101" s="6">
        <v>81655</v>
      </c>
      <c r="J2101" s="6">
        <v>268478</v>
      </c>
      <c r="K2101" s="6">
        <v>456470</v>
      </c>
      <c r="L2101" s="6">
        <v>200321</v>
      </c>
      <c r="M2101" s="6">
        <v>2460193</v>
      </c>
    </row>
    <row r="2102" spans="1:13" x14ac:dyDescent="0.3">
      <c r="A2102" s="7">
        <v>43091</v>
      </c>
      <c r="B2102" s="7"/>
      <c r="C2102" s="6">
        <v>108480</v>
      </c>
      <c r="D2102" s="6">
        <v>190532</v>
      </c>
      <c r="E2102" s="6">
        <v>115956</v>
      </c>
      <c r="F2102" s="14">
        <v>493968</v>
      </c>
      <c r="G2102" s="6">
        <v>233172</v>
      </c>
      <c r="H2102" s="6">
        <v>46987</v>
      </c>
      <c r="I2102" s="6">
        <v>81387</v>
      </c>
      <c r="J2102" s="6">
        <v>266496</v>
      </c>
      <c r="K2102" s="6">
        <v>456157</v>
      </c>
      <c r="L2102" s="6">
        <v>201783</v>
      </c>
      <c r="M2102" s="6">
        <v>2436081</v>
      </c>
    </row>
    <row r="2103" spans="1:13" x14ac:dyDescent="0.3">
      <c r="A2103" s="7">
        <v>43090</v>
      </c>
      <c r="B2103" s="7"/>
      <c r="C2103" s="6">
        <v>105246</v>
      </c>
      <c r="D2103" s="6">
        <v>186792</v>
      </c>
      <c r="E2103" s="6">
        <v>118370</v>
      </c>
      <c r="F2103" s="14">
        <v>491464</v>
      </c>
      <c r="G2103" s="6">
        <v>234940</v>
      </c>
      <c r="H2103" s="6">
        <v>48226</v>
      </c>
      <c r="I2103" s="6">
        <v>80611</v>
      </c>
      <c r="J2103" s="6">
        <v>262480</v>
      </c>
      <c r="K2103" s="6">
        <v>455498</v>
      </c>
      <c r="L2103" s="6">
        <v>201108</v>
      </c>
      <c r="M2103" s="6">
        <v>2443676</v>
      </c>
    </row>
    <row r="2104" spans="1:13" x14ac:dyDescent="0.3">
      <c r="A2104" s="7">
        <v>43089</v>
      </c>
      <c r="B2104" s="7"/>
      <c r="C2104" s="6">
        <v>104116</v>
      </c>
      <c r="D2104" s="6">
        <v>190351</v>
      </c>
      <c r="E2104" s="6">
        <v>112768</v>
      </c>
      <c r="F2104" s="14">
        <v>496389</v>
      </c>
      <c r="G2104" s="6">
        <v>232600</v>
      </c>
      <c r="H2104" s="6">
        <v>48159</v>
      </c>
      <c r="I2104" s="6">
        <v>78435</v>
      </c>
      <c r="J2104" s="6">
        <v>256690</v>
      </c>
      <c r="K2104" s="6">
        <v>452338</v>
      </c>
      <c r="L2104" s="6">
        <v>203225</v>
      </c>
      <c r="M2104" s="6">
        <v>2455246</v>
      </c>
    </row>
    <row r="2105" spans="1:13" x14ac:dyDescent="0.3">
      <c r="A2105" s="7">
        <v>43084</v>
      </c>
      <c r="B2105" s="7"/>
      <c r="C2105" s="6">
        <v>165477</v>
      </c>
      <c r="D2105" s="6">
        <v>250081</v>
      </c>
      <c r="E2105" s="6">
        <v>152944</v>
      </c>
      <c r="F2105" s="14">
        <v>586320</v>
      </c>
      <c r="G2105" s="6">
        <v>273427</v>
      </c>
      <c r="H2105" s="6">
        <v>81718</v>
      </c>
      <c r="I2105" s="6">
        <v>127556</v>
      </c>
      <c r="J2105" s="6">
        <v>243331</v>
      </c>
      <c r="K2105" s="6">
        <v>455675</v>
      </c>
      <c r="L2105" s="6">
        <v>208354</v>
      </c>
      <c r="M2105" s="6">
        <v>2545718</v>
      </c>
    </row>
    <row r="2106" spans="1:13" x14ac:dyDescent="0.3">
      <c r="A2106" s="7">
        <v>43083</v>
      </c>
      <c r="B2106" s="7"/>
      <c r="C2106" s="6">
        <v>170484</v>
      </c>
      <c r="D2106" s="6">
        <v>236404</v>
      </c>
      <c r="E2106" s="6">
        <v>146561</v>
      </c>
      <c r="F2106" s="14">
        <v>548525</v>
      </c>
      <c r="G2106" s="6">
        <v>280173</v>
      </c>
      <c r="H2106" s="6">
        <v>80364</v>
      </c>
      <c r="I2106" s="6">
        <v>127697</v>
      </c>
      <c r="J2106" s="6">
        <v>237170</v>
      </c>
      <c r="K2106" s="6">
        <v>450743</v>
      </c>
      <c r="L2106" s="6">
        <v>208516</v>
      </c>
      <c r="M2106" s="6">
        <v>2534530</v>
      </c>
    </row>
    <row r="2107" spans="1:13" x14ac:dyDescent="0.3">
      <c r="A2107" s="7">
        <v>43082</v>
      </c>
      <c r="B2107" s="7"/>
      <c r="C2107" s="6">
        <v>156263</v>
      </c>
      <c r="D2107" s="6">
        <v>225982</v>
      </c>
      <c r="E2107" s="6">
        <v>143213</v>
      </c>
      <c r="F2107" s="14">
        <v>506341</v>
      </c>
      <c r="G2107" s="6">
        <v>269184</v>
      </c>
      <c r="H2107" s="6">
        <v>80129</v>
      </c>
      <c r="I2107" s="6">
        <v>116389</v>
      </c>
      <c r="J2107" s="6">
        <v>233775</v>
      </c>
      <c r="K2107" s="6">
        <v>456151</v>
      </c>
      <c r="L2107" s="6">
        <v>206110</v>
      </c>
      <c r="M2107" s="6">
        <v>2574191</v>
      </c>
    </row>
    <row r="2108" spans="1:13" x14ac:dyDescent="0.3">
      <c r="A2108" s="7">
        <v>43081</v>
      </c>
      <c r="B2108" s="7"/>
      <c r="C2108" s="6">
        <v>157029</v>
      </c>
      <c r="D2108" s="6">
        <v>208102</v>
      </c>
      <c r="E2108" s="6">
        <v>149275</v>
      </c>
      <c r="F2108" s="14">
        <v>505744</v>
      </c>
      <c r="G2108" s="6">
        <v>250581</v>
      </c>
      <c r="H2108" s="6">
        <v>74192</v>
      </c>
      <c r="I2108" s="6">
        <v>95115</v>
      </c>
      <c r="J2108" s="6">
        <v>235080</v>
      </c>
      <c r="K2108" s="6">
        <v>446618</v>
      </c>
      <c r="L2108" s="6">
        <v>202797</v>
      </c>
      <c r="M2108" s="6">
        <v>2571686</v>
      </c>
    </row>
    <row r="2109" spans="1:13" x14ac:dyDescent="0.3">
      <c r="A2109" s="7">
        <v>43080</v>
      </c>
      <c r="B2109" s="7"/>
      <c r="C2109" s="6">
        <v>156300</v>
      </c>
      <c r="D2109" s="6">
        <v>204480</v>
      </c>
      <c r="E2109" s="6">
        <v>151460</v>
      </c>
      <c r="F2109" s="14">
        <v>495926</v>
      </c>
      <c r="G2109" s="6">
        <v>248714</v>
      </c>
      <c r="H2109" s="6">
        <v>70503</v>
      </c>
      <c r="I2109" s="6">
        <v>92450</v>
      </c>
      <c r="J2109" s="6">
        <v>237091</v>
      </c>
      <c r="K2109" s="6">
        <v>451195</v>
      </c>
      <c r="L2109" s="6">
        <v>200271</v>
      </c>
      <c r="M2109" s="6">
        <v>2589955</v>
      </c>
    </row>
    <row r="2110" spans="1:13" x14ac:dyDescent="0.3">
      <c r="A2110" s="7">
        <v>43077</v>
      </c>
      <c r="B2110" s="7"/>
      <c r="C2110" s="6">
        <v>150731</v>
      </c>
      <c r="D2110" s="6">
        <v>193668</v>
      </c>
      <c r="E2110" s="6">
        <v>147240</v>
      </c>
      <c r="F2110" s="14">
        <v>488235</v>
      </c>
      <c r="G2110" s="6">
        <v>236914</v>
      </c>
      <c r="H2110" s="6">
        <v>61609</v>
      </c>
      <c r="I2110" s="6">
        <v>91588</v>
      </c>
      <c r="J2110" s="6">
        <v>241291</v>
      </c>
      <c r="K2110" s="6">
        <v>453037</v>
      </c>
      <c r="L2110" s="6">
        <v>196556</v>
      </c>
      <c r="M2110" s="6">
        <v>2577697</v>
      </c>
    </row>
    <row r="2111" spans="1:13" x14ac:dyDescent="0.3">
      <c r="A2111" s="7">
        <v>43076</v>
      </c>
      <c r="B2111" s="7"/>
      <c r="C2111" s="6">
        <v>149638</v>
      </c>
      <c r="D2111" s="6">
        <v>202152</v>
      </c>
      <c r="E2111" s="6">
        <v>146955</v>
      </c>
      <c r="F2111" s="14">
        <v>500344</v>
      </c>
      <c r="G2111" s="6">
        <v>233650</v>
      </c>
      <c r="H2111" s="6">
        <v>61687</v>
      </c>
      <c r="I2111" s="6">
        <v>84160</v>
      </c>
      <c r="J2111" s="6">
        <v>243707</v>
      </c>
      <c r="K2111" s="6">
        <v>458857</v>
      </c>
      <c r="L2111" s="6">
        <v>193096</v>
      </c>
      <c r="M2111" s="6">
        <v>2574834</v>
      </c>
    </row>
    <row r="2112" spans="1:13" x14ac:dyDescent="0.3">
      <c r="A2112" s="7">
        <v>43075</v>
      </c>
      <c r="B2112" s="7"/>
      <c r="C2112" s="6">
        <v>140924</v>
      </c>
      <c r="D2112" s="6">
        <v>198053</v>
      </c>
      <c r="E2112" s="6">
        <v>150235</v>
      </c>
      <c r="F2112" s="14">
        <v>505163</v>
      </c>
      <c r="G2112" s="6">
        <v>238750</v>
      </c>
      <c r="H2112" s="6">
        <v>60996</v>
      </c>
      <c r="I2112" s="6">
        <v>81986</v>
      </c>
      <c r="J2112" s="6">
        <v>247394</v>
      </c>
      <c r="K2112" s="6">
        <v>464116</v>
      </c>
      <c r="L2112" s="6">
        <v>194631</v>
      </c>
      <c r="M2112" s="6">
        <v>2580142</v>
      </c>
    </row>
    <row r="2113" spans="1:13" x14ac:dyDescent="0.3">
      <c r="A2113" s="7">
        <v>43074</v>
      </c>
      <c r="B2113" s="7"/>
      <c r="C2113" s="6">
        <v>139427</v>
      </c>
      <c r="D2113" s="6">
        <v>202693</v>
      </c>
      <c r="E2113" s="6">
        <v>147099</v>
      </c>
      <c r="F2113" s="14">
        <v>499124</v>
      </c>
      <c r="G2113" s="6">
        <v>238077</v>
      </c>
      <c r="H2113" s="6">
        <v>61386</v>
      </c>
      <c r="I2113" s="6">
        <v>80778</v>
      </c>
      <c r="J2113" s="6">
        <v>258050</v>
      </c>
      <c r="K2113" s="6">
        <v>472795</v>
      </c>
      <c r="L2113" s="6">
        <v>192970</v>
      </c>
      <c r="M2113" s="6">
        <v>2554224</v>
      </c>
    </row>
    <row r="2114" spans="1:13" x14ac:dyDescent="0.3">
      <c r="A2114" s="7">
        <v>43073</v>
      </c>
      <c r="B2114" s="7"/>
      <c r="C2114" s="6">
        <v>134515</v>
      </c>
      <c r="D2114" s="6">
        <v>204608</v>
      </c>
      <c r="E2114" s="6">
        <v>147375</v>
      </c>
      <c r="F2114" s="14">
        <v>492827</v>
      </c>
      <c r="G2114" s="6">
        <v>236240</v>
      </c>
      <c r="H2114" s="6">
        <v>62312</v>
      </c>
      <c r="I2114" s="6">
        <v>80009</v>
      </c>
      <c r="J2114" s="6">
        <v>263543</v>
      </c>
      <c r="K2114" s="6">
        <v>473406</v>
      </c>
      <c r="L2114" s="6">
        <v>190055</v>
      </c>
      <c r="M2114" s="6">
        <v>2525118</v>
      </c>
    </row>
    <row r="2115" spans="1:13" x14ac:dyDescent="0.3">
      <c r="A2115" s="7">
        <v>43070</v>
      </c>
      <c r="B2115" s="7"/>
      <c r="C2115" s="6">
        <v>136331</v>
      </c>
      <c r="D2115" s="6">
        <v>202144</v>
      </c>
      <c r="E2115" s="6">
        <v>148304</v>
      </c>
      <c r="F2115" s="14">
        <v>492604</v>
      </c>
      <c r="G2115" s="6">
        <v>239268</v>
      </c>
      <c r="H2115" s="6">
        <v>62270</v>
      </c>
      <c r="I2115" s="6">
        <v>79512</v>
      </c>
      <c r="J2115" s="6">
        <v>265649</v>
      </c>
      <c r="K2115" s="6">
        <v>474857</v>
      </c>
      <c r="L2115" s="6">
        <v>190207</v>
      </c>
      <c r="M2115" s="6">
        <v>2539055</v>
      </c>
    </row>
    <row r="2116" spans="1:13" x14ac:dyDescent="0.3">
      <c r="A2116" s="7">
        <v>43069</v>
      </c>
      <c r="B2116" s="7"/>
      <c r="C2116" s="6">
        <v>134131</v>
      </c>
      <c r="D2116" s="6">
        <v>198278</v>
      </c>
      <c r="E2116" s="6">
        <v>147617</v>
      </c>
      <c r="F2116" s="14">
        <v>496954</v>
      </c>
      <c r="G2116" s="6">
        <v>238625</v>
      </c>
      <c r="H2116" s="6">
        <v>62162</v>
      </c>
      <c r="I2116" s="6">
        <v>81139</v>
      </c>
      <c r="J2116" s="6">
        <v>265886</v>
      </c>
      <c r="K2116" s="6">
        <v>485509</v>
      </c>
      <c r="L2116" s="6">
        <v>187033</v>
      </c>
      <c r="M2116" s="6">
        <v>2524205</v>
      </c>
    </row>
    <row r="2117" spans="1:13" x14ac:dyDescent="0.3">
      <c r="A2117" s="7">
        <v>43068</v>
      </c>
      <c r="B2117" s="7"/>
      <c r="C2117" s="6">
        <v>137495</v>
      </c>
      <c r="D2117" s="6">
        <v>184907</v>
      </c>
      <c r="E2117" s="6">
        <v>146189</v>
      </c>
      <c r="F2117" s="14">
        <v>488447</v>
      </c>
      <c r="G2117" s="6">
        <v>239164</v>
      </c>
      <c r="H2117" s="6">
        <v>61166</v>
      </c>
      <c r="I2117" s="6">
        <v>81593</v>
      </c>
      <c r="J2117" s="6">
        <v>268337</v>
      </c>
      <c r="K2117" s="6">
        <v>489236</v>
      </c>
      <c r="L2117" s="6">
        <v>189526</v>
      </c>
      <c r="M2117" s="6">
        <v>2507530</v>
      </c>
    </row>
    <row r="2118" spans="1:13" x14ac:dyDescent="0.3">
      <c r="A2118" s="7">
        <v>43067</v>
      </c>
      <c r="B2118" s="7"/>
      <c r="C2118" s="6">
        <v>134805</v>
      </c>
      <c r="D2118" s="6">
        <v>178230</v>
      </c>
      <c r="E2118" s="6">
        <v>145257</v>
      </c>
      <c r="F2118" s="14">
        <v>495561</v>
      </c>
      <c r="G2118" s="6">
        <v>244536</v>
      </c>
      <c r="H2118" s="6">
        <v>61260</v>
      </c>
      <c r="I2118" s="6">
        <v>79544</v>
      </c>
      <c r="J2118" s="6">
        <v>273314</v>
      </c>
      <c r="K2118" s="6">
        <v>503810</v>
      </c>
      <c r="L2118" s="6">
        <v>186272</v>
      </c>
      <c r="M2118" s="6">
        <v>2489012</v>
      </c>
    </row>
    <row r="2119" spans="1:13" x14ac:dyDescent="0.3">
      <c r="A2119" s="7">
        <v>43066</v>
      </c>
      <c r="B2119" s="7"/>
      <c r="C2119" s="6">
        <v>133500</v>
      </c>
      <c r="D2119" s="6">
        <v>179431</v>
      </c>
      <c r="E2119" s="6">
        <v>142763</v>
      </c>
      <c r="F2119" s="14">
        <v>496831</v>
      </c>
      <c r="G2119" s="6">
        <v>250927</v>
      </c>
      <c r="H2119" s="6">
        <v>60629</v>
      </c>
      <c r="I2119" s="6">
        <v>78988</v>
      </c>
      <c r="J2119" s="6">
        <v>278291</v>
      </c>
      <c r="K2119" s="6">
        <v>538796</v>
      </c>
      <c r="L2119" s="6">
        <v>191085</v>
      </c>
      <c r="M2119" s="6">
        <v>2483769</v>
      </c>
    </row>
    <row r="2120" spans="1:13" x14ac:dyDescent="0.3">
      <c r="A2120" s="7">
        <v>43063</v>
      </c>
      <c r="B2120" s="7"/>
      <c r="C2120" s="6">
        <v>135497</v>
      </c>
      <c r="D2120" s="6">
        <v>181181</v>
      </c>
      <c r="E2120" s="6">
        <v>144284</v>
      </c>
      <c r="F2120" s="14">
        <v>495934</v>
      </c>
      <c r="G2120" s="6">
        <v>250887</v>
      </c>
      <c r="H2120" s="6">
        <v>60065</v>
      </c>
      <c r="I2120" s="6">
        <v>78541</v>
      </c>
      <c r="J2120" s="6">
        <v>279515</v>
      </c>
      <c r="K2120" s="6">
        <v>534371</v>
      </c>
      <c r="L2120" s="6">
        <v>195118</v>
      </c>
      <c r="M2120" s="6">
        <v>2486951</v>
      </c>
    </row>
    <row r="2121" spans="1:13" x14ac:dyDescent="0.3">
      <c r="A2121" s="7">
        <v>43061</v>
      </c>
      <c r="B2121" s="7"/>
      <c r="C2121" s="6">
        <v>133852</v>
      </c>
      <c r="D2121" s="6">
        <v>178947</v>
      </c>
      <c r="E2121" s="6">
        <v>143956</v>
      </c>
      <c r="F2121" s="14">
        <v>471839</v>
      </c>
      <c r="G2121" s="6">
        <v>256822</v>
      </c>
      <c r="H2121" s="6">
        <v>59355</v>
      </c>
      <c r="I2121" s="6">
        <v>81047</v>
      </c>
      <c r="J2121" s="6">
        <v>277004</v>
      </c>
      <c r="K2121" s="6">
        <v>539300</v>
      </c>
      <c r="L2121" s="6">
        <v>197872</v>
      </c>
      <c r="M2121" s="6">
        <v>2474541</v>
      </c>
    </row>
    <row r="2122" spans="1:13" x14ac:dyDescent="0.3">
      <c r="A2122" s="7">
        <v>43060</v>
      </c>
      <c r="B2122" s="7"/>
      <c r="C2122" s="6">
        <v>132975</v>
      </c>
      <c r="D2122" s="6">
        <v>175839</v>
      </c>
      <c r="E2122" s="6">
        <v>143596</v>
      </c>
      <c r="F2122" s="14">
        <v>465307</v>
      </c>
      <c r="G2122" s="6">
        <v>261019</v>
      </c>
      <c r="H2122" s="6">
        <v>59737</v>
      </c>
      <c r="I2122" s="6">
        <v>82906</v>
      </c>
      <c r="J2122" s="6">
        <v>277126</v>
      </c>
      <c r="K2122" s="6">
        <v>531612</v>
      </c>
      <c r="L2122" s="6">
        <v>199402</v>
      </c>
      <c r="M2122" s="6">
        <v>2512147</v>
      </c>
    </row>
    <row r="2123" spans="1:13" x14ac:dyDescent="0.3">
      <c r="A2123" s="7">
        <v>43059</v>
      </c>
      <c r="B2123" s="7"/>
      <c r="C2123" s="6">
        <v>130899</v>
      </c>
      <c r="D2123" s="6">
        <v>177893</v>
      </c>
      <c r="E2123" s="6">
        <v>142846</v>
      </c>
      <c r="F2123" s="14">
        <v>471162</v>
      </c>
      <c r="G2123" s="6">
        <v>264486</v>
      </c>
      <c r="H2123" s="6">
        <v>59734</v>
      </c>
      <c r="I2123" s="6">
        <v>83637</v>
      </c>
      <c r="J2123" s="6">
        <v>275013</v>
      </c>
      <c r="K2123" s="6">
        <v>550561</v>
      </c>
      <c r="L2123" s="6">
        <v>197483</v>
      </c>
      <c r="M2123" s="6">
        <v>2495889</v>
      </c>
    </row>
    <row r="2124" spans="1:13" x14ac:dyDescent="0.3">
      <c r="A2124" s="7">
        <v>43056</v>
      </c>
      <c r="B2124" s="7"/>
      <c r="C2124" s="6">
        <v>130986</v>
      </c>
      <c r="D2124" s="6">
        <v>174939</v>
      </c>
      <c r="E2124" s="6">
        <v>141832</v>
      </c>
      <c r="F2124" s="14">
        <v>473688</v>
      </c>
      <c r="G2124" s="6">
        <v>273384</v>
      </c>
      <c r="H2124" s="6">
        <v>58817</v>
      </c>
      <c r="I2124" s="6">
        <v>83188</v>
      </c>
      <c r="J2124" s="6">
        <v>276794</v>
      </c>
      <c r="K2124" s="6">
        <v>559838</v>
      </c>
      <c r="L2124" s="6">
        <v>205094</v>
      </c>
      <c r="M2124" s="6">
        <v>2505414</v>
      </c>
    </row>
    <row r="2125" spans="1:13" x14ac:dyDescent="0.3">
      <c r="A2125" s="7">
        <v>43055</v>
      </c>
      <c r="B2125" s="7"/>
      <c r="C2125" s="6">
        <v>126443</v>
      </c>
      <c r="D2125" s="6">
        <v>176183</v>
      </c>
      <c r="E2125" s="6">
        <v>141339</v>
      </c>
      <c r="F2125" s="14">
        <v>473337</v>
      </c>
      <c r="G2125" s="6">
        <v>274277</v>
      </c>
      <c r="H2125" s="6">
        <v>55359</v>
      </c>
      <c r="I2125" s="6">
        <v>83035</v>
      </c>
      <c r="J2125" s="6">
        <v>275725</v>
      </c>
      <c r="K2125" s="6">
        <v>531131</v>
      </c>
      <c r="L2125" s="6">
        <v>199711</v>
      </c>
      <c r="M2125" s="6">
        <v>2524039</v>
      </c>
    </row>
    <row r="2126" spans="1:13" x14ac:dyDescent="0.3">
      <c r="A2126" s="7">
        <v>43054</v>
      </c>
      <c r="B2126" s="7"/>
      <c r="C2126" s="6">
        <v>129311</v>
      </c>
      <c r="D2126" s="6">
        <v>174633</v>
      </c>
      <c r="E2126" s="6">
        <v>143318</v>
      </c>
      <c r="F2126" s="14">
        <v>473562</v>
      </c>
      <c r="G2126" s="6">
        <v>279502</v>
      </c>
      <c r="H2126" s="6">
        <v>54232</v>
      </c>
      <c r="I2126" s="6">
        <v>81164</v>
      </c>
      <c r="J2126" s="6">
        <v>280176</v>
      </c>
      <c r="K2126" s="6">
        <v>536298</v>
      </c>
      <c r="L2126" s="6">
        <v>201456</v>
      </c>
      <c r="M2126" s="6">
        <v>2536799</v>
      </c>
    </row>
    <row r="2127" spans="1:13" x14ac:dyDescent="0.3">
      <c r="A2127" s="7">
        <v>43053</v>
      </c>
      <c r="B2127" s="7"/>
      <c r="C2127" s="6">
        <v>127251</v>
      </c>
      <c r="D2127" s="6">
        <v>177130</v>
      </c>
      <c r="E2127" s="6">
        <v>143841</v>
      </c>
      <c r="F2127" s="14">
        <v>472865</v>
      </c>
      <c r="G2127" s="6">
        <v>285994</v>
      </c>
      <c r="H2127" s="6">
        <v>53690</v>
      </c>
      <c r="I2127" s="6">
        <v>81661</v>
      </c>
      <c r="J2127" s="6">
        <v>283153</v>
      </c>
      <c r="K2127" s="6">
        <v>533054</v>
      </c>
      <c r="L2127" s="6">
        <v>199899</v>
      </c>
      <c r="M2127" s="6">
        <v>2627570</v>
      </c>
    </row>
    <row r="2128" spans="1:13" x14ac:dyDescent="0.3">
      <c r="A2128" s="7">
        <v>43052</v>
      </c>
      <c r="B2128" s="7"/>
      <c r="C2128" s="6">
        <v>125106</v>
      </c>
      <c r="D2128" s="6">
        <v>177418</v>
      </c>
      <c r="E2128" s="6">
        <v>147673</v>
      </c>
      <c r="F2128" s="14">
        <v>461197</v>
      </c>
      <c r="G2128" s="6">
        <v>285494</v>
      </c>
      <c r="H2128" s="6">
        <v>53739</v>
      </c>
      <c r="I2128" s="6">
        <v>82051</v>
      </c>
      <c r="J2128" s="6">
        <v>288517</v>
      </c>
      <c r="K2128" s="6">
        <v>532400</v>
      </c>
      <c r="L2128" s="6">
        <v>199122</v>
      </c>
      <c r="M2128" s="6">
        <v>2661455</v>
      </c>
    </row>
    <row r="2129" spans="1:13" x14ac:dyDescent="0.3">
      <c r="A2129" s="7">
        <v>43049</v>
      </c>
      <c r="B2129" s="7"/>
      <c r="C2129" s="6">
        <v>123142</v>
      </c>
      <c r="D2129" s="6">
        <v>180849</v>
      </c>
      <c r="E2129" s="6">
        <v>150397</v>
      </c>
      <c r="F2129" s="14">
        <v>459078</v>
      </c>
      <c r="G2129" s="6">
        <v>285618</v>
      </c>
      <c r="H2129" s="6">
        <v>52608</v>
      </c>
      <c r="I2129" s="6">
        <v>82374</v>
      </c>
      <c r="J2129" s="6">
        <v>290323</v>
      </c>
      <c r="K2129" s="6">
        <v>530404</v>
      </c>
      <c r="L2129" s="6">
        <v>199358</v>
      </c>
      <c r="M2129" s="6">
        <v>2691028</v>
      </c>
    </row>
    <row r="2130" spans="1:13" x14ac:dyDescent="0.3">
      <c r="A2130" s="7">
        <v>43048</v>
      </c>
      <c r="B2130" s="7"/>
      <c r="C2130" s="6">
        <v>121927</v>
      </c>
      <c r="D2130" s="6">
        <v>179159</v>
      </c>
      <c r="E2130" s="6">
        <v>149800</v>
      </c>
      <c r="F2130" s="14">
        <v>455662</v>
      </c>
      <c r="G2130" s="6">
        <v>280912</v>
      </c>
      <c r="H2130" s="6">
        <v>52411</v>
      </c>
      <c r="I2130" s="6">
        <v>81397</v>
      </c>
      <c r="J2130" s="6">
        <v>289689</v>
      </c>
      <c r="K2130" s="6">
        <v>534190</v>
      </c>
      <c r="L2130" s="6">
        <v>200648</v>
      </c>
      <c r="M2130" s="6">
        <v>2667570</v>
      </c>
    </row>
    <row r="2131" spans="1:13" x14ac:dyDescent="0.3">
      <c r="A2131" s="7">
        <v>43047</v>
      </c>
      <c r="B2131" s="7"/>
      <c r="C2131" s="6">
        <v>123237</v>
      </c>
      <c r="D2131" s="6">
        <v>179023</v>
      </c>
      <c r="E2131" s="6">
        <v>149115</v>
      </c>
      <c r="F2131" s="14">
        <v>448236</v>
      </c>
      <c r="G2131" s="6">
        <v>287706</v>
      </c>
      <c r="H2131" s="6">
        <v>52149</v>
      </c>
      <c r="I2131" s="6">
        <v>80353</v>
      </c>
      <c r="J2131" s="6">
        <v>291813</v>
      </c>
      <c r="K2131" s="6">
        <v>536390</v>
      </c>
      <c r="L2131" s="6">
        <v>201944</v>
      </c>
      <c r="M2131" s="6">
        <v>2607272</v>
      </c>
    </row>
    <row r="2132" spans="1:13" x14ac:dyDescent="0.3">
      <c r="A2132" s="7">
        <v>43046</v>
      </c>
      <c r="B2132" s="7"/>
      <c r="C2132" s="6">
        <v>125196</v>
      </c>
      <c r="D2132" s="6">
        <v>177968</v>
      </c>
      <c r="E2132" s="6">
        <v>147706</v>
      </c>
      <c r="F2132" s="14">
        <v>446502</v>
      </c>
      <c r="G2132" s="6">
        <v>287936</v>
      </c>
      <c r="H2132" s="6">
        <v>52072</v>
      </c>
      <c r="I2132" s="6">
        <v>79116</v>
      </c>
      <c r="J2132" s="6">
        <v>299392</v>
      </c>
      <c r="K2132" s="6">
        <v>536843</v>
      </c>
      <c r="L2132" s="6">
        <v>203330</v>
      </c>
      <c r="M2132" s="6">
        <v>2601977</v>
      </c>
    </row>
    <row r="2133" spans="1:13" x14ac:dyDescent="0.3">
      <c r="A2133" s="7">
        <v>43045</v>
      </c>
      <c r="B2133" s="7"/>
      <c r="C2133" s="6">
        <v>123372</v>
      </c>
      <c r="D2133" s="6">
        <v>177965</v>
      </c>
      <c r="E2133" s="6">
        <v>150598</v>
      </c>
      <c r="F2133" s="14">
        <v>445343</v>
      </c>
      <c r="G2133" s="6">
        <v>286401</v>
      </c>
      <c r="H2133" s="6">
        <v>52418</v>
      </c>
      <c r="I2133" s="6">
        <v>79650</v>
      </c>
      <c r="J2133" s="6">
        <v>297868</v>
      </c>
      <c r="K2133" s="6">
        <v>537427</v>
      </c>
      <c r="L2133" s="6">
        <v>208500</v>
      </c>
      <c r="M2133" s="6">
        <v>2586345</v>
      </c>
    </row>
    <row r="2134" spans="1:13" x14ac:dyDescent="0.3">
      <c r="A2134" s="7">
        <v>43042</v>
      </c>
      <c r="B2134" s="7"/>
      <c r="C2134" s="6">
        <v>124259</v>
      </c>
      <c r="D2134" s="6">
        <v>179999</v>
      </c>
      <c r="E2134" s="6">
        <v>152303</v>
      </c>
      <c r="F2134" s="14">
        <v>443860</v>
      </c>
      <c r="G2134" s="6">
        <v>286477</v>
      </c>
      <c r="H2134" s="6">
        <v>52135</v>
      </c>
      <c r="I2134" s="6">
        <v>79861</v>
      </c>
      <c r="J2134" s="6">
        <v>295706</v>
      </c>
      <c r="K2134" s="6">
        <v>529124</v>
      </c>
      <c r="L2134" s="6">
        <v>204938</v>
      </c>
      <c r="M2134" s="6">
        <v>2545105</v>
      </c>
    </row>
    <row r="2135" spans="1:13" x14ac:dyDescent="0.3">
      <c r="A2135" s="7">
        <v>43041</v>
      </c>
      <c r="B2135" s="7"/>
      <c r="C2135" s="6">
        <v>129787</v>
      </c>
      <c r="D2135" s="6">
        <v>192529</v>
      </c>
      <c r="E2135" s="6">
        <v>158053</v>
      </c>
      <c r="F2135" s="14">
        <v>446454</v>
      </c>
      <c r="G2135" s="6">
        <v>279859</v>
      </c>
      <c r="H2135" s="6">
        <v>51514</v>
      </c>
      <c r="I2135" s="6">
        <v>77833</v>
      </c>
      <c r="J2135" s="6">
        <v>295883</v>
      </c>
      <c r="K2135" s="6">
        <v>533471</v>
      </c>
      <c r="L2135" s="6">
        <v>206068</v>
      </c>
      <c r="M2135" s="6">
        <v>2520609</v>
      </c>
    </row>
    <row r="2136" spans="1:13" x14ac:dyDescent="0.3">
      <c r="A2136" s="7">
        <v>43040</v>
      </c>
      <c r="B2136" s="7"/>
      <c r="C2136" s="6">
        <v>131366</v>
      </c>
      <c r="D2136" s="6">
        <v>180944</v>
      </c>
      <c r="E2136" s="6">
        <v>158649</v>
      </c>
      <c r="F2136" s="14">
        <v>441010</v>
      </c>
      <c r="G2136" s="6">
        <v>278494</v>
      </c>
      <c r="H2136" s="6">
        <v>50238</v>
      </c>
      <c r="I2136" s="6">
        <v>76288</v>
      </c>
      <c r="J2136" s="6">
        <v>299483</v>
      </c>
      <c r="K2136" s="6">
        <v>531131</v>
      </c>
      <c r="L2136" s="6">
        <v>203903</v>
      </c>
      <c r="M2136" s="6">
        <v>2520545</v>
      </c>
    </row>
    <row r="2137" spans="1:13" x14ac:dyDescent="0.3">
      <c r="A2137" s="7">
        <v>43039</v>
      </c>
      <c r="B2137" s="7"/>
      <c r="C2137" s="6">
        <v>131999</v>
      </c>
      <c r="D2137" s="6">
        <v>185123</v>
      </c>
      <c r="E2137" s="6">
        <v>157542</v>
      </c>
      <c r="F2137" s="14">
        <v>440384</v>
      </c>
      <c r="G2137" s="6">
        <v>277706</v>
      </c>
      <c r="H2137" s="6">
        <v>49610</v>
      </c>
      <c r="I2137" s="6">
        <v>74717</v>
      </c>
      <c r="J2137" s="6">
        <v>299573</v>
      </c>
      <c r="K2137" s="6">
        <v>531918</v>
      </c>
      <c r="L2137" s="6">
        <v>198853</v>
      </c>
      <c r="M2137" s="6">
        <v>2509878</v>
      </c>
    </row>
    <row r="2138" spans="1:13" x14ac:dyDescent="0.3">
      <c r="A2138" s="7">
        <v>43038</v>
      </c>
      <c r="B2138" s="7"/>
      <c r="C2138" s="6">
        <v>132798</v>
      </c>
      <c r="D2138" s="6">
        <v>184775</v>
      </c>
      <c r="E2138" s="6">
        <v>159639</v>
      </c>
      <c r="F2138" s="14">
        <v>439425</v>
      </c>
      <c r="G2138" s="6">
        <v>272677</v>
      </c>
      <c r="H2138" s="6">
        <v>48750</v>
      </c>
      <c r="I2138" s="6">
        <v>71873</v>
      </c>
      <c r="J2138" s="6">
        <v>299891</v>
      </c>
      <c r="K2138" s="6">
        <v>528459</v>
      </c>
      <c r="L2138" s="6">
        <v>196434</v>
      </c>
      <c r="M2138" s="6">
        <v>2492940</v>
      </c>
    </row>
    <row r="2139" spans="1:13" x14ac:dyDescent="0.3">
      <c r="A2139" s="7">
        <v>43035</v>
      </c>
      <c r="B2139" s="7"/>
      <c r="C2139" s="6">
        <v>131724</v>
      </c>
      <c r="D2139" s="6">
        <v>188440</v>
      </c>
      <c r="E2139" s="6">
        <v>162780</v>
      </c>
      <c r="F2139" s="14">
        <v>440694</v>
      </c>
      <c r="G2139" s="6">
        <v>277503</v>
      </c>
      <c r="H2139" s="6">
        <v>46754</v>
      </c>
      <c r="I2139" s="6">
        <v>70952</v>
      </c>
      <c r="J2139" s="6">
        <v>301317</v>
      </c>
      <c r="K2139" s="6">
        <v>519426</v>
      </c>
      <c r="L2139" s="6">
        <v>195983</v>
      </c>
      <c r="M2139" s="6">
        <v>2471277</v>
      </c>
    </row>
    <row r="2140" spans="1:13" x14ac:dyDescent="0.3">
      <c r="A2140" s="7">
        <v>43034</v>
      </c>
      <c r="B2140" s="7"/>
      <c r="C2140" s="6">
        <v>135605</v>
      </c>
      <c r="D2140" s="6">
        <v>184141</v>
      </c>
      <c r="E2140" s="6">
        <v>168759</v>
      </c>
      <c r="F2140" s="14">
        <v>443740</v>
      </c>
      <c r="G2140" s="6">
        <v>282483</v>
      </c>
      <c r="H2140" s="6">
        <v>45612</v>
      </c>
      <c r="I2140" s="6">
        <v>67448</v>
      </c>
      <c r="J2140" s="6">
        <v>312333</v>
      </c>
      <c r="K2140" s="6">
        <v>527961</v>
      </c>
      <c r="L2140" s="6">
        <v>193773</v>
      </c>
      <c r="M2140" s="6">
        <v>2422939</v>
      </c>
    </row>
    <row r="2141" spans="1:13" x14ac:dyDescent="0.3">
      <c r="A2141" s="7">
        <v>43033</v>
      </c>
      <c r="B2141" s="7"/>
      <c r="C2141" s="6">
        <v>137876</v>
      </c>
      <c r="D2141" s="6">
        <v>186338</v>
      </c>
      <c r="E2141" s="6">
        <v>174833</v>
      </c>
      <c r="F2141" s="14">
        <v>444907</v>
      </c>
      <c r="G2141" s="6">
        <v>280969</v>
      </c>
      <c r="H2141" s="6">
        <v>42893</v>
      </c>
      <c r="I2141" s="6">
        <v>64566</v>
      </c>
      <c r="J2141" s="6">
        <v>312449</v>
      </c>
      <c r="K2141" s="6">
        <v>527693</v>
      </c>
      <c r="L2141" s="6">
        <v>193931</v>
      </c>
      <c r="M2141" s="6">
        <v>2410525</v>
      </c>
    </row>
    <row r="2142" spans="1:13" x14ac:dyDescent="0.3">
      <c r="A2142" s="7">
        <v>43032</v>
      </c>
      <c r="B2142" s="7"/>
      <c r="C2142" s="6">
        <v>134558</v>
      </c>
      <c r="D2142" s="6">
        <v>188064</v>
      </c>
      <c r="E2142" s="6">
        <v>172673</v>
      </c>
      <c r="F2142" s="14">
        <v>445018</v>
      </c>
      <c r="G2142" s="6">
        <v>282230</v>
      </c>
      <c r="H2142" s="6">
        <v>41185</v>
      </c>
      <c r="I2142" s="6">
        <v>63892</v>
      </c>
      <c r="J2142" s="6">
        <v>308996</v>
      </c>
      <c r="K2142" s="6">
        <v>526674</v>
      </c>
      <c r="L2142" s="6">
        <v>193899</v>
      </c>
      <c r="M2142" s="6">
        <v>2371940</v>
      </c>
    </row>
    <row r="2143" spans="1:13" x14ac:dyDescent="0.3">
      <c r="A2143" s="7">
        <v>43031</v>
      </c>
      <c r="B2143" s="7"/>
      <c r="C2143" s="6">
        <v>136052</v>
      </c>
      <c r="D2143" s="6">
        <v>183668</v>
      </c>
      <c r="E2143" s="6">
        <v>175017</v>
      </c>
      <c r="F2143" s="14">
        <v>443767</v>
      </c>
      <c r="G2143" s="6">
        <v>274537</v>
      </c>
      <c r="H2143" s="6">
        <v>40409</v>
      </c>
      <c r="I2143" s="6">
        <v>61124</v>
      </c>
      <c r="J2143" s="6">
        <v>308131</v>
      </c>
      <c r="K2143" s="6">
        <v>527390</v>
      </c>
      <c r="L2143" s="6">
        <v>192124</v>
      </c>
      <c r="M2143" s="6">
        <v>2364735</v>
      </c>
    </row>
    <row r="2144" spans="1:13" x14ac:dyDescent="0.3">
      <c r="A2144" s="7">
        <v>43028</v>
      </c>
      <c r="B2144" s="7"/>
      <c r="C2144" s="6">
        <v>137245</v>
      </c>
      <c r="D2144" s="6">
        <v>184266</v>
      </c>
      <c r="E2144" s="6">
        <v>178756</v>
      </c>
      <c r="F2144" s="14">
        <v>446288</v>
      </c>
      <c r="G2144" s="6">
        <v>274804</v>
      </c>
      <c r="H2144" s="6">
        <v>39042</v>
      </c>
      <c r="I2144" s="6">
        <v>59464</v>
      </c>
      <c r="J2144" s="6">
        <v>305540</v>
      </c>
      <c r="K2144" s="6">
        <v>529313</v>
      </c>
      <c r="L2144" s="6">
        <v>192364</v>
      </c>
      <c r="M2144" s="6">
        <v>2389146</v>
      </c>
    </row>
    <row r="2145" spans="1:13" x14ac:dyDescent="0.3">
      <c r="A2145" s="7">
        <v>43027</v>
      </c>
      <c r="B2145" s="7"/>
      <c r="C2145" s="6">
        <v>135919</v>
      </c>
      <c r="D2145" s="6">
        <v>185325</v>
      </c>
      <c r="E2145" s="6">
        <v>174183</v>
      </c>
      <c r="F2145" s="14">
        <v>449358</v>
      </c>
      <c r="G2145" s="6">
        <v>259060</v>
      </c>
      <c r="H2145" s="6">
        <v>37526</v>
      </c>
      <c r="I2145" s="6">
        <v>55377</v>
      </c>
      <c r="J2145" s="6">
        <v>308113</v>
      </c>
      <c r="K2145" s="6">
        <v>529655</v>
      </c>
      <c r="L2145" s="6">
        <v>193086</v>
      </c>
      <c r="M2145" s="6">
        <v>2402557</v>
      </c>
    </row>
    <row r="2146" spans="1:13" x14ac:dyDescent="0.3">
      <c r="A2146" s="7">
        <v>43026</v>
      </c>
      <c r="B2146" s="7"/>
      <c r="C2146" s="6">
        <v>134090</v>
      </c>
      <c r="D2146" s="6">
        <v>183446</v>
      </c>
      <c r="E2146" s="6">
        <v>176287</v>
      </c>
      <c r="F2146" s="14">
        <v>446222</v>
      </c>
      <c r="G2146" s="6">
        <v>267084</v>
      </c>
      <c r="H2146" s="6">
        <v>33704</v>
      </c>
      <c r="I2146" s="6">
        <v>57157</v>
      </c>
      <c r="J2146" s="6">
        <v>308023</v>
      </c>
      <c r="K2146" s="6">
        <v>524944</v>
      </c>
      <c r="L2146" s="6">
        <v>191844</v>
      </c>
      <c r="M2146" s="6">
        <v>2438882</v>
      </c>
    </row>
    <row r="2147" spans="1:13" x14ac:dyDescent="0.3">
      <c r="A2147" s="7">
        <v>43025</v>
      </c>
      <c r="B2147" s="7"/>
      <c r="C2147" s="6">
        <v>134484</v>
      </c>
      <c r="D2147" s="6">
        <v>186733</v>
      </c>
      <c r="E2147" s="6">
        <v>174347</v>
      </c>
      <c r="F2147" s="14">
        <v>447557</v>
      </c>
      <c r="G2147" s="6">
        <v>258197</v>
      </c>
      <c r="H2147" s="6">
        <v>33757</v>
      </c>
      <c r="I2147" s="6">
        <v>55168</v>
      </c>
      <c r="J2147" s="6">
        <v>306618</v>
      </c>
      <c r="K2147" s="6">
        <v>528800</v>
      </c>
      <c r="L2147" s="6">
        <v>191928</v>
      </c>
      <c r="M2147" s="6">
        <v>2440472</v>
      </c>
    </row>
    <row r="2148" spans="1:13" x14ac:dyDescent="0.3">
      <c r="A2148" s="7">
        <v>43024</v>
      </c>
      <c r="B2148" s="7"/>
      <c r="C2148" s="6">
        <v>136587</v>
      </c>
      <c r="D2148" s="6">
        <v>183010</v>
      </c>
      <c r="E2148" s="6">
        <v>171920</v>
      </c>
      <c r="F2148" s="14">
        <v>449028</v>
      </c>
      <c r="G2148" s="6">
        <v>258470</v>
      </c>
      <c r="H2148" s="6">
        <v>34284</v>
      </c>
      <c r="I2148" s="6">
        <v>53179</v>
      </c>
      <c r="J2148" s="6">
        <v>305326</v>
      </c>
      <c r="K2148" s="6">
        <v>533134</v>
      </c>
      <c r="L2148" s="6">
        <v>192262</v>
      </c>
      <c r="M2148" s="6">
        <v>2468382</v>
      </c>
    </row>
    <row r="2149" spans="1:13" x14ac:dyDescent="0.3">
      <c r="A2149" s="7">
        <v>43021</v>
      </c>
      <c r="B2149" s="7"/>
      <c r="C2149" s="6">
        <v>139573</v>
      </c>
      <c r="D2149" s="6">
        <v>182229</v>
      </c>
      <c r="E2149" s="6">
        <v>173464</v>
      </c>
      <c r="F2149" s="14">
        <v>448936</v>
      </c>
      <c r="G2149" s="6">
        <v>257031</v>
      </c>
      <c r="H2149" s="6">
        <v>33610</v>
      </c>
      <c r="I2149" s="6">
        <v>52450</v>
      </c>
      <c r="J2149" s="6">
        <v>304065</v>
      </c>
      <c r="K2149" s="6">
        <v>528142</v>
      </c>
      <c r="L2149" s="6">
        <v>190994</v>
      </c>
      <c r="M2149" s="6">
        <v>2479895</v>
      </c>
    </row>
    <row r="2150" spans="1:13" x14ac:dyDescent="0.3">
      <c r="A2150" s="7">
        <v>43020</v>
      </c>
      <c r="B2150" s="7"/>
      <c r="C2150" s="6">
        <v>138015</v>
      </c>
      <c r="D2150" s="6">
        <v>182672</v>
      </c>
      <c r="E2150" s="6">
        <v>174669</v>
      </c>
      <c r="F2150" s="14">
        <v>451799</v>
      </c>
      <c r="G2150" s="6">
        <v>258505</v>
      </c>
      <c r="H2150" s="6">
        <v>34143</v>
      </c>
      <c r="I2150" s="6">
        <v>51461</v>
      </c>
      <c r="J2150" s="6">
        <v>301192</v>
      </c>
      <c r="K2150" s="6">
        <v>521247</v>
      </c>
      <c r="L2150" s="6">
        <v>188711</v>
      </c>
      <c r="M2150" s="6">
        <v>2488716</v>
      </c>
    </row>
    <row r="2151" spans="1:13" x14ac:dyDescent="0.3">
      <c r="A2151" s="7">
        <v>43019</v>
      </c>
      <c r="B2151" s="7"/>
      <c r="C2151" s="6">
        <v>137773</v>
      </c>
      <c r="D2151" s="6">
        <v>182812</v>
      </c>
      <c r="E2151" s="6">
        <v>177286</v>
      </c>
      <c r="F2151" s="14">
        <v>454225</v>
      </c>
      <c r="G2151" s="6">
        <v>256302</v>
      </c>
      <c r="H2151" s="6">
        <v>34046</v>
      </c>
      <c r="I2151" s="6">
        <v>49750</v>
      </c>
      <c r="J2151" s="6">
        <v>295510</v>
      </c>
      <c r="K2151" s="6">
        <v>518389</v>
      </c>
      <c r="L2151" s="6">
        <v>187422</v>
      </c>
      <c r="M2151" s="6">
        <v>2462129</v>
      </c>
    </row>
    <row r="2152" spans="1:13" x14ac:dyDescent="0.3">
      <c r="A2152" s="7">
        <v>43018</v>
      </c>
      <c r="B2152" s="7"/>
      <c r="C2152" s="6">
        <v>140854</v>
      </c>
      <c r="D2152" s="6">
        <v>181570</v>
      </c>
      <c r="E2152" s="6">
        <v>175817</v>
      </c>
      <c r="F2152" s="14">
        <v>450748</v>
      </c>
      <c r="G2152" s="6">
        <v>254124</v>
      </c>
      <c r="H2152" s="6">
        <v>36460</v>
      </c>
      <c r="I2152" s="6">
        <v>49039</v>
      </c>
      <c r="J2152" s="6">
        <v>289779</v>
      </c>
      <c r="K2152" s="6">
        <v>520005</v>
      </c>
      <c r="L2152" s="6">
        <v>188258</v>
      </c>
      <c r="M2152" s="6">
        <v>2437479</v>
      </c>
    </row>
    <row r="2153" spans="1:13" x14ac:dyDescent="0.3">
      <c r="A2153" s="7">
        <v>43017</v>
      </c>
      <c r="B2153" s="7"/>
      <c r="C2153" s="6">
        <v>142699</v>
      </c>
      <c r="D2153" s="6">
        <v>180883</v>
      </c>
      <c r="E2153" s="6">
        <v>175293</v>
      </c>
      <c r="F2153" s="14">
        <v>442721</v>
      </c>
      <c r="G2153" s="6">
        <v>250731</v>
      </c>
      <c r="H2153" s="6">
        <v>35955</v>
      </c>
      <c r="I2153" s="6">
        <v>48550</v>
      </c>
      <c r="J2153" s="6">
        <v>286906</v>
      </c>
      <c r="K2153" s="6">
        <v>513815</v>
      </c>
      <c r="L2153" s="6">
        <v>187832</v>
      </c>
      <c r="M2153" s="6">
        <v>2440503</v>
      </c>
    </row>
    <row r="2154" spans="1:13" x14ac:dyDescent="0.3">
      <c r="A2154" s="7">
        <v>43014</v>
      </c>
      <c r="B2154" s="7"/>
      <c r="C2154" s="6">
        <v>143968</v>
      </c>
      <c r="D2154" s="6">
        <v>180485</v>
      </c>
      <c r="E2154" s="6">
        <v>176496</v>
      </c>
      <c r="F2154" s="14">
        <v>443838</v>
      </c>
      <c r="G2154" s="6">
        <v>246782</v>
      </c>
      <c r="H2154" s="6">
        <v>35709</v>
      </c>
      <c r="I2154" s="6">
        <v>47241</v>
      </c>
      <c r="J2154" s="6">
        <v>285597</v>
      </c>
      <c r="K2154" s="6">
        <v>514151</v>
      </c>
      <c r="L2154" s="6">
        <v>186144</v>
      </c>
      <c r="M2154" s="6">
        <v>2458741</v>
      </c>
    </row>
    <row r="2155" spans="1:13" x14ac:dyDescent="0.3">
      <c r="A2155" s="7">
        <v>43013</v>
      </c>
      <c r="B2155" s="7"/>
      <c r="C2155" s="6">
        <v>147105</v>
      </c>
      <c r="D2155" s="6">
        <v>175436</v>
      </c>
      <c r="E2155" s="6">
        <v>177535</v>
      </c>
      <c r="F2155" s="14">
        <v>438769</v>
      </c>
      <c r="G2155" s="6">
        <v>250976</v>
      </c>
      <c r="H2155" s="6">
        <v>34746</v>
      </c>
      <c r="I2155" s="6">
        <v>46491</v>
      </c>
      <c r="J2155" s="6">
        <v>282202</v>
      </c>
      <c r="K2155" s="6">
        <v>516742</v>
      </c>
      <c r="L2155" s="6">
        <v>184165</v>
      </c>
      <c r="M2155" s="6">
        <v>2473392</v>
      </c>
    </row>
    <row r="2156" spans="1:13" x14ac:dyDescent="0.3">
      <c r="A2156" s="7">
        <v>43012</v>
      </c>
      <c r="B2156" s="7"/>
      <c r="C2156" s="6">
        <v>147579</v>
      </c>
      <c r="D2156" s="6">
        <v>174639</v>
      </c>
      <c r="E2156" s="6">
        <v>175706</v>
      </c>
      <c r="F2156" s="14">
        <v>439299</v>
      </c>
      <c r="G2156" s="6">
        <v>247643</v>
      </c>
      <c r="H2156" s="6">
        <v>33816</v>
      </c>
      <c r="I2156" s="6">
        <v>45033</v>
      </c>
      <c r="J2156" s="6">
        <v>274630</v>
      </c>
      <c r="K2156" s="6">
        <v>521101</v>
      </c>
      <c r="L2156" s="6">
        <v>185543</v>
      </c>
      <c r="M2156" s="6">
        <v>2480392</v>
      </c>
    </row>
    <row r="2157" spans="1:13" x14ac:dyDescent="0.3">
      <c r="A2157" s="7">
        <v>43011</v>
      </c>
      <c r="B2157" s="7"/>
      <c r="C2157" s="6">
        <v>147098</v>
      </c>
      <c r="D2157" s="6">
        <v>174867</v>
      </c>
      <c r="E2157" s="6">
        <v>177263</v>
      </c>
      <c r="F2157" s="14">
        <v>438663</v>
      </c>
      <c r="G2157" s="6">
        <v>246889</v>
      </c>
      <c r="H2157" s="6">
        <v>34175</v>
      </c>
      <c r="I2157" s="6">
        <v>44571</v>
      </c>
      <c r="J2157" s="6">
        <v>273497</v>
      </c>
      <c r="K2157" s="6">
        <v>525127</v>
      </c>
      <c r="L2157" s="6">
        <v>183494</v>
      </c>
      <c r="M2157" s="6">
        <v>2471226</v>
      </c>
    </row>
    <row r="2158" spans="1:13" x14ac:dyDescent="0.3">
      <c r="A2158" s="7">
        <v>43010</v>
      </c>
      <c r="B2158" s="7"/>
      <c r="C2158" s="6">
        <v>146864</v>
      </c>
      <c r="D2158" s="6">
        <v>176981</v>
      </c>
      <c r="E2158" s="6">
        <v>177588</v>
      </c>
      <c r="F2158" s="14">
        <v>437365</v>
      </c>
      <c r="G2158" s="6">
        <v>237689</v>
      </c>
      <c r="H2158" s="6">
        <v>33977</v>
      </c>
      <c r="I2158" s="6">
        <v>43101</v>
      </c>
      <c r="J2158" s="6">
        <v>273381</v>
      </c>
      <c r="K2158" s="6">
        <v>530731</v>
      </c>
      <c r="L2158" s="6">
        <v>183209</v>
      </c>
      <c r="M2158" s="6">
        <v>2464236</v>
      </c>
    </row>
    <row r="2159" spans="1:13" x14ac:dyDescent="0.3">
      <c r="A2159" s="7">
        <v>43007</v>
      </c>
      <c r="B2159" s="7"/>
      <c r="C2159" s="6">
        <v>146097</v>
      </c>
      <c r="D2159" s="6">
        <v>180261</v>
      </c>
      <c r="E2159" s="6">
        <v>178229</v>
      </c>
      <c r="F2159" s="14">
        <v>436829</v>
      </c>
      <c r="G2159" s="6">
        <v>234194</v>
      </c>
      <c r="H2159" s="6">
        <v>34431</v>
      </c>
      <c r="I2159" s="6">
        <v>41507</v>
      </c>
      <c r="J2159" s="6">
        <v>271993</v>
      </c>
      <c r="K2159" s="6">
        <v>530883</v>
      </c>
      <c r="L2159" s="6">
        <v>182960</v>
      </c>
      <c r="M2159" s="6">
        <v>2462399</v>
      </c>
    </row>
    <row r="2160" spans="1:13" x14ac:dyDescent="0.3">
      <c r="A2160" s="7">
        <v>43005</v>
      </c>
      <c r="B2160" s="7"/>
      <c r="C2160" s="6">
        <v>151557</v>
      </c>
      <c r="D2160" s="6">
        <v>191255</v>
      </c>
      <c r="E2160" s="6">
        <v>182069</v>
      </c>
      <c r="F2160" s="14">
        <v>431198</v>
      </c>
      <c r="G2160" s="6">
        <v>216647</v>
      </c>
      <c r="H2160" s="6">
        <v>33911</v>
      </c>
      <c r="I2160" s="6">
        <v>40801</v>
      </c>
      <c r="J2160" s="6">
        <v>273638</v>
      </c>
      <c r="K2160" s="6">
        <v>539885</v>
      </c>
      <c r="L2160" s="6">
        <v>184997</v>
      </c>
      <c r="M2160" s="6">
        <v>2426140</v>
      </c>
    </row>
    <row r="2161" spans="1:13" x14ac:dyDescent="0.3">
      <c r="A2161" s="7">
        <v>43004</v>
      </c>
      <c r="B2161" s="7"/>
      <c r="C2161" s="6">
        <v>154112</v>
      </c>
      <c r="D2161" s="6">
        <v>195509</v>
      </c>
      <c r="E2161" s="6">
        <v>181913</v>
      </c>
      <c r="F2161" s="14">
        <v>429111</v>
      </c>
      <c r="G2161" s="6">
        <v>207097</v>
      </c>
      <c r="H2161" s="6">
        <v>35914</v>
      </c>
      <c r="I2161" s="6">
        <v>39765</v>
      </c>
      <c r="J2161" s="6">
        <v>275999</v>
      </c>
      <c r="K2161" s="6">
        <v>549637</v>
      </c>
      <c r="L2161" s="6">
        <v>186906</v>
      </c>
      <c r="M2161" s="6">
        <v>2411223</v>
      </c>
    </row>
    <row r="2162" spans="1:13" x14ac:dyDescent="0.3">
      <c r="A2162" s="7">
        <v>43003</v>
      </c>
      <c r="B2162" s="7"/>
      <c r="C2162" s="6">
        <v>154794</v>
      </c>
      <c r="D2162" s="6">
        <v>199923</v>
      </c>
      <c r="E2162" s="6">
        <v>181879</v>
      </c>
      <c r="F2162" s="14">
        <v>431472</v>
      </c>
      <c r="G2162" s="6">
        <v>203551</v>
      </c>
      <c r="H2162" s="6">
        <v>37369</v>
      </c>
      <c r="I2162" s="6">
        <v>38206</v>
      </c>
      <c r="J2162" s="6">
        <v>276438</v>
      </c>
      <c r="K2162" s="6">
        <v>558350</v>
      </c>
      <c r="L2162" s="6">
        <v>187932</v>
      </c>
      <c r="M2162" s="6">
        <v>2438903</v>
      </c>
    </row>
    <row r="2163" spans="1:13" x14ac:dyDescent="0.3">
      <c r="A2163" s="7">
        <v>43000</v>
      </c>
      <c r="B2163" s="7"/>
      <c r="C2163" s="6">
        <v>156506</v>
      </c>
      <c r="D2163" s="6">
        <v>200909</v>
      </c>
      <c r="E2163" s="6">
        <v>180176</v>
      </c>
      <c r="F2163" s="14">
        <v>433184</v>
      </c>
      <c r="G2163" s="6">
        <v>204397</v>
      </c>
      <c r="H2163" s="6">
        <v>37895</v>
      </c>
      <c r="I2163" s="6">
        <v>38137</v>
      </c>
      <c r="J2163" s="6">
        <v>282807</v>
      </c>
      <c r="K2163" s="6">
        <v>552379</v>
      </c>
      <c r="L2163" s="6">
        <v>188644</v>
      </c>
      <c r="M2163" s="6">
        <v>2402933</v>
      </c>
    </row>
    <row r="2164" spans="1:13" x14ac:dyDescent="0.3">
      <c r="A2164" s="7">
        <v>42999</v>
      </c>
      <c r="B2164" s="7"/>
      <c r="C2164" s="6">
        <v>156609</v>
      </c>
      <c r="D2164" s="6">
        <v>203981</v>
      </c>
      <c r="E2164" s="6">
        <v>181957</v>
      </c>
      <c r="F2164" s="14">
        <v>431997</v>
      </c>
      <c r="G2164" s="6">
        <v>197880</v>
      </c>
      <c r="H2164" s="6">
        <v>38550</v>
      </c>
      <c r="I2164" s="6">
        <v>38061</v>
      </c>
      <c r="J2164" s="6">
        <v>285217</v>
      </c>
      <c r="K2164" s="6">
        <v>561275</v>
      </c>
      <c r="L2164" s="6">
        <v>189965</v>
      </c>
      <c r="M2164" s="6">
        <v>2396490</v>
      </c>
    </row>
    <row r="2165" spans="1:13" x14ac:dyDescent="0.3">
      <c r="A2165" s="7">
        <v>42998</v>
      </c>
      <c r="B2165" s="7"/>
      <c r="C2165" s="6">
        <v>158895</v>
      </c>
      <c r="D2165" s="6">
        <v>202625</v>
      </c>
      <c r="E2165" s="6">
        <v>179671</v>
      </c>
      <c r="F2165" s="14">
        <v>431751</v>
      </c>
      <c r="G2165" s="6">
        <v>189241</v>
      </c>
      <c r="H2165" s="6">
        <v>37437</v>
      </c>
      <c r="I2165" s="6">
        <v>37034</v>
      </c>
      <c r="J2165" s="6">
        <v>287758</v>
      </c>
      <c r="K2165" s="6">
        <v>574694</v>
      </c>
      <c r="L2165" s="6">
        <v>192251</v>
      </c>
      <c r="M2165" s="6">
        <v>2388770</v>
      </c>
    </row>
    <row r="2166" spans="1:13" x14ac:dyDescent="0.3">
      <c r="A2166" s="7">
        <v>42997</v>
      </c>
      <c r="B2166" s="7"/>
      <c r="C2166" s="6">
        <v>230391</v>
      </c>
      <c r="D2166" s="6">
        <v>272224</v>
      </c>
      <c r="E2166" s="6">
        <v>299169</v>
      </c>
      <c r="F2166" s="14">
        <v>531320</v>
      </c>
      <c r="G2166" s="6">
        <v>230814</v>
      </c>
      <c r="H2166" s="6">
        <v>52927</v>
      </c>
      <c r="I2166" s="6">
        <v>43032</v>
      </c>
      <c r="J2166" s="6">
        <v>289998</v>
      </c>
      <c r="K2166" s="6">
        <v>570096</v>
      </c>
      <c r="L2166" s="6">
        <v>192994</v>
      </c>
      <c r="M2166" s="6">
        <v>2377488</v>
      </c>
    </row>
    <row r="2167" spans="1:13" x14ac:dyDescent="0.3">
      <c r="A2167" s="7">
        <v>42996</v>
      </c>
      <c r="B2167" s="7"/>
      <c r="C2167" s="6">
        <v>230272</v>
      </c>
      <c r="D2167" s="6">
        <v>270194</v>
      </c>
      <c r="E2167" s="6">
        <v>295333</v>
      </c>
      <c r="F2167" s="14">
        <v>524167</v>
      </c>
      <c r="G2167" s="6">
        <v>229011</v>
      </c>
      <c r="H2167" s="6">
        <v>53375</v>
      </c>
      <c r="I2167" s="6">
        <v>42850</v>
      </c>
      <c r="J2167" s="6">
        <v>295769</v>
      </c>
      <c r="K2167" s="6">
        <v>571011</v>
      </c>
      <c r="L2167" s="6">
        <v>193459</v>
      </c>
      <c r="M2167" s="6">
        <v>2389349</v>
      </c>
    </row>
    <row r="2168" spans="1:13" x14ac:dyDescent="0.3">
      <c r="A2168" s="7">
        <v>42993</v>
      </c>
      <c r="B2168" s="7"/>
      <c r="C2168" s="6">
        <v>231219</v>
      </c>
      <c r="D2168" s="6">
        <v>271867</v>
      </c>
      <c r="E2168" s="6">
        <v>298117</v>
      </c>
      <c r="F2168" s="14">
        <v>526088</v>
      </c>
      <c r="G2168" s="6">
        <v>230882</v>
      </c>
      <c r="H2168" s="6">
        <v>51995</v>
      </c>
      <c r="I2168" s="6">
        <v>42851</v>
      </c>
      <c r="J2168" s="6">
        <v>300708</v>
      </c>
      <c r="K2168" s="6">
        <v>573483</v>
      </c>
      <c r="L2168" s="6">
        <v>192765</v>
      </c>
      <c r="M2168" s="6">
        <v>2400293</v>
      </c>
    </row>
    <row r="2169" spans="1:13" x14ac:dyDescent="0.3">
      <c r="A2169" s="7">
        <v>42992</v>
      </c>
      <c r="B2169" s="7"/>
      <c r="C2169" s="6">
        <v>231996</v>
      </c>
      <c r="D2169" s="6">
        <v>276204</v>
      </c>
      <c r="E2169" s="6">
        <v>275979</v>
      </c>
      <c r="F2169" s="14">
        <v>519157</v>
      </c>
      <c r="G2169" s="6">
        <v>249455</v>
      </c>
      <c r="H2169" s="6">
        <v>53876</v>
      </c>
      <c r="I2169" s="6">
        <v>43095</v>
      </c>
      <c r="J2169" s="6">
        <v>307086</v>
      </c>
      <c r="K2169" s="6">
        <v>576765</v>
      </c>
      <c r="L2169" s="6">
        <v>191548</v>
      </c>
      <c r="M2169" s="6">
        <v>2402765</v>
      </c>
    </row>
    <row r="2170" spans="1:13" x14ac:dyDescent="0.3">
      <c r="A2170" s="7">
        <v>42991</v>
      </c>
      <c r="B2170" s="7"/>
      <c r="C2170" s="6">
        <v>206541</v>
      </c>
      <c r="D2170" s="6">
        <v>276467</v>
      </c>
      <c r="E2170" s="6">
        <v>243648</v>
      </c>
      <c r="F2170" s="14">
        <v>501075</v>
      </c>
      <c r="G2170" s="6">
        <v>234092</v>
      </c>
      <c r="H2170" s="6">
        <v>51166</v>
      </c>
      <c r="I2170" s="6">
        <v>45690</v>
      </c>
      <c r="J2170" s="6">
        <v>310977</v>
      </c>
      <c r="K2170" s="6">
        <v>579431</v>
      </c>
      <c r="L2170" s="6">
        <v>188971</v>
      </c>
      <c r="M2170" s="6">
        <v>2374350</v>
      </c>
    </row>
    <row r="2171" spans="1:13" x14ac:dyDescent="0.3">
      <c r="A2171" s="7">
        <v>42990</v>
      </c>
      <c r="B2171" s="7"/>
      <c r="C2171" s="6">
        <v>187355</v>
      </c>
      <c r="D2171" s="6">
        <v>273720</v>
      </c>
      <c r="E2171" s="6">
        <v>227931</v>
      </c>
      <c r="F2171" s="14">
        <v>487425</v>
      </c>
      <c r="G2171" s="6">
        <v>200444</v>
      </c>
      <c r="H2171" s="6">
        <v>49256</v>
      </c>
      <c r="I2171" s="6">
        <v>44076</v>
      </c>
      <c r="J2171" s="6">
        <v>316294</v>
      </c>
      <c r="K2171" s="6">
        <v>580606</v>
      </c>
      <c r="L2171" s="6">
        <v>188207</v>
      </c>
      <c r="M2171" s="6">
        <v>2345125</v>
      </c>
    </row>
    <row r="2172" spans="1:13" x14ac:dyDescent="0.3">
      <c r="A2172" s="7">
        <v>42989</v>
      </c>
      <c r="B2172" s="7"/>
      <c r="C2172" s="6">
        <v>180204</v>
      </c>
      <c r="D2172" s="6">
        <v>233114</v>
      </c>
      <c r="E2172" s="6">
        <v>216596</v>
      </c>
      <c r="F2172" s="14">
        <v>483857</v>
      </c>
      <c r="G2172" s="6">
        <v>204198</v>
      </c>
      <c r="H2172" s="6">
        <v>50404</v>
      </c>
      <c r="I2172" s="6">
        <v>45062</v>
      </c>
      <c r="J2172" s="6">
        <v>320130</v>
      </c>
      <c r="K2172" s="6">
        <v>574119</v>
      </c>
      <c r="L2172" s="6">
        <v>187176</v>
      </c>
      <c r="M2172" s="6">
        <v>2342820</v>
      </c>
    </row>
    <row r="2173" spans="1:13" x14ac:dyDescent="0.3">
      <c r="A2173" s="7">
        <v>42986</v>
      </c>
      <c r="B2173" s="7"/>
      <c r="C2173" s="6">
        <v>172970</v>
      </c>
      <c r="D2173" s="6">
        <v>236576</v>
      </c>
      <c r="E2173" s="6">
        <v>212308</v>
      </c>
      <c r="F2173" s="14">
        <v>477264</v>
      </c>
      <c r="G2173" s="6">
        <v>212581</v>
      </c>
      <c r="H2173" s="6">
        <v>50867</v>
      </c>
      <c r="I2173" s="6">
        <v>44622</v>
      </c>
      <c r="J2173" s="6">
        <v>319913</v>
      </c>
      <c r="K2173" s="6">
        <v>577444</v>
      </c>
      <c r="L2173" s="6">
        <v>188341</v>
      </c>
      <c r="M2173" s="6">
        <v>2332497</v>
      </c>
    </row>
    <row r="2174" spans="1:13" x14ac:dyDescent="0.3">
      <c r="A2174" s="7">
        <v>42985</v>
      </c>
      <c r="B2174" s="7"/>
      <c r="C2174" s="6">
        <v>172290</v>
      </c>
      <c r="D2174" s="6">
        <v>217750</v>
      </c>
      <c r="E2174" s="6">
        <v>207824</v>
      </c>
      <c r="F2174" s="14">
        <v>476125</v>
      </c>
      <c r="G2174" s="6">
        <v>212618</v>
      </c>
      <c r="H2174" s="6">
        <v>50627</v>
      </c>
      <c r="I2174" s="6">
        <v>43234</v>
      </c>
      <c r="J2174" s="6">
        <v>326594</v>
      </c>
      <c r="K2174" s="6">
        <v>579581</v>
      </c>
      <c r="L2174" s="6">
        <v>187152</v>
      </c>
      <c r="M2174" s="6">
        <v>2314727</v>
      </c>
    </row>
    <row r="2175" spans="1:13" x14ac:dyDescent="0.3">
      <c r="A2175" s="7">
        <v>42984</v>
      </c>
      <c r="B2175" s="7"/>
      <c r="C2175" s="6">
        <v>167670</v>
      </c>
      <c r="D2175" s="6">
        <v>216181</v>
      </c>
      <c r="E2175" s="6">
        <v>210948</v>
      </c>
      <c r="F2175" s="14">
        <v>464143</v>
      </c>
      <c r="G2175" s="6">
        <v>206758</v>
      </c>
      <c r="H2175" s="6">
        <v>49495</v>
      </c>
      <c r="I2175" s="6">
        <v>41587</v>
      </c>
      <c r="J2175" s="6">
        <v>329746</v>
      </c>
      <c r="K2175" s="6">
        <v>566318</v>
      </c>
      <c r="L2175" s="6">
        <v>184142</v>
      </c>
      <c r="M2175" s="6">
        <v>2326048</v>
      </c>
    </row>
    <row r="2176" spans="1:13" x14ac:dyDescent="0.3">
      <c r="A2176" s="7">
        <v>42983</v>
      </c>
      <c r="B2176" s="7"/>
      <c r="C2176" s="6">
        <v>168171</v>
      </c>
      <c r="D2176" s="6">
        <v>219048</v>
      </c>
      <c r="E2176" s="6">
        <v>203353</v>
      </c>
      <c r="F2176" s="14">
        <v>464988</v>
      </c>
      <c r="G2176" s="6">
        <v>213200</v>
      </c>
      <c r="H2176" s="6">
        <v>46094</v>
      </c>
      <c r="I2176" s="6">
        <v>42019</v>
      </c>
      <c r="J2176" s="6">
        <v>330702</v>
      </c>
      <c r="K2176" s="6">
        <v>566817</v>
      </c>
      <c r="L2176" s="6">
        <v>183276</v>
      </c>
      <c r="M2176" s="6">
        <v>2326586</v>
      </c>
    </row>
    <row r="2177" spans="1:13" x14ac:dyDescent="0.3">
      <c r="A2177" s="7">
        <v>42979</v>
      </c>
      <c r="B2177" s="7"/>
      <c r="C2177" s="6">
        <v>163484</v>
      </c>
      <c r="D2177" s="6">
        <v>220036</v>
      </c>
      <c r="E2177" s="6">
        <v>201885</v>
      </c>
      <c r="F2177" s="14">
        <v>467727</v>
      </c>
      <c r="G2177" s="6">
        <v>203745</v>
      </c>
      <c r="H2177" s="6">
        <v>47005</v>
      </c>
      <c r="I2177" s="6">
        <v>43228</v>
      </c>
      <c r="J2177" s="6">
        <v>329147</v>
      </c>
      <c r="K2177" s="6">
        <v>555543</v>
      </c>
      <c r="L2177" s="6">
        <v>179695</v>
      </c>
      <c r="M2177" s="6">
        <v>2325559</v>
      </c>
    </row>
    <row r="2178" spans="1:13" x14ac:dyDescent="0.3">
      <c r="A2178" s="7">
        <v>42978</v>
      </c>
      <c r="B2178" s="7"/>
      <c r="C2178" s="6">
        <v>157359</v>
      </c>
      <c r="D2178" s="6">
        <v>225103</v>
      </c>
      <c r="E2178" s="6">
        <v>196331</v>
      </c>
      <c r="F2178" s="14">
        <v>464843</v>
      </c>
      <c r="G2178" s="6">
        <v>206474</v>
      </c>
      <c r="H2178" s="6">
        <v>45379</v>
      </c>
      <c r="I2178" s="6">
        <v>42005</v>
      </c>
      <c r="J2178" s="6">
        <v>328342</v>
      </c>
      <c r="K2178" s="6">
        <v>550171</v>
      </c>
      <c r="L2178" s="6">
        <v>178897</v>
      </c>
      <c r="M2178" s="6">
        <v>2302866</v>
      </c>
    </row>
    <row r="2179" spans="1:13" x14ac:dyDescent="0.3">
      <c r="A2179" s="7">
        <v>42977</v>
      </c>
      <c r="B2179" s="7"/>
      <c r="C2179" s="6">
        <v>158933</v>
      </c>
      <c r="D2179" s="6">
        <v>224945</v>
      </c>
      <c r="E2179" s="6">
        <v>192073</v>
      </c>
      <c r="F2179" s="14">
        <v>469761</v>
      </c>
      <c r="G2179" s="6">
        <v>205652</v>
      </c>
      <c r="H2179" s="6">
        <v>45066</v>
      </c>
      <c r="I2179" s="6">
        <v>41111</v>
      </c>
      <c r="J2179" s="6">
        <v>326577</v>
      </c>
      <c r="K2179" s="6">
        <v>534892</v>
      </c>
      <c r="L2179" s="6">
        <v>178343</v>
      </c>
      <c r="M2179" s="6">
        <v>2265965</v>
      </c>
    </row>
    <row r="2180" spans="1:13" x14ac:dyDescent="0.3">
      <c r="A2180" s="7">
        <v>42976</v>
      </c>
      <c r="B2180" s="7"/>
      <c r="C2180" s="6">
        <v>159477</v>
      </c>
      <c r="D2180" s="6">
        <v>224031</v>
      </c>
      <c r="E2180" s="6">
        <v>191798</v>
      </c>
      <c r="F2180" s="14">
        <v>469307</v>
      </c>
      <c r="G2180" s="6">
        <v>209890</v>
      </c>
      <c r="H2180" s="6">
        <v>43732</v>
      </c>
      <c r="I2180" s="6">
        <v>42067</v>
      </c>
      <c r="J2180" s="6">
        <v>329513</v>
      </c>
      <c r="K2180" s="6">
        <v>538875</v>
      </c>
      <c r="L2180" s="6">
        <v>182823</v>
      </c>
      <c r="M2180" s="6">
        <v>2247058</v>
      </c>
    </row>
    <row r="2181" spans="1:13" x14ac:dyDescent="0.3">
      <c r="A2181" s="7">
        <v>42975</v>
      </c>
      <c r="B2181" s="7"/>
      <c r="C2181" s="6">
        <v>160520</v>
      </c>
      <c r="D2181" s="6">
        <v>224935</v>
      </c>
      <c r="E2181" s="6">
        <v>191109</v>
      </c>
      <c r="F2181" s="14">
        <v>468232</v>
      </c>
      <c r="G2181" s="6">
        <v>215853</v>
      </c>
      <c r="H2181" s="6">
        <v>43641</v>
      </c>
      <c r="I2181" s="6">
        <v>41986</v>
      </c>
      <c r="J2181" s="6">
        <v>332090</v>
      </c>
      <c r="K2181" s="6">
        <v>537503</v>
      </c>
      <c r="L2181" s="6">
        <v>190058</v>
      </c>
      <c r="M2181" s="6">
        <v>2261232</v>
      </c>
    </row>
    <row r="2182" spans="1:13" x14ac:dyDescent="0.3">
      <c r="A2182" s="7">
        <v>42972</v>
      </c>
      <c r="B2182" s="7"/>
      <c r="C2182" s="6">
        <v>156593</v>
      </c>
      <c r="D2182" s="6">
        <v>225753</v>
      </c>
      <c r="E2182" s="6">
        <v>191721</v>
      </c>
      <c r="F2182" s="14">
        <v>472096</v>
      </c>
      <c r="G2182" s="6">
        <v>214906</v>
      </c>
      <c r="H2182" s="6">
        <v>44078</v>
      </c>
      <c r="I2182" s="6">
        <v>41375</v>
      </c>
      <c r="J2182" s="6">
        <v>331216</v>
      </c>
      <c r="K2182" s="6">
        <v>514546</v>
      </c>
      <c r="L2182" s="6">
        <v>188145</v>
      </c>
      <c r="M2182" s="6">
        <v>2228377</v>
      </c>
    </row>
    <row r="2183" spans="1:13" x14ac:dyDescent="0.3">
      <c r="A2183" s="7">
        <v>42971</v>
      </c>
      <c r="B2183" s="7"/>
      <c r="C2183" s="6">
        <v>153458</v>
      </c>
      <c r="D2183" s="6">
        <v>224033</v>
      </c>
      <c r="E2183" s="6">
        <v>189381</v>
      </c>
      <c r="F2183" s="14">
        <v>462937</v>
      </c>
      <c r="G2183" s="6">
        <v>214911</v>
      </c>
      <c r="H2183" s="6">
        <v>44513</v>
      </c>
      <c r="I2183" s="6">
        <v>40979</v>
      </c>
      <c r="J2183" s="6">
        <v>330691</v>
      </c>
      <c r="K2183" s="6">
        <v>509211</v>
      </c>
      <c r="L2183" s="6">
        <v>188413</v>
      </c>
      <c r="M2183" s="6">
        <v>2236858</v>
      </c>
    </row>
    <row r="2184" spans="1:13" x14ac:dyDescent="0.3">
      <c r="A2184" s="7">
        <v>42970</v>
      </c>
      <c r="B2184" s="7"/>
      <c r="C2184" s="6">
        <v>151417</v>
      </c>
      <c r="D2184" s="6">
        <v>218485</v>
      </c>
      <c r="E2184" s="6">
        <v>188146</v>
      </c>
      <c r="F2184" s="14">
        <v>464290</v>
      </c>
      <c r="G2184" s="6">
        <v>217349</v>
      </c>
      <c r="H2184" s="6">
        <v>44896</v>
      </c>
      <c r="I2184" s="6">
        <v>39658</v>
      </c>
      <c r="J2184" s="6">
        <v>329389</v>
      </c>
      <c r="K2184" s="6">
        <v>506227</v>
      </c>
      <c r="L2184" s="6">
        <v>192116</v>
      </c>
      <c r="M2184" s="6">
        <v>2234666</v>
      </c>
    </row>
    <row r="2185" spans="1:13" x14ac:dyDescent="0.3">
      <c r="A2185" s="7">
        <v>42969</v>
      </c>
      <c r="B2185" s="7"/>
      <c r="C2185" s="6">
        <v>149592</v>
      </c>
      <c r="D2185" s="6">
        <v>216494</v>
      </c>
      <c r="E2185" s="6">
        <v>186960</v>
      </c>
      <c r="F2185" s="14">
        <v>464445</v>
      </c>
      <c r="G2185" s="6">
        <v>215457</v>
      </c>
      <c r="H2185" s="6">
        <v>44090</v>
      </c>
      <c r="I2185" s="6">
        <v>40420</v>
      </c>
      <c r="J2185" s="6">
        <v>329725</v>
      </c>
      <c r="K2185" s="6">
        <v>500443</v>
      </c>
      <c r="L2185" s="6">
        <v>187227</v>
      </c>
      <c r="M2185" s="6">
        <v>2236977</v>
      </c>
    </row>
    <row r="2186" spans="1:13" x14ac:dyDescent="0.3">
      <c r="A2186" s="7">
        <v>42968</v>
      </c>
      <c r="B2186" s="7"/>
      <c r="C2186" s="6">
        <v>147428</v>
      </c>
      <c r="D2186" s="6">
        <v>213447</v>
      </c>
      <c r="E2186" s="6">
        <v>186882</v>
      </c>
      <c r="F2186" s="14">
        <v>468666</v>
      </c>
      <c r="G2186" s="6">
        <v>217462</v>
      </c>
      <c r="H2186" s="6">
        <v>44316</v>
      </c>
      <c r="I2186" s="6">
        <v>38338</v>
      </c>
      <c r="J2186" s="6">
        <v>325422</v>
      </c>
      <c r="K2186" s="6">
        <v>505829</v>
      </c>
      <c r="L2186" s="6">
        <v>188627</v>
      </c>
      <c r="M2186" s="6">
        <v>2240142</v>
      </c>
    </row>
    <row r="2187" spans="1:13" x14ac:dyDescent="0.3">
      <c r="A2187" s="7">
        <v>42965</v>
      </c>
      <c r="B2187" s="7"/>
      <c r="C2187" s="6">
        <v>145669</v>
      </c>
      <c r="D2187" s="6">
        <v>213827</v>
      </c>
      <c r="E2187" s="6">
        <v>187732</v>
      </c>
      <c r="F2187" s="14">
        <v>460054</v>
      </c>
      <c r="G2187" s="6">
        <v>214967</v>
      </c>
      <c r="H2187" s="6">
        <v>44166</v>
      </c>
      <c r="I2187" s="6">
        <v>38913</v>
      </c>
      <c r="J2187" s="6">
        <v>326741</v>
      </c>
      <c r="K2187" s="6">
        <v>506655</v>
      </c>
      <c r="L2187" s="6">
        <v>188831</v>
      </c>
      <c r="M2187" s="6">
        <v>2255773</v>
      </c>
    </row>
    <row r="2188" spans="1:13" x14ac:dyDescent="0.3">
      <c r="A2188" s="7">
        <v>42964</v>
      </c>
      <c r="B2188" s="7"/>
      <c r="C2188" s="6">
        <v>146801</v>
      </c>
      <c r="D2188" s="6">
        <v>213711</v>
      </c>
      <c r="E2188" s="6">
        <v>186139</v>
      </c>
      <c r="F2188" s="14">
        <v>462565</v>
      </c>
      <c r="G2188" s="6">
        <v>213968</v>
      </c>
      <c r="H2188" s="6">
        <v>44897</v>
      </c>
      <c r="I2188" s="6">
        <v>37702</v>
      </c>
      <c r="J2188" s="6">
        <v>332167</v>
      </c>
      <c r="K2188" s="6">
        <v>493127</v>
      </c>
      <c r="L2188" s="6">
        <v>189812</v>
      </c>
      <c r="M2188" s="6">
        <v>2262844</v>
      </c>
    </row>
    <row r="2189" spans="1:13" x14ac:dyDescent="0.3">
      <c r="A2189" s="7">
        <v>42963</v>
      </c>
      <c r="B2189" s="7"/>
      <c r="C2189" s="6">
        <v>149863</v>
      </c>
      <c r="D2189" s="6">
        <v>212192</v>
      </c>
      <c r="E2189" s="6">
        <v>189847</v>
      </c>
      <c r="F2189" s="14">
        <v>463935</v>
      </c>
      <c r="G2189" s="6">
        <v>215565</v>
      </c>
      <c r="H2189" s="6">
        <v>45587</v>
      </c>
      <c r="I2189" s="6">
        <v>39010</v>
      </c>
      <c r="J2189" s="6">
        <v>337907</v>
      </c>
      <c r="K2189" s="6">
        <v>482405</v>
      </c>
      <c r="L2189" s="6">
        <v>188247</v>
      </c>
      <c r="M2189" s="6">
        <v>2305681</v>
      </c>
    </row>
    <row r="2190" spans="1:13" x14ac:dyDescent="0.3">
      <c r="A2190" s="7">
        <v>42962</v>
      </c>
      <c r="B2190" s="7"/>
      <c r="C2190" s="6">
        <v>150543</v>
      </c>
      <c r="D2190" s="6">
        <v>213496</v>
      </c>
      <c r="E2190" s="6">
        <v>192026</v>
      </c>
      <c r="F2190" s="14">
        <v>463729</v>
      </c>
      <c r="G2190" s="6">
        <v>215248</v>
      </c>
      <c r="H2190" s="6">
        <v>48413</v>
      </c>
      <c r="I2190" s="6">
        <v>39380</v>
      </c>
      <c r="J2190" s="6">
        <v>333951</v>
      </c>
      <c r="K2190" s="6">
        <v>477921</v>
      </c>
      <c r="L2190" s="6">
        <v>187955</v>
      </c>
      <c r="M2190" s="6">
        <v>2311603</v>
      </c>
    </row>
    <row r="2191" spans="1:13" x14ac:dyDescent="0.3">
      <c r="A2191" s="7">
        <v>42961</v>
      </c>
      <c r="B2191" s="7"/>
      <c r="C2191" s="6">
        <v>152868</v>
      </c>
      <c r="D2191" s="6">
        <v>208271</v>
      </c>
      <c r="E2191" s="6">
        <v>191335</v>
      </c>
      <c r="F2191" s="14">
        <v>459441</v>
      </c>
      <c r="G2191" s="6">
        <v>220339</v>
      </c>
      <c r="H2191" s="6">
        <v>47289</v>
      </c>
      <c r="I2191" s="6">
        <v>38951</v>
      </c>
      <c r="J2191" s="6">
        <v>333976</v>
      </c>
      <c r="K2191" s="6">
        <v>480143</v>
      </c>
      <c r="L2191" s="6">
        <v>188905</v>
      </c>
      <c r="M2191" s="6">
        <v>2322539</v>
      </c>
    </row>
    <row r="2192" spans="1:13" x14ac:dyDescent="0.3">
      <c r="A2192" s="7">
        <v>42958</v>
      </c>
      <c r="B2192" s="7"/>
      <c r="C2192" s="6">
        <v>152775</v>
      </c>
      <c r="D2192" s="6">
        <v>207203</v>
      </c>
      <c r="E2192" s="6">
        <v>192813</v>
      </c>
      <c r="F2192" s="14">
        <v>464267</v>
      </c>
      <c r="G2192" s="6">
        <v>221790</v>
      </c>
      <c r="H2192" s="6">
        <v>48469</v>
      </c>
      <c r="I2192" s="6">
        <v>37911</v>
      </c>
      <c r="J2192" s="6">
        <v>332583</v>
      </c>
      <c r="K2192" s="6">
        <v>480915</v>
      </c>
      <c r="L2192" s="6">
        <v>189478</v>
      </c>
      <c r="M2192" s="6">
        <v>2320496</v>
      </c>
    </row>
    <row r="2193" spans="1:13" x14ac:dyDescent="0.3">
      <c r="A2193" s="7">
        <v>42957</v>
      </c>
      <c r="B2193" s="7"/>
      <c r="C2193" s="6">
        <v>152331</v>
      </c>
      <c r="D2193" s="6">
        <v>208165</v>
      </c>
      <c r="E2193" s="6">
        <v>196359</v>
      </c>
      <c r="F2193" s="14">
        <v>457944</v>
      </c>
      <c r="G2193" s="6">
        <v>224878</v>
      </c>
      <c r="H2193" s="6">
        <v>51013</v>
      </c>
      <c r="I2193" s="6">
        <v>38350</v>
      </c>
      <c r="J2193" s="6">
        <v>326870</v>
      </c>
      <c r="K2193" s="6">
        <v>475913</v>
      </c>
      <c r="L2193" s="6">
        <v>194445</v>
      </c>
      <c r="M2193" s="6">
        <v>2283192</v>
      </c>
    </row>
    <row r="2194" spans="1:13" x14ac:dyDescent="0.3">
      <c r="A2194" s="7">
        <v>42956</v>
      </c>
      <c r="B2194" s="7"/>
      <c r="C2194" s="6">
        <v>151363</v>
      </c>
      <c r="D2194" s="6">
        <v>208134</v>
      </c>
      <c r="E2194" s="6">
        <v>196761</v>
      </c>
      <c r="F2194" s="14">
        <v>460732</v>
      </c>
      <c r="G2194" s="6">
        <v>227314</v>
      </c>
      <c r="H2194" s="6">
        <v>50666</v>
      </c>
      <c r="I2194" s="6">
        <v>38829</v>
      </c>
      <c r="J2194" s="6">
        <v>325256</v>
      </c>
      <c r="K2194" s="6">
        <v>464397</v>
      </c>
      <c r="L2194" s="6">
        <v>195132</v>
      </c>
      <c r="M2194" s="6">
        <v>2255589</v>
      </c>
    </row>
    <row r="2195" spans="1:13" x14ac:dyDescent="0.3">
      <c r="A2195" s="7">
        <v>42955</v>
      </c>
      <c r="B2195" s="7"/>
      <c r="C2195" s="6">
        <v>149911</v>
      </c>
      <c r="D2195" s="6">
        <v>208091</v>
      </c>
      <c r="E2195" s="6">
        <v>205963</v>
      </c>
      <c r="F2195" s="14">
        <v>461152</v>
      </c>
      <c r="G2195" s="6">
        <v>232827</v>
      </c>
      <c r="H2195" s="6">
        <v>53151</v>
      </c>
      <c r="I2195" s="6">
        <v>43122</v>
      </c>
      <c r="J2195" s="6">
        <v>328814</v>
      </c>
      <c r="K2195" s="6">
        <v>448727</v>
      </c>
      <c r="L2195" s="6">
        <v>195163</v>
      </c>
      <c r="M2195" s="6">
        <v>2215548</v>
      </c>
    </row>
    <row r="2196" spans="1:13" x14ac:dyDescent="0.3">
      <c r="A2196" s="7">
        <v>42954</v>
      </c>
      <c r="B2196" s="7"/>
      <c r="C2196" s="6">
        <v>146538</v>
      </c>
      <c r="D2196" s="6">
        <v>205900</v>
      </c>
      <c r="E2196" s="6">
        <v>198075</v>
      </c>
      <c r="F2196" s="14">
        <v>461892</v>
      </c>
      <c r="G2196" s="6">
        <v>234053</v>
      </c>
      <c r="H2196" s="6">
        <v>52257</v>
      </c>
      <c r="I2196" s="6">
        <v>42283</v>
      </c>
      <c r="J2196" s="6">
        <v>328586</v>
      </c>
      <c r="K2196" s="6">
        <v>448983</v>
      </c>
      <c r="L2196" s="6">
        <v>197732</v>
      </c>
      <c r="M2196" s="6">
        <v>2233540</v>
      </c>
    </row>
    <row r="2197" spans="1:13" x14ac:dyDescent="0.3">
      <c r="A2197" s="7">
        <v>42951</v>
      </c>
      <c r="B2197" s="7"/>
      <c r="C2197" s="6">
        <v>142321</v>
      </c>
      <c r="D2197" s="6">
        <v>208002</v>
      </c>
      <c r="E2197" s="6">
        <v>195820</v>
      </c>
      <c r="F2197" s="14">
        <v>466163</v>
      </c>
      <c r="G2197" s="6">
        <v>234526</v>
      </c>
      <c r="H2197" s="6">
        <v>52186</v>
      </c>
      <c r="I2197" s="6">
        <v>43131</v>
      </c>
      <c r="J2197" s="6">
        <v>325404</v>
      </c>
      <c r="K2197" s="6">
        <v>448278</v>
      </c>
      <c r="L2197" s="6">
        <v>204687</v>
      </c>
      <c r="M2197" s="6">
        <v>2271418</v>
      </c>
    </row>
    <row r="2198" spans="1:13" x14ac:dyDescent="0.3">
      <c r="A2198" s="7">
        <v>42950</v>
      </c>
      <c r="B2198" s="7"/>
      <c r="C2198" s="6">
        <v>144950</v>
      </c>
      <c r="D2198" s="6">
        <v>216443</v>
      </c>
      <c r="E2198" s="6">
        <v>200427</v>
      </c>
      <c r="F2198" s="14">
        <v>468295</v>
      </c>
      <c r="G2198" s="6">
        <v>242559</v>
      </c>
      <c r="H2198" s="6">
        <v>53247</v>
      </c>
      <c r="I2198" s="6">
        <v>41865</v>
      </c>
      <c r="J2198" s="6">
        <v>322688</v>
      </c>
      <c r="K2198" s="6">
        <v>457779</v>
      </c>
      <c r="L2198" s="6">
        <v>204833</v>
      </c>
      <c r="M2198" s="6">
        <v>2246796</v>
      </c>
    </row>
    <row r="2199" spans="1:13" x14ac:dyDescent="0.3">
      <c r="A2199" s="7">
        <v>42949</v>
      </c>
      <c r="B2199" s="7"/>
      <c r="C2199" s="6">
        <v>139478</v>
      </c>
      <c r="D2199" s="6">
        <v>217100</v>
      </c>
      <c r="E2199" s="6">
        <v>196109</v>
      </c>
      <c r="F2199" s="14">
        <v>464897</v>
      </c>
      <c r="G2199" s="6">
        <v>242225</v>
      </c>
      <c r="H2199" s="6">
        <v>55054</v>
      </c>
      <c r="I2199" s="6">
        <v>41236</v>
      </c>
      <c r="J2199" s="6">
        <v>322436</v>
      </c>
      <c r="K2199" s="6">
        <v>455605</v>
      </c>
      <c r="L2199" s="6">
        <v>206233</v>
      </c>
      <c r="M2199" s="6">
        <v>2234574</v>
      </c>
    </row>
    <row r="2200" spans="1:13" x14ac:dyDescent="0.3">
      <c r="A2200" s="7">
        <v>42948</v>
      </c>
      <c r="B2200" s="7"/>
      <c r="C2200" s="6">
        <v>139228</v>
      </c>
      <c r="D2200" s="6">
        <v>217430</v>
      </c>
      <c r="E2200" s="6">
        <v>190622</v>
      </c>
      <c r="F2200" s="14">
        <v>457254</v>
      </c>
      <c r="G2200" s="6">
        <v>242876</v>
      </c>
      <c r="H2200" s="6">
        <v>54968</v>
      </c>
      <c r="I2200" s="6">
        <v>39812</v>
      </c>
      <c r="J2200" s="6">
        <v>321510</v>
      </c>
      <c r="K2200" s="6">
        <v>448709</v>
      </c>
      <c r="L2200" s="6">
        <v>207258</v>
      </c>
      <c r="M2200" s="6">
        <v>2219691</v>
      </c>
    </row>
    <row r="2201" spans="1:13" x14ac:dyDescent="0.3">
      <c r="A2201" s="7">
        <v>42947</v>
      </c>
      <c r="B2201" s="7"/>
      <c r="C2201" s="6">
        <v>138815</v>
      </c>
      <c r="D2201" s="6">
        <v>212869</v>
      </c>
      <c r="E2201" s="6">
        <v>189819</v>
      </c>
      <c r="F2201" s="14">
        <v>454577</v>
      </c>
      <c r="G2201" s="6">
        <v>241145</v>
      </c>
      <c r="H2201" s="6">
        <v>54152</v>
      </c>
      <c r="I2201" s="6">
        <v>39787</v>
      </c>
      <c r="J2201" s="6">
        <v>313985</v>
      </c>
      <c r="K2201" s="6">
        <v>436962</v>
      </c>
      <c r="L2201" s="6">
        <v>207643</v>
      </c>
      <c r="M2201" s="6">
        <v>2227689</v>
      </c>
    </row>
    <row r="2202" spans="1:13" x14ac:dyDescent="0.3">
      <c r="A2202" s="7">
        <v>42944</v>
      </c>
      <c r="B2202" s="7"/>
      <c r="C2202" s="6">
        <v>136925</v>
      </c>
      <c r="D2202" s="6">
        <v>208493</v>
      </c>
      <c r="E2202" s="6">
        <v>190981</v>
      </c>
      <c r="F2202" s="14">
        <v>450391</v>
      </c>
      <c r="G2202" s="6">
        <v>239912</v>
      </c>
      <c r="H2202" s="6">
        <v>54260</v>
      </c>
      <c r="I2202" s="6">
        <v>40942</v>
      </c>
      <c r="J2202" s="6">
        <v>311811</v>
      </c>
      <c r="K2202" s="6">
        <v>439648</v>
      </c>
      <c r="L2202" s="6">
        <v>206781</v>
      </c>
      <c r="M2202" s="6">
        <v>2210560</v>
      </c>
    </row>
    <row r="2203" spans="1:13" x14ac:dyDescent="0.3">
      <c r="A2203" s="7">
        <v>42943</v>
      </c>
      <c r="B2203" s="7"/>
      <c r="C2203" s="6">
        <v>134269</v>
      </c>
      <c r="D2203" s="6">
        <v>205955</v>
      </c>
      <c r="E2203" s="6">
        <v>188755</v>
      </c>
      <c r="F2203" s="14">
        <v>446904</v>
      </c>
      <c r="G2203" s="6">
        <v>235681</v>
      </c>
      <c r="H2203" s="6">
        <v>54280</v>
      </c>
      <c r="I2203" s="6">
        <v>42397</v>
      </c>
      <c r="J2203" s="6">
        <v>305133</v>
      </c>
      <c r="K2203" s="6">
        <v>432361</v>
      </c>
      <c r="L2203" s="6">
        <v>206554</v>
      </c>
      <c r="M2203" s="6">
        <v>2181931</v>
      </c>
    </row>
    <row r="2204" spans="1:13" x14ac:dyDescent="0.3">
      <c r="A2204" s="7">
        <v>42942</v>
      </c>
      <c r="B2204" s="7"/>
      <c r="C2204" s="6">
        <v>136602</v>
      </c>
      <c r="D2204" s="6">
        <v>203324</v>
      </c>
      <c r="E2204" s="6">
        <v>185851</v>
      </c>
      <c r="F2204" s="14">
        <v>446471</v>
      </c>
      <c r="G2204" s="6">
        <v>234483</v>
      </c>
      <c r="H2204" s="6">
        <v>55022</v>
      </c>
      <c r="I2204" s="6">
        <v>42999</v>
      </c>
      <c r="J2204" s="6">
        <v>300983</v>
      </c>
      <c r="K2204" s="6">
        <v>450321</v>
      </c>
      <c r="L2204" s="6">
        <v>207699</v>
      </c>
      <c r="M2204" s="6">
        <v>2183786</v>
      </c>
    </row>
    <row r="2205" spans="1:13" x14ac:dyDescent="0.3">
      <c r="A2205" s="7">
        <v>42941</v>
      </c>
      <c r="B2205" s="7"/>
      <c r="C2205" s="6">
        <v>132765</v>
      </c>
      <c r="D2205" s="6">
        <v>200700</v>
      </c>
      <c r="E2205" s="6">
        <v>177330</v>
      </c>
      <c r="F2205" s="14">
        <v>449086</v>
      </c>
      <c r="G2205" s="6">
        <v>235140</v>
      </c>
      <c r="H2205" s="6">
        <v>54603</v>
      </c>
      <c r="I2205" s="6">
        <v>45005</v>
      </c>
      <c r="J2205" s="6">
        <v>298264</v>
      </c>
      <c r="K2205" s="6">
        <v>463827</v>
      </c>
      <c r="L2205" s="6">
        <v>206347</v>
      </c>
      <c r="M2205" s="6">
        <v>2149971</v>
      </c>
    </row>
    <row r="2206" spans="1:13" x14ac:dyDescent="0.3">
      <c r="A2206" s="7">
        <v>42940</v>
      </c>
      <c r="B2206" s="7"/>
      <c r="C2206" s="6">
        <v>129769</v>
      </c>
      <c r="D2206" s="6">
        <v>200262</v>
      </c>
      <c r="E2206" s="6">
        <v>174147</v>
      </c>
      <c r="F2206" s="14">
        <v>449629</v>
      </c>
      <c r="G2206" s="6">
        <v>237430</v>
      </c>
      <c r="H2206" s="6">
        <v>54485</v>
      </c>
      <c r="I2206" s="6">
        <v>44586</v>
      </c>
      <c r="J2206" s="6">
        <v>289346</v>
      </c>
      <c r="K2206" s="6">
        <v>458968</v>
      </c>
      <c r="L2206" s="6">
        <v>206068</v>
      </c>
      <c r="M2206" s="6">
        <v>2147962</v>
      </c>
    </row>
    <row r="2207" spans="1:13" x14ac:dyDescent="0.3">
      <c r="A2207" s="7">
        <v>42937</v>
      </c>
      <c r="B2207" s="7"/>
      <c r="C2207" s="6">
        <v>128352</v>
      </c>
      <c r="D2207" s="6">
        <v>197925</v>
      </c>
      <c r="E2207" s="6">
        <v>173295</v>
      </c>
      <c r="F2207" s="14">
        <v>447839</v>
      </c>
      <c r="G2207" s="6">
        <v>243808</v>
      </c>
      <c r="H2207" s="6">
        <v>54883</v>
      </c>
      <c r="I2207" s="6">
        <v>44285</v>
      </c>
      <c r="J2207" s="6">
        <v>284906</v>
      </c>
      <c r="K2207" s="6">
        <v>463798</v>
      </c>
      <c r="L2207" s="6">
        <v>206498</v>
      </c>
      <c r="M2207" s="6">
        <v>2129998</v>
      </c>
    </row>
    <row r="2208" spans="1:13" x14ac:dyDescent="0.3">
      <c r="A2208" s="7">
        <v>42936</v>
      </c>
      <c r="B2208" s="7"/>
      <c r="C2208" s="6">
        <v>125061</v>
      </c>
      <c r="D2208" s="6">
        <v>198875</v>
      </c>
      <c r="E2208" s="6">
        <v>174030</v>
      </c>
      <c r="F2208" s="14">
        <v>452997</v>
      </c>
      <c r="G2208" s="6">
        <v>250073</v>
      </c>
      <c r="H2208" s="6">
        <v>55687</v>
      </c>
      <c r="I2208" s="6">
        <v>43051</v>
      </c>
      <c r="J2208" s="6">
        <v>281748</v>
      </c>
      <c r="K2208" s="6">
        <v>481177</v>
      </c>
      <c r="L2208" s="6">
        <v>206371</v>
      </c>
      <c r="M2208" s="6">
        <v>2124922</v>
      </c>
    </row>
    <row r="2209" spans="1:13" x14ac:dyDescent="0.3">
      <c r="A2209" s="7">
        <v>42935</v>
      </c>
      <c r="B2209" s="7"/>
      <c r="C2209" s="6">
        <v>120636</v>
      </c>
      <c r="D2209" s="6">
        <v>200131</v>
      </c>
      <c r="E2209" s="6">
        <v>171672</v>
      </c>
      <c r="F2209" s="14">
        <v>446276</v>
      </c>
      <c r="G2209" s="6">
        <v>249344</v>
      </c>
      <c r="H2209" s="6">
        <v>55946</v>
      </c>
      <c r="I2209" s="6">
        <v>42730</v>
      </c>
      <c r="J2209" s="6">
        <v>279252</v>
      </c>
      <c r="K2209" s="6">
        <v>481256</v>
      </c>
      <c r="L2209" s="6">
        <v>207844</v>
      </c>
      <c r="M2209" s="6">
        <v>2136292</v>
      </c>
    </row>
    <row r="2210" spans="1:13" x14ac:dyDescent="0.3">
      <c r="A2210" s="7">
        <v>42934</v>
      </c>
      <c r="B2210" s="7"/>
      <c r="C2210" s="6">
        <v>117865</v>
      </c>
      <c r="D2210" s="6">
        <v>200812</v>
      </c>
      <c r="E2210" s="6">
        <v>169522</v>
      </c>
      <c r="F2210" s="14">
        <v>447597</v>
      </c>
      <c r="G2210" s="6">
        <v>251141</v>
      </c>
      <c r="H2210" s="6">
        <v>57496</v>
      </c>
      <c r="I2210" s="6">
        <v>43183</v>
      </c>
      <c r="J2210" s="6">
        <v>276841</v>
      </c>
      <c r="K2210" s="6">
        <v>484204</v>
      </c>
      <c r="L2210" s="6">
        <v>209689</v>
      </c>
      <c r="M2210" s="6">
        <v>2140060</v>
      </c>
    </row>
    <row r="2211" spans="1:13" x14ac:dyDescent="0.3">
      <c r="A2211" s="7">
        <v>42933</v>
      </c>
      <c r="B2211" s="7"/>
      <c r="C2211" s="6">
        <v>119160</v>
      </c>
      <c r="D2211" s="6">
        <v>203215</v>
      </c>
      <c r="E2211" s="6">
        <v>168773</v>
      </c>
      <c r="F2211" s="14">
        <v>432323</v>
      </c>
      <c r="G2211" s="6">
        <v>254044</v>
      </c>
      <c r="H2211" s="6">
        <v>57607</v>
      </c>
      <c r="I2211" s="6">
        <v>38842</v>
      </c>
      <c r="J2211" s="6">
        <v>273532</v>
      </c>
      <c r="K2211" s="6">
        <v>485866</v>
      </c>
      <c r="L2211" s="6">
        <v>206753</v>
      </c>
      <c r="M2211" s="6">
        <v>2149623</v>
      </c>
    </row>
    <row r="2212" spans="1:13" x14ac:dyDescent="0.3">
      <c r="A2212" s="7">
        <v>42930</v>
      </c>
      <c r="B2212" s="7"/>
      <c r="C2212" s="6">
        <v>113998</v>
      </c>
      <c r="D2212" s="6">
        <v>204578</v>
      </c>
      <c r="E2212" s="6">
        <v>165240</v>
      </c>
      <c r="F2212" s="14">
        <v>436360</v>
      </c>
      <c r="G2212" s="6">
        <v>251225</v>
      </c>
      <c r="H2212" s="6">
        <v>58356</v>
      </c>
      <c r="I2212" s="6">
        <v>38430</v>
      </c>
      <c r="J2212" s="6">
        <v>271133</v>
      </c>
      <c r="K2212" s="6">
        <v>483827</v>
      </c>
      <c r="L2212" s="6">
        <v>206591</v>
      </c>
      <c r="M2212" s="6">
        <v>2181935</v>
      </c>
    </row>
    <row r="2213" spans="1:13" x14ac:dyDescent="0.3">
      <c r="A2213" s="7">
        <v>42929</v>
      </c>
      <c r="B2213" s="7"/>
      <c r="C2213" s="6">
        <v>108610</v>
      </c>
      <c r="D2213" s="6">
        <v>194078</v>
      </c>
      <c r="E2213" s="6">
        <v>164824</v>
      </c>
      <c r="F2213" s="14">
        <v>433566</v>
      </c>
      <c r="G2213" s="6">
        <v>254704</v>
      </c>
      <c r="H2213" s="6">
        <v>59154</v>
      </c>
      <c r="I2213" s="6">
        <v>38870</v>
      </c>
      <c r="J2213" s="6">
        <v>268704</v>
      </c>
      <c r="K2213" s="6">
        <v>487597</v>
      </c>
      <c r="L2213" s="6">
        <v>206358</v>
      </c>
      <c r="M2213" s="6">
        <v>2157653</v>
      </c>
    </row>
    <row r="2214" spans="1:13" x14ac:dyDescent="0.3">
      <c r="A2214" s="7">
        <v>42928</v>
      </c>
      <c r="B2214" s="7"/>
      <c r="C2214" s="6">
        <v>101171</v>
      </c>
      <c r="D2214" s="6">
        <v>192757</v>
      </c>
      <c r="E2214" s="6">
        <v>166475</v>
      </c>
      <c r="F2214" s="14">
        <v>434575</v>
      </c>
      <c r="G2214" s="6">
        <v>244174</v>
      </c>
      <c r="H2214" s="6">
        <v>58186</v>
      </c>
      <c r="I2214" s="6">
        <v>37853</v>
      </c>
      <c r="J2214" s="6">
        <v>264592</v>
      </c>
      <c r="K2214" s="6">
        <v>491438</v>
      </c>
      <c r="L2214" s="6">
        <v>208479</v>
      </c>
      <c r="M2214" s="6">
        <v>2146542</v>
      </c>
    </row>
    <row r="2215" spans="1:13" x14ac:dyDescent="0.3">
      <c r="A2215" s="7">
        <v>42927</v>
      </c>
      <c r="B2215" s="7"/>
      <c r="C2215" s="6">
        <v>98130</v>
      </c>
      <c r="D2215" s="6">
        <v>193648</v>
      </c>
      <c r="E2215" s="6">
        <v>161065</v>
      </c>
      <c r="F2215" s="14">
        <v>436899</v>
      </c>
      <c r="G2215" s="6">
        <v>239786</v>
      </c>
      <c r="H2215" s="6">
        <v>58499</v>
      </c>
      <c r="I2215" s="6">
        <v>37943</v>
      </c>
      <c r="J2215" s="6">
        <v>264039</v>
      </c>
      <c r="K2215" s="6">
        <v>475669</v>
      </c>
      <c r="L2215" s="6">
        <v>207592</v>
      </c>
      <c r="M2215" s="6">
        <v>2133575</v>
      </c>
    </row>
    <row r="2216" spans="1:13" x14ac:dyDescent="0.3">
      <c r="A2216" s="7">
        <v>42926</v>
      </c>
      <c r="B2216" s="7"/>
      <c r="C2216" s="6">
        <v>96680</v>
      </c>
      <c r="D2216" s="6">
        <v>192714</v>
      </c>
      <c r="E2216" s="6">
        <v>161354</v>
      </c>
      <c r="F2216" s="14">
        <v>427924</v>
      </c>
      <c r="G2216" s="6">
        <v>232273</v>
      </c>
      <c r="H2216" s="6">
        <v>58712</v>
      </c>
      <c r="I2216" s="6">
        <v>37724</v>
      </c>
      <c r="J2216" s="6">
        <v>263154</v>
      </c>
      <c r="K2216" s="6">
        <v>479667</v>
      </c>
      <c r="L2216" s="6">
        <v>207952</v>
      </c>
      <c r="M2216" s="6">
        <v>2151854</v>
      </c>
    </row>
    <row r="2217" spans="1:13" x14ac:dyDescent="0.3">
      <c r="A2217" s="7">
        <v>42923</v>
      </c>
      <c r="B2217" s="7"/>
      <c r="C2217" s="6">
        <v>97115</v>
      </c>
      <c r="D2217" s="6">
        <v>194814</v>
      </c>
      <c r="E2217" s="6">
        <v>159011</v>
      </c>
      <c r="F2217" s="14">
        <v>427000</v>
      </c>
      <c r="G2217" s="6">
        <v>229806</v>
      </c>
      <c r="H2217" s="6">
        <v>58028</v>
      </c>
      <c r="I2217" s="6">
        <v>37909</v>
      </c>
      <c r="J2217" s="6">
        <v>264822</v>
      </c>
      <c r="K2217" s="6">
        <v>475295</v>
      </c>
      <c r="L2217" s="6">
        <v>207946</v>
      </c>
      <c r="M2217" s="6">
        <v>2150980</v>
      </c>
    </row>
    <row r="2218" spans="1:13" x14ac:dyDescent="0.3">
      <c r="A2218" s="7">
        <v>42922</v>
      </c>
      <c r="B2218" s="7"/>
      <c r="C2218" s="6">
        <v>98595</v>
      </c>
      <c r="D2218" s="6">
        <v>196286</v>
      </c>
      <c r="E2218" s="6">
        <v>153494</v>
      </c>
      <c r="F2218" s="14">
        <v>428056</v>
      </c>
      <c r="G2218" s="6">
        <v>222722</v>
      </c>
      <c r="H2218" s="6">
        <v>57906</v>
      </c>
      <c r="I2218" s="6">
        <v>37936</v>
      </c>
      <c r="J2218" s="6">
        <v>268003</v>
      </c>
      <c r="K2218" s="6">
        <v>472831</v>
      </c>
      <c r="L2218" s="6">
        <v>207805</v>
      </c>
      <c r="M2218" s="6">
        <v>2150123</v>
      </c>
    </row>
    <row r="2219" spans="1:13" x14ac:dyDescent="0.3">
      <c r="A2219" s="7">
        <v>42921</v>
      </c>
      <c r="B2219" s="7"/>
      <c r="C2219" s="6">
        <v>99182</v>
      </c>
      <c r="D2219" s="6">
        <v>197849</v>
      </c>
      <c r="E2219" s="6">
        <v>151117</v>
      </c>
      <c r="F2219" s="14">
        <v>426321</v>
      </c>
      <c r="G2219" s="6">
        <v>218058</v>
      </c>
      <c r="H2219" s="6">
        <v>58025</v>
      </c>
      <c r="I2219" s="6">
        <v>38353</v>
      </c>
      <c r="J2219" s="6">
        <v>268396</v>
      </c>
      <c r="K2219" s="6">
        <v>462857</v>
      </c>
      <c r="L2219" s="6">
        <v>207461</v>
      </c>
      <c r="M2219" s="6">
        <v>2149867</v>
      </c>
    </row>
    <row r="2220" spans="1:13" x14ac:dyDescent="0.3">
      <c r="A2220" s="7">
        <v>42919</v>
      </c>
      <c r="B2220" s="7"/>
      <c r="C2220" s="6">
        <v>100746</v>
      </c>
      <c r="D2220" s="6">
        <v>201545</v>
      </c>
      <c r="E2220" s="6">
        <v>144763</v>
      </c>
      <c r="F2220" s="14">
        <v>422600</v>
      </c>
      <c r="G2220" s="6">
        <v>207569</v>
      </c>
      <c r="H2220" s="6">
        <v>57458</v>
      </c>
      <c r="I2220" s="6">
        <v>38495</v>
      </c>
      <c r="J2220" s="6">
        <v>267679</v>
      </c>
      <c r="K2220" s="6">
        <v>459028</v>
      </c>
      <c r="L2220" s="6">
        <v>205893</v>
      </c>
      <c r="M2220" s="6">
        <v>2179815</v>
      </c>
    </row>
    <row r="2221" spans="1:13" x14ac:dyDescent="0.3">
      <c r="A2221" s="7">
        <v>42916</v>
      </c>
      <c r="B2221" s="7"/>
      <c r="C2221" s="6">
        <v>98949</v>
      </c>
      <c r="D2221" s="6">
        <v>200801</v>
      </c>
      <c r="E2221" s="6">
        <v>141651</v>
      </c>
      <c r="F2221" s="14">
        <v>422168</v>
      </c>
      <c r="G2221" s="6">
        <v>195361</v>
      </c>
      <c r="H2221" s="6">
        <v>58181</v>
      </c>
      <c r="I2221" s="6">
        <v>38831</v>
      </c>
      <c r="J2221" s="6">
        <v>265170</v>
      </c>
      <c r="K2221" s="6">
        <v>460557</v>
      </c>
      <c r="L2221" s="6">
        <v>201056</v>
      </c>
      <c r="M2221" s="6">
        <v>2174190</v>
      </c>
    </row>
    <row r="2222" spans="1:13" x14ac:dyDescent="0.3">
      <c r="A2222" s="7">
        <v>42915</v>
      </c>
      <c r="B2222" s="7"/>
      <c r="C2222" s="6">
        <v>98035</v>
      </c>
      <c r="D2222" s="6">
        <v>200747</v>
      </c>
      <c r="E2222" s="6">
        <v>137824</v>
      </c>
      <c r="F2222" s="14">
        <v>415156</v>
      </c>
      <c r="G2222" s="6">
        <v>189577</v>
      </c>
      <c r="H2222" s="6">
        <v>58526</v>
      </c>
      <c r="I2222" s="6">
        <v>37844</v>
      </c>
      <c r="J2222" s="6">
        <v>258777</v>
      </c>
      <c r="K2222" s="6">
        <v>452684</v>
      </c>
      <c r="L2222" s="6">
        <v>200885</v>
      </c>
      <c r="M2222" s="6">
        <v>2160018</v>
      </c>
    </row>
    <row r="2223" spans="1:13" x14ac:dyDescent="0.3">
      <c r="A2223" s="7">
        <v>42914</v>
      </c>
      <c r="B2223" s="7"/>
      <c r="C2223" s="6">
        <v>96662</v>
      </c>
      <c r="D2223" s="6">
        <v>193083</v>
      </c>
      <c r="E2223" s="6">
        <v>139472</v>
      </c>
      <c r="F2223" s="14">
        <v>409383</v>
      </c>
      <c r="G2223" s="6">
        <v>183470</v>
      </c>
      <c r="H2223" s="6">
        <v>58187</v>
      </c>
      <c r="I2223" s="6">
        <v>37017</v>
      </c>
      <c r="J2223" s="6">
        <v>256762</v>
      </c>
      <c r="K2223" s="6">
        <v>452568</v>
      </c>
      <c r="L2223" s="6">
        <v>202780</v>
      </c>
      <c r="M2223" s="6">
        <v>2150910</v>
      </c>
    </row>
    <row r="2224" spans="1:13" x14ac:dyDescent="0.3">
      <c r="A2224" s="7">
        <v>42913</v>
      </c>
      <c r="B2224" s="7"/>
      <c r="C2224" s="6">
        <v>89953</v>
      </c>
      <c r="D2224" s="6">
        <v>187799</v>
      </c>
      <c r="E2224" s="6">
        <v>143798</v>
      </c>
      <c r="F2224" s="14">
        <v>400560</v>
      </c>
      <c r="G2224" s="6">
        <v>183705</v>
      </c>
      <c r="H2224" s="6">
        <v>57424</v>
      </c>
      <c r="I2224" s="6">
        <v>37364</v>
      </c>
      <c r="J2224" s="6">
        <v>253503</v>
      </c>
      <c r="K2224" s="6">
        <v>453144</v>
      </c>
      <c r="L2224" s="6">
        <v>204637</v>
      </c>
      <c r="M2224" s="6">
        <v>2143111</v>
      </c>
    </row>
    <row r="2225" spans="1:13" x14ac:dyDescent="0.3">
      <c r="A2225" s="7">
        <v>42912</v>
      </c>
      <c r="B2225" s="7"/>
      <c r="C2225" s="6">
        <v>86371</v>
      </c>
      <c r="D2225" s="6">
        <v>189660</v>
      </c>
      <c r="E2225" s="6">
        <v>143248</v>
      </c>
      <c r="F2225" s="14">
        <v>381290</v>
      </c>
      <c r="G2225" s="6">
        <v>178850</v>
      </c>
      <c r="H2225" s="6">
        <v>55743</v>
      </c>
      <c r="I2225" s="6">
        <v>35613</v>
      </c>
      <c r="J2225" s="6">
        <v>249115</v>
      </c>
      <c r="K2225" s="6">
        <v>449378</v>
      </c>
      <c r="L2225" s="6">
        <v>203137</v>
      </c>
      <c r="M2225" s="6">
        <v>2137430</v>
      </c>
    </row>
    <row r="2226" spans="1:13" x14ac:dyDescent="0.3">
      <c r="A2226" s="7">
        <v>42909</v>
      </c>
      <c r="B2226" s="7"/>
      <c r="C2226" s="6">
        <v>84828</v>
      </c>
      <c r="D2226" s="6">
        <v>191021</v>
      </c>
      <c r="E2226" s="6">
        <v>144147</v>
      </c>
      <c r="F2226" s="14">
        <v>382870</v>
      </c>
      <c r="G2226" s="6">
        <v>171586</v>
      </c>
      <c r="H2226" s="6">
        <v>54668</v>
      </c>
      <c r="I2226" s="6">
        <v>35135</v>
      </c>
      <c r="J2226" s="6">
        <v>250238</v>
      </c>
      <c r="K2226" s="6">
        <v>449164</v>
      </c>
      <c r="L2226" s="6">
        <v>204616</v>
      </c>
      <c r="M2226" s="6">
        <v>2131971</v>
      </c>
    </row>
    <row r="2227" spans="1:13" x14ac:dyDescent="0.3">
      <c r="A2227" s="7">
        <v>42908</v>
      </c>
      <c r="B2227" s="7"/>
      <c r="C2227" s="6">
        <v>83874</v>
      </c>
      <c r="D2227" s="6">
        <v>194228</v>
      </c>
      <c r="E2227" s="6">
        <v>146050</v>
      </c>
      <c r="F2227" s="14">
        <v>377044</v>
      </c>
      <c r="G2227" s="6">
        <v>172535</v>
      </c>
      <c r="H2227" s="6">
        <v>53608</v>
      </c>
      <c r="I2227" s="6">
        <v>35612</v>
      </c>
      <c r="J2227" s="6">
        <v>251825</v>
      </c>
      <c r="K2227" s="6">
        <v>451590</v>
      </c>
      <c r="L2227" s="6">
        <v>205870</v>
      </c>
      <c r="M2227" s="6">
        <v>2129538</v>
      </c>
    </row>
    <row r="2228" spans="1:13" x14ac:dyDescent="0.3">
      <c r="A2228" s="7">
        <v>42907</v>
      </c>
      <c r="B2228" s="7"/>
      <c r="C2228" s="6">
        <v>81626</v>
      </c>
      <c r="D2228" s="6">
        <v>194300</v>
      </c>
      <c r="E2228" s="6">
        <v>147465</v>
      </c>
      <c r="F2228" s="14">
        <v>379313</v>
      </c>
      <c r="G2228" s="6">
        <v>172466</v>
      </c>
      <c r="H2228" s="6">
        <v>52148</v>
      </c>
      <c r="I2228" s="6">
        <v>34885</v>
      </c>
      <c r="J2228" s="6">
        <v>262623</v>
      </c>
      <c r="K2228" s="6">
        <v>446703</v>
      </c>
      <c r="L2228" s="6">
        <v>201182</v>
      </c>
      <c r="M2228" s="6">
        <v>2121939</v>
      </c>
    </row>
    <row r="2229" spans="1:13" x14ac:dyDescent="0.3">
      <c r="A2229" s="7">
        <v>42906</v>
      </c>
      <c r="B2229" s="7"/>
      <c r="C2229" s="6">
        <v>135115</v>
      </c>
      <c r="D2229" s="6">
        <v>271496</v>
      </c>
      <c r="E2229" s="6">
        <v>219496</v>
      </c>
      <c r="F2229" s="14">
        <v>526647</v>
      </c>
      <c r="G2229" s="6">
        <v>224042</v>
      </c>
      <c r="H2229" s="6">
        <v>60541</v>
      </c>
      <c r="I2229" s="6">
        <v>55896</v>
      </c>
      <c r="J2229" s="6">
        <v>271774</v>
      </c>
      <c r="K2229" s="6">
        <v>445841</v>
      </c>
      <c r="L2229" s="6">
        <v>199929</v>
      </c>
      <c r="M2229" s="6">
        <v>2118015</v>
      </c>
    </row>
    <row r="2230" spans="1:13" x14ac:dyDescent="0.3">
      <c r="A2230" s="7">
        <v>42905</v>
      </c>
      <c r="B2230" s="7"/>
      <c r="C2230" s="6">
        <v>135194</v>
      </c>
      <c r="D2230" s="6">
        <v>258051</v>
      </c>
      <c r="E2230" s="6">
        <v>218921</v>
      </c>
      <c r="F2230" s="14">
        <v>521463</v>
      </c>
      <c r="G2230" s="6">
        <v>223357</v>
      </c>
      <c r="H2230" s="6">
        <v>59596</v>
      </c>
      <c r="I2230" s="6">
        <v>55080</v>
      </c>
      <c r="J2230" s="6">
        <v>269270</v>
      </c>
      <c r="K2230" s="6">
        <v>442615</v>
      </c>
      <c r="L2230" s="6">
        <v>198713</v>
      </c>
      <c r="M2230" s="6">
        <v>2108587</v>
      </c>
    </row>
    <row r="2231" spans="1:13" x14ac:dyDescent="0.3">
      <c r="A2231" s="7">
        <v>42902</v>
      </c>
      <c r="B2231" s="7"/>
      <c r="C2231" s="6">
        <v>136296</v>
      </c>
      <c r="D2231" s="6">
        <v>259684</v>
      </c>
      <c r="E2231" s="6">
        <v>227991</v>
      </c>
      <c r="F2231" s="14">
        <v>530491</v>
      </c>
      <c r="G2231" s="6">
        <v>222238</v>
      </c>
      <c r="H2231" s="6">
        <v>57787</v>
      </c>
      <c r="I2231" s="6">
        <v>53613</v>
      </c>
      <c r="J2231" s="6">
        <v>265158</v>
      </c>
      <c r="K2231" s="6">
        <v>453021</v>
      </c>
      <c r="L2231" s="6">
        <v>197854</v>
      </c>
      <c r="M2231" s="6">
        <v>2129719</v>
      </c>
    </row>
    <row r="2232" spans="1:13" x14ac:dyDescent="0.3">
      <c r="A2232" s="7">
        <v>42901</v>
      </c>
      <c r="B2232" s="7"/>
      <c r="C2232" s="6">
        <v>137283</v>
      </c>
      <c r="D2232" s="6">
        <v>256885</v>
      </c>
      <c r="E2232" s="6">
        <v>235221</v>
      </c>
      <c r="F2232" s="14">
        <v>518960</v>
      </c>
      <c r="G2232" s="6">
        <v>216884</v>
      </c>
      <c r="H2232" s="6">
        <v>55563</v>
      </c>
      <c r="I2232" s="6">
        <v>51656</v>
      </c>
      <c r="J2232" s="6">
        <v>260957</v>
      </c>
      <c r="K2232" s="6">
        <v>459608</v>
      </c>
      <c r="L2232" s="6">
        <v>198306</v>
      </c>
      <c r="M2232" s="6">
        <v>2142786</v>
      </c>
    </row>
    <row r="2233" spans="1:13" x14ac:dyDescent="0.3">
      <c r="A2233" s="7">
        <v>42900</v>
      </c>
      <c r="B2233" s="7"/>
      <c r="C2233" s="6">
        <v>134967</v>
      </c>
      <c r="D2233" s="6">
        <v>257859</v>
      </c>
      <c r="E2233" s="6">
        <v>207708</v>
      </c>
      <c r="F2233" s="14">
        <v>507791</v>
      </c>
      <c r="G2233" s="6">
        <v>224574</v>
      </c>
      <c r="H2233" s="6">
        <v>58558</v>
      </c>
      <c r="I2233" s="6">
        <v>54360</v>
      </c>
      <c r="J2233" s="6">
        <v>260588</v>
      </c>
      <c r="K2233" s="6">
        <v>474001</v>
      </c>
      <c r="L2233" s="6">
        <v>202393</v>
      </c>
      <c r="M2233" s="6">
        <v>2201796</v>
      </c>
    </row>
    <row r="2234" spans="1:13" x14ac:dyDescent="0.3">
      <c r="A2234" s="7">
        <v>42899</v>
      </c>
      <c r="B2234" s="7"/>
      <c r="C2234" s="6">
        <v>134959</v>
      </c>
      <c r="D2234" s="6">
        <v>269593</v>
      </c>
      <c r="E2234" s="6">
        <v>204115</v>
      </c>
      <c r="F2234" s="14">
        <v>474300</v>
      </c>
      <c r="G2234" s="6">
        <v>210617</v>
      </c>
      <c r="H2234" s="6">
        <v>53576</v>
      </c>
      <c r="I2234" s="6">
        <v>55138</v>
      </c>
      <c r="J2234" s="6">
        <v>260631</v>
      </c>
      <c r="K2234" s="6">
        <v>471134</v>
      </c>
      <c r="L2234" s="6">
        <v>201214</v>
      </c>
      <c r="M2234" s="6">
        <v>2176740</v>
      </c>
    </row>
    <row r="2235" spans="1:13" x14ac:dyDescent="0.3">
      <c r="A2235" s="7">
        <v>42898</v>
      </c>
      <c r="B2235" s="7"/>
      <c r="C2235" s="6">
        <v>131129</v>
      </c>
      <c r="D2235" s="6">
        <v>252392</v>
      </c>
      <c r="E2235" s="6">
        <v>209886</v>
      </c>
      <c r="F2235" s="14">
        <v>463924</v>
      </c>
      <c r="G2235" s="6">
        <v>212480</v>
      </c>
      <c r="H2235" s="6">
        <v>49972</v>
      </c>
      <c r="I2235" s="6">
        <v>55990</v>
      </c>
      <c r="J2235" s="6">
        <v>261808</v>
      </c>
      <c r="K2235" s="6">
        <v>473929</v>
      </c>
      <c r="L2235" s="6">
        <v>205000</v>
      </c>
      <c r="M2235" s="6">
        <v>2181991</v>
      </c>
    </row>
    <row r="2236" spans="1:13" x14ac:dyDescent="0.3">
      <c r="A2236" s="7">
        <v>42895</v>
      </c>
      <c r="B2236" s="7"/>
      <c r="C2236" s="6">
        <v>128527</v>
      </c>
      <c r="D2236" s="6">
        <v>252361</v>
      </c>
      <c r="E2236" s="6">
        <v>209732</v>
      </c>
      <c r="F2236" s="14">
        <v>458955</v>
      </c>
      <c r="G2236" s="6">
        <v>212720</v>
      </c>
      <c r="H2236" s="6">
        <v>47929</v>
      </c>
      <c r="I2236" s="6">
        <v>52119</v>
      </c>
      <c r="J2236" s="6">
        <v>263573</v>
      </c>
      <c r="K2236" s="6">
        <v>477082</v>
      </c>
      <c r="L2236" s="6">
        <v>205028</v>
      </c>
      <c r="M2236" s="6">
        <v>2195386</v>
      </c>
    </row>
    <row r="2237" spans="1:13" x14ac:dyDescent="0.3">
      <c r="A2237" s="7">
        <v>42894</v>
      </c>
      <c r="B2237" s="7"/>
      <c r="C2237" s="6">
        <v>131419</v>
      </c>
      <c r="D2237" s="6">
        <v>246949</v>
      </c>
      <c r="E2237" s="6">
        <v>211102</v>
      </c>
      <c r="F2237" s="14">
        <v>466405</v>
      </c>
      <c r="G2237" s="6">
        <v>222326</v>
      </c>
      <c r="H2237" s="6">
        <v>46330</v>
      </c>
      <c r="I2237" s="6">
        <v>52207</v>
      </c>
      <c r="J2237" s="6">
        <v>260481</v>
      </c>
      <c r="K2237" s="6">
        <v>488383</v>
      </c>
      <c r="L2237" s="6">
        <v>205319</v>
      </c>
      <c r="M2237" s="6">
        <v>2198705</v>
      </c>
    </row>
    <row r="2238" spans="1:13" x14ac:dyDescent="0.3">
      <c r="A2238" s="7">
        <v>42893</v>
      </c>
      <c r="B2238" s="7"/>
      <c r="C2238" s="6">
        <v>131357</v>
      </c>
      <c r="D2238" s="6">
        <v>249679</v>
      </c>
      <c r="E2238" s="6">
        <v>211360</v>
      </c>
      <c r="F2238" s="14">
        <v>459525</v>
      </c>
      <c r="G2238" s="6">
        <v>223273</v>
      </c>
      <c r="H2238" s="6">
        <v>45105</v>
      </c>
      <c r="I2238" s="6">
        <v>52102</v>
      </c>
      <c r="J2238" s="6">
        <v>256066</v>
      </c>
      <c r="K2238" s="6">
        <v>496966</v>
      </c>
      <c r="L2238" s="6">
        <v>206241</v>
      </c>
      <c r="M2238" s="6">
        <v>2233648</v>
      </c>
    </row>
    <row r="2239" spans="1:13" x14ac:dyDescent="0.3">
      <c r="A2239" s="7">
        <v>42892</v>
      </c>
      <c r="B2239" s="7"/>
      <c r="C2239" s="6">
        <v>133572</v>
      </c>
      <c r="D2239" s="6">
        <v>248173</v>
      </c>
      <c r="E2239" s="6">
        <v>210933</v>
      </c>
      <c r="F2239" s="14">
        <v>447178</v>
      </c>
      <c r="G2239" s="6">
        <v>225549</v>
      </c>
      <c r="H2239" s="6">
        <v>43814</v>
      </c>
      <c r="I2239" s="6">
        <v>51728</v>
      </c>
      <c r="J2239" s="6">
        <v>253643</v>
      </c>
      <c r="K2239" s="6">
        <v>494041</v>
      </c>
      <c r="L2239" s="6">
        <v>208967</v>
      </c>
      <c r="M2239" s="6">
        <v>2228585</v>
      </c>
    </row>
    <row r="2240" spans="1:13" x14ac:dyDescent="0.3">
      <c r="A2240" s="7">
        <v>42891</v>
      </c>
      <c r="B2240" s="7"/>
      <c r="C2240" s="6">
        <v>132321</v>
      </c>
      <c r="D2240" s="6">
        <v>251526</v>
      </c>
      <c r="E2240" s="6">
        <v>205421</v>
      </c>
      <c r="F2240" s="14">
        <v>444809</v>
      </c>
      <c r="G2240" s="6">
        <v>211241</v>
      </c>
      <c r="H2240" s="6">
        <v>43294</v>
      </c>
      <c r="I2240" s="6">
        <v>52439</v>
      </c>
      <c r="J2240" s="6">
        <v>252987</v>
      </c>
      <c r="K2240" s="6">
        <v>467718</v>
      </c>
      <c r="L2240" s="6">
        <v>205495</v>
      </c>
      <c r="M2240" s="6">
        <v>2231676</v>
      </c>
    </row>
    <row r="2241" spans="1:13" x14ac:dyDescent="0.3">
      <c r="A2241" s="7">
        <v>42888</v>
      </c>
      <c r="B2241" s="7"/>
      <c r="C2241" s="6">
        <v>134354</v>
      </c>
      <c r="D2241" s="6">
        <v>250842</v>
      </c>
      <c r="E2241" s="6">
        <v>206103</v>
      </c>
      <c r="F2241" s="14">
        <v>446930</v>
      </c>
      <c r="G2241" s="6">
        <v>213881</v>
      </c>
      <c r="H2241" s="6">
        <v>44165</v>
      </c>
      <c r="I2241" s="6">
        <v>53111</v>
      </c>
      <c r="J2241" s="6">
        <v>252573</v>
      </c>
      <c r="K2241" s="6">
        <v>463152</v>
      </c>
      <c r="L2241" s="6">
        <v>206681</v>
      </c>
      <c r="M2241" s="6">
        <v>2215672</v>
      </c>
    </row>
    <row r="2242" spans="1:13" x14ac:dyDescent="0.3">
      <c r="A2242" s="7">
        <v>42887</v>
      </c>
      <c r="B2242" s="7"/>
      <c r="C2242" s="6">
        <v>137857</v>
      </c>
      <c r="D2242" s="6">
        <v>252490</v>
      </c>
      <c r="E2242" s="6">
        <v>206956</v>
      </c>
      <c r="F2242" s="14">
        <v>442922</v>
      </c>
      <c r="G2242" s="6">
        <v>213208</v>
      </c>
      <c r="H2242" s="6">
        <v>42985</v>
      </c>
      <c r="I2242" s="6">
        <v>52950</v>
      </c>
      <c r="J2242" s="6">
        <v>251503</v>
      </c>
      <c r="K2242" s="6">
        <v>444814</v>
      </c>
      <c r="L2242" s="6">
        <v>205750</v>
      </c>
      <c r="M2242" s="6">
        <v>2197046</v>
      </c>
    </row>
    <row r="2243" spans="1:13" x14ac:dyDescent="0.3">
      <c r="A2243" s="7">
        <v>42886</v>
      </c>
      <c r="B2243" s="7"/>
      <c r="C2243" s="6">
        <v>130624</v>
      </c>
      <c r="D2243" s="6">
        <v>256507</v>
      </c>
      <c r="E2243" s="6">
        <v>208587</v>
      </c>
      <c r="F2243" s="14">
        <v>451481</v>
      </c>
      <c r="G2243" s="6">
        <v>212603</v>
      </c>
      <c r="H2243" s="6">
        <v>43732</v>
      </c>
      <c r="I2243" s="6">
        <v>55504</v>
      </c>
      <c r="J2243" s="6">
        <v>249998</v>
      </c>
      <c r="K2243" s="6">
        <v>442978</v>
      </c>
      <c r="L2243" s="6">
        <v>204446</v>
      </c>
      <c r="M2243" s="6">
        <v>2206400</v>
      </c>
    </row>
    <row r="2244" spans="1:13" x14ac:dyDescent="0.3">
      <c r="A2244" s="7">
        <v>42885</v>
      </c>
      <c r="B2244" s="7"/>
      <c r="C2244" s="6">
        <v>129388</v>
      </c>
      <c r="D2244" s="6">
        <v>254039</v>
      </c>
      <c r="E2244" s="6">
        <v>200273</v>
      </c>
      <c r="F2244" s="14">
        <v>453280</v>
      </c>
      <c r="G2244" s="6">
        <v>213727</v>
      </c>
      <c r="H2244" s="6">
        <v>44203</v>
      </c>
      <c r="I2244" s="6">
        <v>54403</v>
      </c>
      <c r="J2244" s="6">
        <v>249317</v>
      </c>
      <c r="K2244" s="6">
        <v>434246</v>
      </c>
      <c r="L2244" s="6">
        <v>205235</v>
      </c>
      <c r="M2244" s="6">
        <v>2198081</v>
      </c>
    </row>
    <row r="2245" spans="1:13" x14ac:dyDescent="0.3">
      <c r="A2245" s="7">
        <v>42881</v>
      </c>
      <c r="B2245" s="7"/>
      <c r="C2245" s="6">
        <v>128407</v>
      </c>
      <c r="D2245" s="6">
        <v>257178</v>
      </c>
      <c r="E2245" s="6">
        <v>201287</v>
      </c>
      <c r="F2245" s="14">
        <v>451353</v>
      </c>
      <c r="G2245" s="6">
        <v>214129</v>
      </c>
      <c r="H2245" s="6">
        <v>42800</v>
      </c>
      <c r="I2245" s="6">
        <v>52814</v>
      </c>
      <c r="J2245" s="6">
        <v>251399</v>
      </c>
      <c r="K2245" s="6">
        <v>465303</v>
      </c>
      <c r="L2245" s="6">
        <v>205086</v>
      </c>
      <c r="M2245" s="6">
        <v>2189718</v>
      </c>
    </row>
    <row r="2246" spans="1:13" x14ac:dyDescent="0.3">
      <c r="A2246" s="7">
        <v>42880</v>
      </c>
      <c r="B2246" s="7"/>
      <c r="C2246" s="6">
        <v>128218</v>
      </c>
      <c r="D2246" s="6">
        <v>255422</v>
      </c>
      <c r="E2246" s="6">
        <v>200985</v>
      </c>
      <c r="F2246" s="14">
        <v>448148</v>
      </c>
      <c r="G2246" s="6">
        <v>216300</v>
      </c>
      <c r="H2246" s="6">
        <v>42519</v>
      </c>
      <c r="I2246" s="6">
        <v>51997</v>
      </c>
      <c r="J2246" s="6">
        <v>252939</v>
      </c>
      <c r="K2246" s="6">
        <v>473848</v>
      </c>
      <c r="L2246" s="6">
        <v>201865</v>
      </c>
      <c r="M2246" s="6">
        <v>2179321</v>
      </c>
    </row>
    <row r="2247" spans="1:13" x14ac:dyDescent="0.3">
      <c r="A2247" s="7">
        <v>42879</v>
      </c>
      <c r="B2247" s="7"/>
      <c r="C2247" s="6">
        <v>129230</v>
      </c>
      <c r="D2247" s="6">
        <v>257421</v>
      </c>
      <c r="E2247" s="6">
        <v>203728</v>
      </c>
      <c r="F2247" s="14">
        <v>451299</v>
      </c>
      <c r="G2247" s="6">
        <v>213532</v>
      </c>
      <c r="H2247" s="6">
        <v>43384</v>
      </c>
      <c r="I2247" s="6">
        <v>52489</v>
      </c>
      <c r="J2247" s="6">
        <v>255576</v>
      </c>
      <c r="K2247" s="6">
        <v>470865</v>
      </c>
      <c r="L2247" s="6">
        <v>203460</v>
      </c>
      <c r="M2247" s="6">
        <v>2188707</v>
      </c>
    </row>
    <row r="2248" spans="1:13" x14ac:dyDescent="0.3">
      <c r="A2248" s="7">
        <v>42878</v>
      </c>
      <c r="B2248" s="7"/>
      <c r="C2248" s="6">
        <v>128250</v>
      </c>
      <c r="D2248" s="6">
        <v>256257</v>
      </c>
      <c r="E2248" s="6">
        <v>208304</v>
      </c>
      <c r="F2248" s="14">
        <v>449360</v>
      </c>
      <c r="G2248" s="6">
        <v>211298</v>
      </c>
      <c r="H2248" s="6">
        <v>44165</v>
      </c>
      <c r="I2248" s="6">
        <v>51178</v>
      </c>
      <c r="J2248" s="6">
        <v>256097</v>
      </c>
      <c r="K2248" s="6">
        <v>462572</v>
      </c>
      <c r="L2248" s="6">
        <v>203459</v>
      </c>
      <c r="M2248" s="6">
        <v>2209555</v>
      </c>
    </row>
    <row r="2249" spans="1:13" x14ac:dyDescent="0.3">
      <c r="A2249" s="7">
        <v>42877</v>
      </c>
      <c r="B2249" s="7"/>
      <c r="C2249" s="6">
        <v>131362</v>
      </c>
      <c r="D2249" s="6">
        <v>257459</v>
      </c>
      <c r="E2249" s="6">
        <v>210822</v>
      </c>
      <c r="F2249" s="14">
        <v>444937</v>
      </c>
      <c r="G2249" s="6">
        <v>210040</v>
      </c>
      <c r="H2249" s="6">
        <v>44391</v>
      </c>
      <c r="I2249" s="6">
        <v>50830</v>
      </c>
      <c r="J2249" s="6">
        <v>255592</v>
      </c>
      <c r="K2249" s="6">
        <v>448777</v>
      </c>
      <c r="L2249" s="6">
        <v>207403</v>
      </c>
      <c r="M2249" s="6">
        <v>2214735</v>
      </c>
    </row>
    <row r="2250" spans="1:13" x14ac:dyDescent="0.3">
      <c r="A2250" s="7">
        <v>42874</v>
      </c>
      <c r="B2250" s="7"/>
      <c r="C2250" s="6">
        <v>131086</v>
      </c>
      <c r="D2250" s="6">
        <v>259008</v>
      </c>
      <c r="E2250" s="6">
        <v>215472</v>
      </c>
      <c r="F2250" s="14">
        <v>441719</v>
      </c>
      <c r="G2250" s="6">
        <v>212450</v>
      </c>
      <c r="H2250" s="6">
        <v>43718</v>
      </c>
      <c r="I2250" s="6">
        <v>50193</v>
      </c>
      <c r="J2250" s="6">
        <v>253996</v>
      </c>
      <c r="K2250" s="6">
        <v>437271</v>
      </c>
      <c r="L2250" s="6">
        <v>209081</v>
      </c>
      <c r="M2250" s="6">
        <v>2209879</v>
      </c>
    </row>
    <row r="2251" spans="1:13" x14ac:dyDescent="0.3">
      <c r="A2251" s="7">
        <v>42873</v>
      </c>
      <c r="B2251" s="7"/>
      <c r="C2251" s="6">
        <v>129029</v>
      </c>
      <c r="D2251" s="6">
        <v>253802</v>
      </c>
      <c r="E2251" s="6">
        <v>217305</v>
      </c>
      <c r="F2251" s="14">
        <v>435110</v>
      </c>
      <c r="G2251" s="6">
        <v>214799</v>
      </c>
      <c r="H2251" s="6">
        <v>44010</v>
      </c>
      <c r="I2251" s="6">
        <v>50415</v>
      </c>
      <c r="J2251" s="6">
        <v>249763</v>
      </c>
      <c r="K2251" s="6">
        <v>444819</v>
      </c>
      <c r="L2251" s="6">
        <v>209871</v>
      </c>
      <c r="M2251" s="6">
        <v>2232135</v>
      </c>
    </row>
    <row r="2252" spans="1:13" x14ac:dyDescent="0.3">
      <c r="A2252" s="7">
        <v>42872</v>
      </c>
      <c r="B2252" s="7"/>
      <c r="C2252" s="6">
        <v>136752</v>
      </c>
      <c r="D2252" s="6">
        <v>256598</v>
      </c>
      <c r="E2252" s="6">
        <v>219872</v>
      </c>
      <c r="F2252" s="14">
        <v>434109</v>
      </c>
      <c r="G2252" s="6">
        <v>221988</v>
      </c>
      <c r="H2252" s="6">
        <v>46304</v>
      </c>
      <c r="I2252" s="6">
        <v>50013</v>
      </c>
      <c r="J2252" s="6">
        <v>249803</v>
      </c>
      <c r="K2252" s="6">
        <v>445879</v>
      </c>
      <c r="L2252" s="6">
        <v>212907</v>
      </c>
      <c r="M2252" s="6">
        <v>2244622</v>
      </c>
    </row>
    <row r="2253" spans="1:13" x14ac:dyDescent="0.3">
      <c r="A2253" s="7">
        <v>42871</v>
      </c>
      <c r="B2253" s="7"/>
      <c r="C2253" s="6">
        <v>139217</v>
      </c>
      <c r="D2253" s="6">
        <v>256592</v>
      </c>
      <c r="E2253" s="6">
        <v>219483</v>
      </c>
      <c r="F2253" s="14">
        <v>432636</v>
      </c>
      <c r="G2253" s="6">
        <v>222766</v>
      </c>
      <c r="H2253" s="6">
        <v>45187</v>
      </c>
      <c r="I2253" s="6">
        <v>48928</v>
      </c>
      <c r="J2253" s="6">
        <v>250251</v>
      </c>
      <c r="K2253" s="6">
        <v>435021</v>
      </c>
      <c r="L2253" s="6">
        <v>215127</v>
      </c>
      <c r="M2253" s="6">
        <v>2337124</v>
      </c>
    </row>
    <row r="2254" spans="1:13" x14ac:dyDescent="0.3">
      <c r="A2254" s="7">
        <v>42870</v>
      </c>
      <c r="B2254" s="7"/>
      <c r="C2254" s="6">
        <v>138206</v>
      </c>
      <c r="D2254" s="6">
        <v>259555</v>
      </c>
      <c r="E2254" s="6">
        <v>220295</v>
      </c>
      <c r="F2254" s="14">
        <v>420061</v>
      </c>
      <c r="G2254" s="6">
        <v>222714</v>
      </c>
      <c r="H2254" s="6">
        <v>44888</v>
      </c>
      <c r="I2254" s="6">
        <v>50823</v>
      </c>
      <c r="J2254" s="6">
        <v>251689</v>
      </c>
      <c r="K2254" s="6">
        <v>438508</v>
      </c>
      <c r="L2254" s="6">
        <v>215227</v>
      </c>
      <c r="M2254" s="6">
        <v>2329885</v>
      </c>
    </row>
    <row r="2255" spans="1:13" x14ac:dyDescent="0.3">
      <c r="A2255" s="7">
        <v>42867</v>
      </c>
      <c r="B2255" s="7"/>
      <c r="C2255" s="6">
        <v>134644</v>
      </c>
      <c r="D2255" s="6">
        <v>259847</v>
      </c>
      <c r="E2255" s="6">
        <v>220352</v>
      </c>
      <c r="F2255" s="14">
        <v>417572</v>
      </c>
      <c r="G2255" s="6">
        <v>214221</v>
      </c>
      <c r="H2255" s="6">
        <v>45987</v>
      </c>
      <c r="I2255" s="6">
        <v>52804</v>
      </c>
      <c r="J2255" s="6">
        <v>251283</v>
      </c>
      <c r="K2255" s="6">
        <v>433356</v>
      </c>
      <c r="L2255" s="6">
        <v>212364</v>
      </c>
      <c r="M2255" s="6">
        <v>2315137</v>
      </c>
    </row>
    <row r="2256" spans="1:13" x14ac:dyDescent="0.3">
      <c r="A2256" s="7">
        <v>42866</v>
      </c>
      <c r="B2256" s="7"/>
      <c r="C2256" s="6">
        <v>128747</v>
      </c>
      <c r="D2256" s="6">
        <v>259540</v>
      </c>
      <c r="E2256" s="6">
        <v>218558</v>
      </c>
      <c r="F2256" s="14">
        <v>415313</v>
      </c>
      <c r="G2256" s="6">
        <v>210915</v>
      </c>
      <c r="H2256" s="6">
        <v>45571</v>
      </c>
      <c r="I2256" s="6">
        <v>51639</v>
      </c>
      <c r="J2256" s="6">
        <v>249942</v>
      </c>
      <c r="K2256" s="6">
        <v>434472</v>
      </c>
      <c r="L2256" s="6">
        <v>206767</v>
      </c>
      <c r="M2256" s="6">
        <v>2308664</v>
      </c>
    </row>
    <row r="2257" spans="1:13" x14ac:dyDescent="0.3">
      <c r="A2257" s="7">
        <v>42865</v>
      </c>
      <c r="B2257" s="7"/>
      <c r="C2257" s="6">
        <v>123520</v>
      </c>
      <c r="D2257" s="6">
        <v>257770</v>
      </c>
      <c r="E2257" s="6">
        <v>219757</v>
      </c>
      <c r="F2257" s="14">
        <v>416523</v>
      </c>
      <c r="G2257" s="6">
        <v>205352</v>
      </c>
      <c r="H2257" s="6">
        <v>44265</v>
      </c>
      <c r="I2257" s="6">
        <v>49195</v>
      </c>
      <c r="J2257" s="6">
        <v>245677</v>
      </c>
      <c r="K2257" s="6">
        <v>425252</v>
      </c>
      <c r="L2257" s="6">
        <v>199826</v>
      </c>
      <c r="M2257" s="6">
        <v>2287230</v>
      </c>
    </row>
    <row r="2258" spans="1:13" x14ac:dyDescent="0.3">
      <c r="A2258" s="7">
        <v>42864</v>
      </c>
      <c r="B2258" s="7"/>
      <c r="C2258" s="6">
        <v>120039</v>
      </c>
      <c r="D2258" s="6">
        <v>257225</v>
      </c>
      <c r="E2258" s="6">
        <v>214946</v>
      </c>
      <c r="F2258" s="14">
        <v>418301</v>
      </c>
      <c r="G2258" s="6">
        <v>203140</v>
      </c>
      <c r="H2258" s="6">
        <v>44057</v>
      </c>
      <c r="I2258" s="6">
        <v>48410</v>
      </c>
      <c r="J2258" s="6">
        <v>243123</v>
      </c>
      <c r="K2258" s="6">
        <v>433033</v>
      </c>
      <c r="L2258" s="6">
        <v>196083</v>
      </c>
      <c r="M2258" s="6">
        <v>2276413</v>
      </c>
    </row>
    <row r="2259" spans="1:13" x14ac:dyDescent="0.3">
      <c r="A2259" s="7">
        <v>42863</v>
      </c>
      <c r="B2259" s="7"/>
      <c r="C2259" s="6">
        <v>115841</v>
      </c>
      <c r="D2259" s="6">
        <v>255324</v>
      </c>
      <c r="E2259" s="6">
        <v>211192</v>
      </c>
      <c r="F2259" s="14">
        <v>416836</v>
      </c>
      <c r="G2259" s="6">
        <v>199149</v>
      </c>
      <c r="H2259" s="6">
        <v>43390</v>
      </c>
      <c r="I2259" s="6">
        <v>46309</v>
      </c>
      <c r="J2259" s="6">
        <v>243192</v>
      </c>
      <c r="K2259" s="6">
        <v>437358</v>
      </c>
      <c r="L2259" s="6">
        <v>193587</v>
      </c>
      <c r="M2259" s="6">
        <v>2252320</v>
      </c>
    </row>
    <row r="2260" spans="1:13" x14ac:dyDescent="0.3">
      <c r="A2260" s="7">
        <v>42860</v>
      </c>
      <c r="B2260" s="7"/>
      <c r="C2260" s="6">
        <v>112908</v>
      </c>
      <c r="D2260" s="6">
        <v>256937</v>
      </c>
      <c r="E2260" s="6">
        <v>206747</v>
      </c>
      <c r="F2260" s="14">
        <v>419626</v>
      </c>
      <c r="G2260" s="6">
        <v>194560</v>
      </c>
      <c r="H2260" s="6">
        <v>43651</v>
      </c>
      <c r="I2260" s="6">
        <v>46500</v>
      </c>
      <c r="J2260" s="6">
        <v>242217</v>
      </c>
      <c r="K2260" s="6">
        <v>443343</v>
      </c>
      <c r="L2260" s="6">
        <v>190305</v>
      </c>
      <c r="M2260" s="6">
        <v>2239287</v>
      </c>
    </row>
    <row r="2261" spans="1:13" x14ac:dyDescent="0.3">
      <c r="A2261" s="7">
        <v>42859</v>
      </c>
      <c r="B2261" s="7"/>
      <c r="C2261" s="6">
        <v>115821</v>
      </c>
      <c r="D2261" s="6">
        <v>267169</v>
      </c>
      <c r="E2261" s="6">
        <v>204048</v>
      </c>
      <c r="F2261" s="14">
        <v>413566</v>
      </c>
      <c r="G2261" s="6">
        <v>201895</v>
      </c>
      <c r="H2261" s="6">
        <v>44346</v>
      </c>
      <c r="I2261" s="6">
        <v>46289</v>
      </c>
      <c r="J2261" s="6">
        <v>244852</v>
      </c>
      <c r="K2261" s="6">
        <v>458526</v>
      </c>
      <c r="L2261" s="6">
        <v>188527</v>
      </c>
      <c r="M2261" s="6">
        <v>2240198</v>
      </c>
    </row>
    <row r="2262" spans="1:13" x14ac:dyDescent="0.3">
      <c r="A2262" s="7">
        <v>42858</v>
      </c>
      <c r="B2262" s="7"/>
      <c r="C2262" s="6">
        <v>112836</v>
      </c>
      <c r="D2262" s="6">
        <v>265856</v>
      </c>
      <c r="E2262" s="6">
        <v>199389</v>
      </c>
      <c r="F2262" s="14">
        <v>407425</v>
      </c>
      <c r="G2262" s="6">
        <v>196399</v>
      </c>
      <c r="H2262" s="6">
        <v>43656</v>
      </c>
      <c r="I2262" s="6">
        <v>44194</v>
      </c>
      <c r="J2262" s="6">
        <v>247748</v>
      </c>
      <c r="K2262" s="6">
        <v>459267</v>
      </c>
      <c r="L2262" s="6">
        <v>190478</v>
      </c>
      <c r="M2262" s="6">
        <v>2233515</v>
      </c>
    </row>
    <row r="2263" spans="1:13" x14ac:dyDescent="0.3">
      <c r="A2263" s="7">
        <v>42857</v>
      </c>
      <c r="B2263" s="7"/>
      <c r="C2263" s="6">
        <v>107876</v>
      </c>
      <c r="D2263" s="6">
        <v>267230</v>
      </c>
      <c r="E2263" s="6">
        <v>192692</v>
      </c>
      <c r="F2263" s="14">
        <v>409936</v>
      </c>
      <c r="G2263" s="6">
        <v>196845</v>
      </c>
      <c r="H2263" s="6">
        <v>43368</v>
      </c>
      <c r="I2263" s="6">
        <v>43343</v>
      </c>
      <c r="J2263" s="6">
        <v>248643</v>
      </c>
      <c r="K2263" s="6">
        <v>461905</v>
      </c>
      <c r="L2263" s="6">
        <v>189240</v>
      </c>
      <c r="M2263" s="6">
        <v>2215531</v>
      </c>
    </row>
    <row r="2264" spans="1:13" x14ac:dyDescent="0.3">
      <c r="A2264" s="7">
        <v>42856</v>
      </c>
      <c r="B2264" s="7"/>
      <c r="C2264" s="6">
        <v>108932</v>
      </c>
      <c r="D2264" s="6">
        <v>265590</v>
      </c>
      <c r="E2264" s="6">
        <v>185267</v>
      </c>
      <c r="F2264" s="14">
        <v>413135</v>
      </c>
      <c r="G2264" s="6">
        <v>200478</v>
      </c>
      <c r="H2264" s="6">
        <v>43906</v>
      </c>
      <c r="I2264" s="6">
        <v>44508</v>
      </c>
      <c r="J2264" s="6">
        <v>250329</v>
      </c>
      <c r="K2264" s="6">
        <v>465336</v>
      </c>
      <c r="L2264" s="6">
        <v>194123</v>
      </c>
      <c r="M2264" s="6">
        <v>2198874</v>
      </c>
    </row>
    <row r="2265" spans="1:13" x14ac:dyDescent="0.3">
      <c r="A2265" s="7">
        <v>42853</v>
      </c>
      <c r="B2265" s="7"/>
      <c r="C2265" s="6">
        <v>110636</v>
      </c>
      <c r="D2265" s="6">
        <v>263741</v>
      </c>
      <c r="E2265" s="6">
        <v>183367</v>
      </c>
      <c r="F2265" s="14">
        <v>412782</v>
      </c>
      <c r="G2265" s="6">
        <v>200588</v>
      </c>
      <c r="H2265" s="6">
        <v>44043</v>
      </c>
      <c r="I2265" s="6">
        <v>44809</v>
      </c>
      <c r="J2265" s="6">
        <v>247772</v>
      </c>
      <c r="K2265" s="6">
        <v>470787</v>
      </c>
      <c r="L2265" s="6">
        <v>196015</v>
      </c>
      <c r="M2265" s="6">
        <v>2189292</v>
      </c>
    </row>
    <row r="2266" spans="1:13" x14ac:dyDescent="0.3">
      <c r="A2266" s="7">
        <v>42852</v>
      </c>
      <c r="B2266" s="7"/>
      <c r="C2266" s="6">
        <v>111954</v>
      </c>
      <c r="D2266" s="6">
        <v>261987</v>
      </c>
      <c r="E2266" s="6">
        <v>181336</v>
      </c>
      <c r="F2266" s="14">
        <v>411126</v>
      </c>
      <c r="G2266" s="6">
        <v>200314</v>
      </c>
      <c r="H2266" s="6">
        <v>46226</v>
      </c>
      <c r="I2266" s="6">
        <v>46061</v>
      </c>
      <c r="J2266" s="6">
        <v>247307</v>
      </c>
      <c r="K2266" s="6">
        <v>475179</v>
      </c>
      <c r="L2266" s="6">
        <v>199761</v>
      </c>
      <c r="M2266" s="6">
        <v>2198045</v>
      </c>
    </row>
    <row r="2267" spans="1:13" x14ac:dyDescent="0.3">
      <c r="A2267" s="7">
        <v>42851</v>
      </c>
      <c r="B2267" s="7"/>
      <c r="C2267" s="6">
        <v>113445</v>
      </c>
      <c r="D2267" s="6">
        <v>262631</v>
      </c>
      <c r="E2267" s="6">
        <v>173342</v>
      </c>
      <c r="F2267" s="14">
        <v>408426</v>
      </c>
      <c r="G2267" s="6">
        <v>201303</v>
      </c>
      <c r="H2267" s="6">
        <v>45725</v>
      </c>
      <c r="I2267" s="6">
        <v>45470</v>
      </c>
      <c r="J2267" s="6">
        <v>251783</v>
      </c>
      <c r="K2267" s="6">
        <v>476380</v>
      </c>
      <c r="L2267" s="6">
        <v>207249</v>
      </c>
      <c r="M2267" s="6">
        <v>2190783</v>
      </c>
    </row>
    <row r="2268" spans="1:13" x14ac:dyDescent="0.3">
      <c r="A2268" s="7">
        <v>42850</v>
      </c>
      <c r="B2268" s="7"/>
      <c r="C2268" s="6">
        <v>108559</v>
      </c>
      <c r="D2268" s="6">
        <v>261711</v>
      </c>
      <c r="E2268" s="6">
        <v>165504</v>
      </c>
      <c r="F2268" s="14">
        <v>411006</v>
      </c>
      <c r="G2268" s="6">
        <v>204179</v>
      </c>
      <c r="H2268" s="6">
        <v>43947</v>
      </c>
      <c r="I2268" s="6">
        <v>46882</v>
      </c>
      <c r="J2268" s="6">
        <v>260513</v>
      </c>
      <c r="K2268" s="6">
        <v>475985</v>
      </c>
      <c r="L2268" s="6">
        <v>214782</v>
      </c>
      <c r="M2268" s="6">
        <v>2188272</v>
      </c>
    </row>
    <row r="2269" spans="1:13" x14ac:dyDescent="0.3">
      <c r="A2269" s="7">
        <v>42849</v>
      </c>
      <c r="B2269" s="7"/>
      <c r="C2269" s="6">
        <v>105881</v>
      </c>
      <c r="D2269" s="6">
        <v>261024</v>
      </c>
      <c r="E2269" s="6">
        <v>159452</v>
      </c>
      <c r="F2269" s="14">
        <v>416077</v>
      </c>
      <c r="G2269" s="6">
        <v>205933</v>
      </c>
      <c r="H2269" s="6">
        <v>41678</v>
      </c>
      <c r="I2269" s="6">
        <v>46941</v>
      </c>
      <c r="J2269" s="6">
        <v>265895</v>
      </c>
      <c r="K2269" s="6">
        <v>481395</v>
      </c>
      <c r="L2269" s="6">
        <v>227866</v>
      </c>
      <c r="M2269" s="6">
        <v>2190756</v>
      </c>
    </row>
    <row r="2270" spans="1:13" x14ac:dyDescent="0.3">
      <c r="A2270" s="7">
        <v>42846</v>
      </c>
      <c r="B2270" s="7"/>
      <c r="C2270" s="6">
        <v>108444</v>
      </c>
      <c r="D2270" s="6">
        <v>261278</v>
      </c>
      <c r="E2270" s="6">
        <v>156384</v>
      </c>
      <c r="F2270" s="14">
        <v>418056</v>
      </c>
      <c r="G2270" s="6">
        <v>206433</v>
      </c>
      <c r="H2270" s="6">
        <v>41670</v>
      </c>
      <c r="I2270" s="6">
        <v>46541</v>
      </c>
      <c r="J2270" s="6">
        <v>270150</v>
      </c>
      <c r="K2270" s="6">
        <v>482394</v>
      </c>
      <c r="L2270" s="6">
        <v>234558</v>
      </c>
      <c r="M2270" s="6">
        <v>2190807</v>
      </c>
    </row>
    <row r="2271" spans="1:13" x14ac:dyDescent="0.3">
      <c r="A2271" s="7">
        <v>42845</v>
      </c>
      <c r="B2271" s="7"/>
      <c r="C2271" s="6">
        <v>108300</v>
      </c>
      <c r="D2271" s="6">
        <v>262415</v>
      </c>
      <c r="E2271" s="6">
        <v>152192</v>
      </c>
      <c r="F2271" s="14">
        <v>419766</v>
      </c>
      <c r="G2271" s="6">
        <v>204660</v>
      </c>
      <c r="H2271" s="6">
        <v>42360</v>
      </c>
      <c r="I2271" s="6">
        <v>46806</v>
      </c>
      <c r="J2271" s="6">
        <v>271204</v>
      </c>
      <c r="K2271" s="6">
        <v>474018</v>
      </c>
      <c r="L2271" s="6">
        <v>234787</v>
      </c>
      <c r="M2271" s="6">
        <v>2188885</v>
      </c>
    </row>
    <row r="2272" spans="1:13" x14ac:dyDescent="0.3">
      <c r="A2272" s="7">
        <v>42844</v>
      </c>
      <c r="B2272" s="7"/>
      <c r="C2272" s="6">
        <v>112560</v>
      </c>
      <c r="D2272" s="6">
        <v>263067</v>
      </c>
      <c r="E2272" s="6">
        <v>147453</v>
      </c>
      <c r="F2272" s="14">
        <v>424790</v>
      </c>
      <c r="G2272" s="6">
        <v>201718</v>
      </c>
      <c r="H2272" s="6">
        <v>42486</v>
      </c>
      <c r="I2272" s="6">
        <v>47861</v>
      </c>
      <c r="J2272" s="6">
        <v>272044</v>
      </c>
      <c r="K2272" s="6">
        <v>468050</v>
      </c>
      <c r="L2272" s="6">
        <v>229227</v>
      </c>
      <c r="M2272" s="6">
        <v>2167776</v>
      </c>
    </row>
    <row r="2273" spans="1:13" x14ac:dyDescent="0.3">
      <c r="A2273" s="7">
        <v>42843</v>
      </c>
      <c r="B2273" s="7"/>
      <c r="C2273" s="6">
        <v>114659</v>
      </c>
      <c r="D2273" s="6">
        <v>261563</v>
      </c>
      <c r="E2273" s="6">
        <v>136614</v>
      </c>
      <c r="F2273" s="14">
        <v>431267</v>
      </c>
      <c r="G2273" s="6">
        <v>204353</v>
      </c>
      <c r="H2273" s="6">
        <v>43061</v>
      </c>
      <c r="I2273" s="6">
        <v>48435</v>
      </c>
      <c r="J2273" s="6">
        <v>275401</v>
      </c>
      <c r="K2273" s="6">
        <v>472263</v>
      </c>
      <c r="L2273" s="6">
        <v>227984</v>
      </c>
      <c r="M2273" s="6">
        <v>2161434</v>
      </c>
    </row>
    <row r="2274" spans="1:13" x14ac:dyDescent="0.3">
      <c r="A2274" s="7">
        <v>42842</v>
      </c>
      <c r="B2274" s="7"/>
      <c r="C2274" s="6">
        <v>116644</v>
      </c>
      <c r="D2274" s="6">
        <v>247307</v>
      </c>
      <c r="E2274" s="6">
        <v>127814</v>
      </c>
      <c r="F2274" s="14">
        <v>430364</v>
      </c>
      <c r="G2274" s="6">
        <v>199555</v>
      </c>
      <c r="H2274" s="6">
        <v>43887</v>
      </c>
      <c r="I2274" s="6">
        <v>47484</v>
      </c>
      <c r="J2274" s="6">
        <v>280488</v>
      </c>
      <c r="K2274" s="6">
        <v>474257</v>
      </c>
      <c r="L2274" s="6">
        <v>227775</v>
      </c>
      <c r="M2274" s="6">
        <v>2158950</v>
      </c>
    </row>
    <row r="2275" spans="1:13" x14ac:dyDescent="0.3">
      <c r="A2275" s="7">
        <v>42838</v>
      </c>
      <c r="B2275" s="7"/>
      <c r="C2275" s="6">
        <v>117674</v>
      </c>
      <c r="D2275" s="6">
        <v>244148</v>
      </c>
      <c r="E2275" s="6">
        <v>126754</v>
      </c>
      <c r="F2275" s="14">
        <v>432294</v>
      </c>
      <c r="G2275" s="6">
        <v>200923</v>
      </c>
      <c r="H2275" s="6">
        <v>44524</v>
      </c>
      <c r="I2275" s="6">
        <v>47763</v>
      </c>
      <c r="J2275" s="6">
        <v>285372</v>
      </c>
      <c r="K2275" s="6">
        <v>473744</v>
      </c>
      <c r="L2275" s="6">
        <v>227498</v>
      </c>
      <c r="M2275" s="6">
        <v>2198293</v>
      </c>
    </row>
    <row r="2276" spans="1:13" x14ac:dyDescent="0.3">
      <c r="A2276" s="7">
        <v>42837</v>
      </c>
      <c r="B2276" s="7"/>
      <c r="C2276" s="6">
        <v>121813</v>
      </c>
      <c r="D2276" s="6">
        <v>243291</v>
      </c>
      <c r="E2276" s="6">
        <v>128796</v>
      </c>
      <c r="F2276" s="14">
        <v>421895</v>
      </c>
      <c r="G2276" s="6">
        <v>198022</v>
      </c>
      <c r="H2276" s="6">
        <v>44107</v>
      </c>
      <c r="I2276" s="6">
        <v>46994</v>
      </c>
      <c r="J2276" s="6">
        <v>288435</v>
      </c>
      <c r="K2276" s="6">
        <v>464404</v>
      </c>
      <c r="L2276" s="6">
        <v>223763</v>
      </c>
      <c r="M2276" s="6">
        <v>2192601</v>
      </c>
    </row>
    <row r="2277" spans="1:13" x14ac:dyDescent="0.3">
      <c r="A2277" s="7">
        <v>42836</v>
      </c>
      <c r="B2277" s="7"/>
      <c r="C2277" s="6">
        <v>123144</v>
      </c>
      <c r="D2277" s="6">
        <v>244188</v>
      </c>
      <c r="E2277" s="6">
        <v>126412</v>
      </c>
      <c r="F2277" s="14">
        <v>420332</v>
      </c>
      <c r="G2277" s="6">
        <v>198381</v>
      </c>
      <c r="H2277" s="6">
        <v>43375</v>
      </c>
      <c r="I2277" s="6">
        <v>46768</v>
      </c>
      <c r="J2277" s="6">
        <v>284852</v>
      </c>
      <c r="K2277" s="6">
        <v>456131</v>
      </c>
      <c r="L2277" s="6">
        <v>220172</v>
      </c>
      <c r="M2277" s="6">
        <v>2193567</v>
      </c>
    </row>
    <row r="2278" spans="1:13" x14ac:dyDescent="0.3">
      <c r="A2278" s="7">
        <v>42835</v>
      </c>
      <c r="B2278" s="7"/>
      <c r="C2278" s="6">
        <v>127253</v>
      </c>
      <c r="D2278" s="6">
        <v>242799</v>
      </c>
      <c r="E2278" s="6">
        <v>129294</v>
      </c>
      <c r="F2278" s="14">
        <v>416158</v>
      </c>
      <c r="G2278" s="6">
        <v>192604</v>
      </c>
      <c r="H2278" s="6">
        <v>43000</v>
      </c>
      <c r="I2278" s="6">
        <v>45270</v>
      </c>
      <c r="J2278" s="6">
        <v>285484</v>
      </c>
      <c r="K2278" s="6">
        <v>433389</v>
      </c>
      <c r="L2278" s="6">
        <v>219676</v>
      </c>
      <c r="M2278" s="6">
        <v>2192578</v>
      </c>
    </row>
    <row r="2279" spans="1:13" x14ac:dyDescent="0.3">
      <c r="A2279" s="7">
        <v>42832</v>
      </c>
      <c r="B2279" s="7"/>
      <c r="C2279" s="6">
        <v>130285</v>
      </c>
      <c r="D2279" s="6">
        <v>245500</v>
      </c>
      <c r="E2279" s="6">
        <v>131809</v>
      </c>
      <c r="F2279" s="14">
        <v>413326</v>
      </c>
      <c r="G2279" s="6">
        <v>193770</v>
      </c>
      <c r="H2279" s="6">
        <v>42960</v>
      </c>
      <c r="I2279" s="6">
        <v>44646</v>
      </c>
      <c r="J2279" s="6">
        <v>286596</v>
      </c>
      <c r="K2279" s="6">
        <v>434800</v>
      </c>
      <c r="L2279" s="6">
        <v>221867</v>
      </c>
      <c r="M2279" s="6">
        <v>2189011</v>
      </c>
    </row>
    <row r="2280" spans="1:13" x14ac:dyDescent="0.3">
      <c r="A2280" s="7">
        <v>42831</v>
      </c>
      <c r="B2280" s="7"/>
      <c r="C2280" s="6">
        <v>131706</v>
      </c>
      <c r="D2280" s="6">
        <v>243372</v>
      </c>
      <c r="E2280" s="6">
        <v>136611</v>
      </c>
      <c r="F2280" s="14">
        <v>400926</v>
      </c>
      <c r="G2280" s="6">
        <v>193255</v>
      </c>
      <c r="H2280" s="6">
        <v>41839</v>
      </c>
      <c r="I2280" s="6">
        <v>41792</v>
      </c>
      <c r="J2280" s="6">
        <v>284275</v>
      </c>
      <c r="K2280" s="6">
        <v>428795</v>
      </c>
      <c r="L2280" s="6">
        <v>221862</v>
      </c>
      <c r="M2280" s="6">
        <v>2210190</v>
      </c>
    </row>
    <row r="2281" spans="1:13" x14ac:dyDescent="0.3">
      <c r="A2281" s="7">
        <v>42830</v>
      </c>
      <c r="B2281" s="7"/>
      <c r="C2281" s="6">
        <v>133130</v>
      </c>
      <c r="D2281" s="6">
        <v>243558</v>
      </c>
      <c r="E2281" s="6">
        <v>134952</v>
      </c>
      <c r="F2281" s="14">
        <v>398550</v>
      </c>
      <c r="G2281" s="6">
        <v>193550</v>
      </c>
      <c r="H2281" s="6">
        <v>41432</v>
      </c>
      <c r="I2281" s="6">
        <v>41266</v>
      </c>
      <c r="J2281" s="6">
        <v>282208</v>
      </c>
      <c r="K2281" s="6">
        <v>425687</v>
      </c>
      <c r="L2281" s="6">
        <v>222102</v>
      </c>
      <c r="M2281" s="6">
        <v>2200921</v>
      </c>
    </row>
    <row r="2282" spans="1:13" x14ac:dyDescent="0.3">
      <c r="A2282" s="7">
        <v>42829</v>
      </c>
      <c r="B2282" s="7"/>
      <c r="C2282" s="6">
        <v>137172</v>
      </c>
      <c r="D2282" s="6">
        <v>241774</v>
      </c>
      <c r="E2282" s="6">
        <v>133688</v>
      </c>
      <c r="F2282" s="14">
        <v>397594</v>
      </c>
      <c r="G2282" s="6">
        <v>194368</v>
      </c>
      <c r="H2282" s="6">
        <v>40904</v>
      </c>
      <c r="I2282" s="6">
        <v>39010</v>
      </c>
      <c r="J2282" s="6">
        <v>277949</v>
      </c>
      <c r="K2282" s="6">
        <v>427808</v>
      </c>
      <c r="L2282" s="6">
        <v>219160</v>
      </c>
      <c r="M2282" s="6">
        <v>2213064</v>
      </c>
    </row>
    <row r="2283" spans="1:13" x14ac:dyDescent="0.3">
      <c r="A2283" s="7">
        <v>42828</v>
      </c>
      <c r="B2283" s="7"/>
      <c r="C2283" s="6">
        <v>136200</v>
      </c>
      <c r="D2283" s="6">
        <v>244062</v>
      </c>
      <c r="E2283" s="6">
        <v>129347</v>
      </c>
      <c r="F2283" s="14">
        <v>400092</v>
      </c>
      <c r="G2283" s="6">
        <v>195481</v>
      </c>
      <c r="H2283" s="6">
        <v>39507</v>
      </c>
      <c r="I2283" s="6">
        <v>38964</v>
      </c>
      <c r="J2283" s="6">
        <v>277774</v>
      </c>
      <c r="K2283" s="6">
        <v>421066</v>
      </c>
      <c r="L2283" s="6">
        <v>218935</v>
      </c>
      <c r="M2283" s="6">
        <v>2212255</v>
      </c>
    </row>
    <row r="2284" spans="1:13" x14ac:dyDescent="0.3">
      <c r="A2284" s="7">
        <v>42825</v>
      </c>
      <c r="B2284" s="7"/>
      <c r="C2284" s="6">
        <v>137442</v>
      </c>
      <c r="D2284" s="6">
        <v>244116</v>
      </c>
      <c r="E2284" s="6">
        <v>122348</v>
      </c>
      <c r="F2284" s="14">
        <v>400549</v>
      </c>
      <c r="G2284" s="6">
        <v>194857</v>
      </c>
      <c r="H2284" s="6">
        <v>39214</v>
      </c>
      <c r="I2284" s="6">
        <v>38284</v>
      </c>
      <c r="J2284" s="6">
        <v>274742</v>
      </c>
      <c r="K2284" s="6">
        <v>417554</v>
      </c>
      <c r="L2284" s="6">
        <v>216372</v>
      </c>
      <c r="M2284" s="6">
        <v>2228489</v>
      </c>
    </row>
    <row r="2285" spans="1:13" x14ac:dyDescent="0.3">
      <c r="A2285" s="7">
        <v>42824</v>
      </c>
      <c r="B2285" s="7"/>
      <c r="C2285" s="6">
        <v>136773</v>
      </c>
      <c r="D2285" s="6">
        <v>242782</v>
      </c>
      <c r="E2285" s="6">
        <v>121989</v>
      </c>
      <c r="F2285" s="14">
        <v>404484</v>
      </c>
      <c r="G2285" s="6">
        <v>197586</v>
      </c>
      <c r="H2285" s="6">
        <v>39281</v>
      </c>
      <c r="I2285" s="6">
        <v>40536</v>
      </c>
      <c r="J2285" s="6">
        <v>275633</v>
      </c>
      <c r="K2285" s="6">
        <v>414893</v>
      </c>
      <c r="L2285" s="6">
        <v>211522</v>
      </c>
      <c r="M2285" s="6">
        <v>2224712</v>
      </c>
    </row>
    <row r="2286" spans="1:13" x14ac:dyDescent="0.3">
      <c r="A2286" s="7">
        <v>42823</v>
      </c>
      <c r="B2286" s="7"/>
      <c r="C2286" s="6">
        <v>135106</v>
      </c>
      <c r="D2286" s="6">
        <v>241549</v>
      </c>
      <c r="E2286" s="6">
        <v>122762</v>
      </c>
      <c r="F2286" s="14">
        <v>407486</v>
      </c>
      <c r="G2286" s="6">
        <v>199477</v>
      </c>
      <c r="H2286" s="6">
        <v>38771</v>
      </c>
      <c r="I2286" s="6">
        <v>41408</v>
      </c>
      <c r="J2286" s="6">
        <v>274747</v>
      </c>
      <c r="K2286" s="6">
        <v>428780</v>
      </c>
      <c r="L2286" s="6">
        <v>207769</v>
      </c>
      <c r="M2286" s="6">
        <v>2213939</v>
      </c>
    </row>
    <row r="2287" spans="1:13" x14ac:dyDescent="0.3">
      <c r="A2287" s="7">
        <v>42822</v>
      </c>
      <c r="B2287" s="7"/>
      <c r="C2287" s="6">
        <v>134422</v>
      </c>
      <c r="D2287" s="6">
        <v>246985</v>
      </c>
      <c r="E2287" s="6">
        <v>121699</v>
      </c>
      <c r="F2287" s="14">
        <v>408853</v>
      </c>
      <c r="G2287" s="6">
        <v>197542</v>
      </c>
      <c r="H2287" s="6">
        <v>37949</v>
      </c>
      <c r="I2287" s="6">
        <v>42124</v>
      </c>
      <c r="J2287" s="6">
        <v>273316</v>
      </c>
      <c r="K2287" s="6">
        <v>449418</v>
      </c>
      <c r="L2287" s="6">
        <v>201829</v>
      </c>
      <c r="M2287" s="6">
        <v>2222462</v>
      </c>
    </row>
    <row r="2288" spans="1:13" x14ac:dyDescent="0.3">
      <c r="A2288" s="7">
        <v>42821</v>
      </c>
      <c r="B2288" s="7"/>
      <c r="C2288" s="6">
        <v>134505</v>
      </c>
      <c r="D2288" s="6">
        <v>248395</v>
      </c>
      <c r="E2288" s="6">
        <v>121543</v>
      </c>
      <c r="F2288" s="14">
        <v>408852</v>
      </c>
      <c r="G2288" s="6">
        <v>195607</v>
      </c>
      <c r="H2288" s="6">
        <v>37705</v>
      </c>
      <c r="I2288" s="6">
        <v>42767</v>
      </c>
      <c r="J2288" s="6">
        <v>271069</v>
      </c>
      <c r="K2288" s="6">
        <v>472405</v>
      </c>
      <c r="L2288" s="6">
        <v>198081</v>
      </c>
      <c r="M2288" s="6">
        <v>2223656</v>
      </c>
    </row>
    <row r="2289" spans="1:13" x14ac:dyDescent="0.3">
      <c r="A2289" s="7">
        <v>42818</v>
      </c>
      <c r="B2289" s="7"/>
      <c r="C2289" s="6">
        <v>134023</v>
      </c>
      <c r="D2289" s="6">
        <v>248743</v>
      </c>
      <c r="E2289" s="6">
        <v>119696</v>
      </c>
      <c r="F2289" s="14">
        <v>406045</v>
      </c>
      <c r="G2289" s="6">
        <v>196546</v>
      </c>
      <c r="H2289" s="6">
        <v>38152</v>
      </c>
      <c r="I2289" s="6">
        <v>40963</v>
      </c>
      <c r="J2289" s="6">
        <v>266504</v>
      </c>
      <c r="K2289" s="6">
        <v>463025</v>
      </c>
      <c r="L2289" s="6">
        <v>192659</v>
      </c>
      <c r="M2289" s="6">
        <v>2224425</v>
      </c>
    </row>
    <row r="2290" spans="1:13" x14ac:dyDescent="0.3">
      <c r="A2290" s="7">
        <v>42817</v>
      </c>
      <c r="B2290" s="7"/>
      <c r="C2290" s="6">
        <v>135456</v>
      </c>
      <c r="D2290" s="6">
        <v>249305</v>
      </c>
      <c r="E2290" s="6">
        <v>118176</v>
      </c>
      <c r="F2290" s="14">
        <v>405260</v>
      </c>
      <c r="G2290" s="6">
        <v>192683</v>
      </c>
      <c r="H2290" s="6">
        <v>38256</v>
      </c>
      <c r="I2290" s="6">
        <v>41022</v>
      </c>
      <c r="J2290" s="6">
        <v>265520</v>
      </c>
      <c r="K2290" s="6">
        <v>459089</v>
      </c>
      <c r="L2290" s="6">
        <v>191977</v>
      </c>
      <c r="M2290" s="6">
        <v>2225877</v>
      </c>
    </row>
    <row r="2291" spans="1:13" x14ac:dyDescent="0.3">
      <c r="A2291" s="7">
        <v>42816</v>
      </c>
      <c r="B2291" s="7"/>
      <c r="C2291" s="6">
        <v>135432</v>
      </c>
      <c r="D2291" s="6">
        <v>248466</v>
      </c>
      <c r="E2291" s="6">
        <v>119189</v>
      </c>
      <c r="F2291" s="14">
        <v>404450</v>
      </c>
      <c r="G2291" s="6">
        <v>194055</v>
      </c>
      <c r="H2291" s="6">
        <v>37801</v>
      </c>
      <c r="I2291" s="6">
        <v>41689</v>
      </c>
      <c r="J2291" s="6">
        <v>268469</v>
      </c>
      <c r="K2291" s="6">
        <v>452857</v>
      </c>
      <c r="L2291" s="6">
        <v>191514</v>
      </c>
      <c r="M2291" s="6">
        <v>2200048</v>
      </c>
    </row>
    <row r="2292" spans="1:13" x14ac:dyDescent="0.3">
      <c r="A2292" s="7">
        <v>42815</v>
      </c>
      <c r="B2292" s="7"/>
      <c r="C2292" s="6">
        <v>134004</v>
      </c>
      <c r="D2292" s="6">
        <v>252480</v>
      </c>
      <c r="E2292" s="6">
        <v>119123</v>
      </c>
      <c r="F2292" s="14">
        <v>406717</v>
      </c>
      <c r="G2292" s="6">
        <v>191626</v>
      </c>
      <c r="H2292" s="6">
        <v>37898</v>
      </c>
      <c r="I2292" s="6">
        <v>42613</v>
      </c>
      <c r="J2292" s="6">
        <v>269323</v>
      </c>
      <c r="K2292" s="6">
        <v>446880</v>
      </c>
      <c r="L2292" s="6">
        <v>190819</v>
      </c>
      <c r="M2292" s="6">
        <v>2194206</v>
      </c>
    </row>
    <row r="2293" spans="1:13" x14ac:dyDescent="0.3">
      <c r="A2293" s="7">
        <v>42814</v>
      </c>
      <c r="B2293" s="7"/>
      <c r="C2293" s="6">
        <v>127870</v>
      </c>
      <c r="D2293" s="6">
        <v>251922</v>
      </c>
      <c r="E2293" s="6">
        <v>122514</v>
      </c>
      <c r="F2293" s="14">
        <v>397010</v>
      </c>
      <c r="G2293" s="6">
        <v>192691</v>
      </c>
      <c r="H2293" s="6">
        <v>38264</v>
      </c>
      <c r="I2293" s="6">
        <v>42726</v>
      </c>
      <c r="J2293" s="6">
        <v>264236</v>
      </c>
      <c r="K2293" s="6">
        <v>430386</v>
      </c>
      <c r="L2293" s="6">
        <v>187069</v>
      </c>
      <c r="M2293" s="6">
        <v>2160072</v>
      </c>
    </row>
    <row r="2294" spans="1:13" x14ac:dyDescent="0.3">
      <c r="A2294" s="7">
        <v>42811</v>
      </c>
      <c r="B2294" s="7"/>
      <c r="C2294" s="6">
        <v>122282</v>
      </c>
      <c r="D2294" s="6">
        <v>255172</v>
      </c>
      <c r="E2294" s="6">
        <v>120418</v>
      </c>
      <c r="F2294" s="14">
        <v>398666</v>
      </c>
      <c r="G2294" s="6">
        <v>194930</v>
      </c>
      <c r="H2294" s="6">
        <v>36332</v>
      </c>
      <c r="I2294" s="6">
        <v>42556</v>
      </c>
      <c r="J2294" s="6">
        <v>261713</v>
      </c>
      <c r="K2294" s="6">
        <v>429290</v>
      </c>
      <c r="L2294" s="6">
        <v>186523</v>
      </c>
      <c r="M2294" s="6">
        <v>2159603</v>
      </c>
    </row>
    <row r="2295" spans="1:13" x14ac:dyDescent="0.3">
      <c r="A2295" s="7">
        <v>42810</v>
      </c>
      <c r="B2295" s="7"/>
      <c r="C2295" s="6">
        <v>120448</v>
      </c>
      <c r="D2295" s="6">
        <v>255858</v>
      </c>
      <c r="E2295" s="6">
        <v>120177</v>
      </c>
      <c r="F2295" s="14">
        <v>391348</v>
      </c>
      <c r="G2295" s="6">
        <v>197615</v>
      </c>
      <c r="H2295" s="6">
        <v>36587</v>
      </c>
      <c r="I2295" s="6">
        <v>43638</v>
      </c>
      <c r="J2295" s="6">
        <v>260261</v>
      </c>
      <c r="K2295" s="6">
        <v>425717</v>
      </c>
      <c r="L2295" s="6">
        <v>186990</v>
      </c>
      <c r="M2295" s="6">
        <v>2163654</v>
      </c>
    </row>
    <row r="2296" spans="1:13" x14ac:dyDescent="0.3">
      <c r="A2296" s="7">
        <v>42809</v>
      </c>
      <c r="B2296" s="7"/>
      <c r="C2296" s="6">
        <v>119782</v>
      </c>
      <c r="D2296" s="6">
        <v>257106</v>
      </c>
      <c r="E2296" s="6">
        <v>121444</v>
      </c>
      <c r="F2296" s="14">
        <v>386072</v>
      </c>
      <c r="G2296" s="6">
        <v>198369</v>
      </c>
      <c r="H2296" s="6">
        <v>36377</v>
      </c>
      <c r="I2296" s="6">
        <v>45890</v>
      </c>
      <c r="J2296" s="6">
        <v>259762</v>
      </c>
      <c r="K2296" s="6">
        <v>430847</v>
      </c>
      <c r="L2296" s="6">
        <v>189556</v>
      </c>
      <c r="M2296" s="6">
        <v>2203727</v>
      </c>
    </row>
    <row r="2297" spans="1:13" x14ac:dyDescent="0.3">
      <c r="A2297" s="7">
        <v>42808</v>
      </c>
      <c r="B2297" s="7"/>
      <c r="C2297" s="6">
        <v>169328</v>
      </c>
      <c r="D2297" s="6">
        <v>305025</v>
      </c>
      <c r="E2297" s="6">
        <v>176379</v>
      </c>
      <c r="F2297" s="14">
        <v>465790</v>
      </c>
      <c r="G2297" s="6">
        <v>268243</v>
      </c>
      <c r="H2297" s="6">
        <v>50501</v>
      </c>
      <c r="I2297" s="6">
        <v>73272</v>
      </c>
      <c r="J2297" s="6">
        <v>260056</v>
      </c>
      <c r="K2297" s="6">
        <v>426170</v>
      </c>
      <c r="L2297" s="6">
        <v>186936</v>
      </c>
      <c r="M2297" s="6">
        <v>2240261</v>
      </c>
    </row>
    <row r="2298" spans="1:13" x14ac:dyDescent="0.3">
      <c r="A2298" s="7">
        <v>42807</v>
      </c>
      <c r="B2298" s="7"/>
      <c r="C2298" s="6">
        <v>170086</v>
      </c>
      <c r="D2298" s="6">
        <v>301630</v>
      </c>
      <c r="E2298" s="6">
        <v>175635</v>
      </c>
      <c r="F2298" s="14">
        <v>468396</v>
      </c>
      <c r="G2298" s="6">
        <v>267993</v>
      </c>
      <c r="H2298" s="6">
        <v>49821</v>
      </c>
      <c r="I2298" s="6">
        <v>73070</v>
      </c>
      <c r="J2298" s="6">
        <v>260629</v>
      </c>
      <c r="K2298" s="6">
        <v>426020</v>
      </c>
      <c r="L2298" s="6">
        <v>188619</v>
      </c>
      <c r="M2298" s="6">
        <v>2195126</v>
      </c>
    </row>
    <row r="2299" spans="1:13" x14ac:dyDescent="0.3">
      <c r="A2299" s="7">
        <v>42804</v>
      </c>
      <c r="B2299" s="7"/>
      <c r="C2299" s="6">
        <v>171062</v>
      </c>
      <c r="D2299" s="6">
        <v>299345</v>
      </c>
      <c r="E2299" s="6">
        <v>168858</v>
      </c>
      <c r="F2299" s="14">
        <v>474582</v>
      </c>
      <c r="G2299" s="6">
        <v>268598</v>
      </c>
      <c r="H2299" s="6">
        <v>49437</v>
      </c>
      <c r="I2299" s="6">
        <v>74282</v>
      </c>
      <c r="J2299" s="6">
        <v>262556</v>
      </c>
      <c r="K2299" s="6">
        <v>418427</v>
      </c>
      <c r="L2299" s="6">
        <v>188390</v>
      </c>
      <c r="M2299" s="6">
        <v>2170753</v>
      </c>
    </row>
    <row r="2300" spans="1:13" x14ac:dyDescent="0.3">
      <c r="A2300" s="7">
        <v>42803</v>
      </c>
      <c r="B2300" s="7"/>
      <c r="C2300" s="6">
        <v>178918</v>
      </c>
      <c r="D2300" s="6">
        <v>301800</v>
      </c>
      <c r="E2300" s="6">
        <v>147301</v>
      </c>
      <c r="F2300" s="14">
        <v>442022</v>
      </c>
      <c r="G2300" s="6">
        <v>256120</v>
      </c>
      <c r="H2300" s="6">
        <v>49730</v>
      </c>
      <c r="I2300" s="6">
        <v>71520</v>
      </c>
      <c r="J2300" s="6">
        <v>261770</v>
      </c>
      <c r="K2300" s="6">
        <v>425837</v>
      </c>
      <c r="L2300" s="6">
        <v>189548</v>
      </c>
      <c r="M2300" s="6">
        <v>2165703</v>
      </c>
    </row>
    <row r="2301" spans="1:13" x14ac:dyDescent="0.3">
      <c r="A2301" s="7">
        <v>42802</v>
      </c>
      <c r="B2301" s="7"/>
      <c r="C2301" s="6">
        <v>160789</v>
      </c>
      <c r="D2301" s="6">
        <v>271620</v>
      </c>
      <c r="E2301" s="6">
        <v>147748</v>
      </c>
      <c r="F2301" s="14">
        <v>453241</v>
      </c>
      <c r="G2301" s="6">
        <v>236133</v>
      </c>
      <c r="H2301" s="6">
        <v>50433</v>
      </c>
      <c r="I2301" s="6">
        <v>60610</v>
      </c>
      <c r="J2301" s="6">
        <v>264449</v>
      </c>
      <c r="K2301" s="6">
        <v>427627</v>
      </c>
      <c r="L2301" s="6">
        <v>191422</v>
      </c>
      <c r="M2301" s="6">
        <v>2157075</v>
      </c>
    </row>
    <row r="2302" spans="1:13" x14ac:dyDescent="0.3">
      <c r="A2302" s="7">
        <v>42801</v>
      </c>
      <c r="B2302" s="7"/>
      <c r="C2302" s="6">
        <v>153365</v>
      </c>
      <c r="D2302" s="6">
        <v>262512</v>
      </c>
      <c r="E2302" s="6">
        <v>147601</v>
      </c>
      <c r="F2302" s="14">
        <v>435309</v>
      </c>
      <c r="G2302" s="6">
        <v>217982</v>
      </c>
      <c r="H2302" s="6">
        <v>51405</v>
      </c>
      <c r="I2302" s="6">
        <v>56508</v>
      </c>
      <c r="J2302" s="6">
        <v>267379</v>
      </c>
      <c r="K2302" s="6">
        <v>434401</v>
      </c>
      <c r="L2302" s="6">
        <v>192398</v>
      </c>
      <c r="M2302" s="6">
        <v>2137532</v>
      </c>
    </row>
    <row r="2303" spans="1:13" x14ac:dyDescent="0.3">
      <c r="A2303" s="7">
        <v>42800</v>
      </c>
      <c r="B2303" s="7"/>
      <c r="C2303" s="6">
        <v>147511</v>
      </c>
      <c r="D2303" s="6">
        <v>268832</v>
      </c>
      <c r="E2303" s="6">
        <v>140591</v>
      </c>
      <c r="F2303" s="14">
        <v>435763</v>
      </c>
      <c r="G2303" s="6">
        <v>222276</v>
      </c>
      <c r="H2303" s="6">
        <v>51748</v>
      </c>
      <c r="I2303" s="6">
        <v>53728</v>
      </c>
      <c r="J2303" s="6">
        <v>268499</v>
      </c>
      <c r="K2303" s="6">
        <v>439988</v>
      </c>
      <c r="L2303" s="6">
        <v>193847</v>
      </c>
      <c r="M2303" s="6">
        <v>2135806</v>
      </c>
    </row>
    <row r="2304" spans="1:13" x14ac:dyDescent="0.3">
      <c r="A2304" s="7">
        <v>42797</v>
      </c>
      <c r="B2304" s="7"/>
      <c r="C2304" s="6">
        <v>148164</v>
      </c>
      <c r="D2304" s="6">
        <v>256633</v>
      </c>
      <c r="E2304" s="6">
        <v>139103</v>
      </c>
      <c r="F2304" s="14">
        <v>439069</v>
      </c>
      <c r="G2304" s="6">
        <v>219445</v>
      </c>
      <c r="H2304" s="6">
        <v>52684</v>
      </c>
      <c r="I2304" s="6">
        <v>53196</v>
      </c>
      <c r="J2304" s="6">
        <v>267835</v>
      </c>
      <c r="K2304" s="6">
        <v>437220</v>
      </c>
      <c r="L2304" s="6">
        <v>193848</v>
      </c>
      <c r="M2304" s="6">
        <v>2121414</v>
      </c>
    </row>
    <row r="2305" spans="1:13" x14ac:dyDescent="0.3">
      <c r="A2305" s="7">
        <v>42796</v>
      </c>
      <c r="B2305" s="7"/>
      <c r="C2305" s="6">
        <v>148751</v>
      </c>
      <c r="D2305" s="6">
        <v>251445</v>
      </c>
      <c r="E2305" s="6">
        <v>139619</v>
      </c>
      <c r="F2305" s="14">
        <v>439926</v>
      </c>
      <c r="G2305" s="6">
        <v>219663</v>
      </c>
      <c r="H2305" s="6">
        <v>54907</v>
      </c>
      <c r="I2305" s="6">
        <v>51367</v>
      </c>
      <c r="J2305" s="6">
        <v>267781</v>
      </c>
      <c r="K2305" s="6">
        <v>444157</v>
      </c>
      <c r="L2305" s="6">
        <v>197332</v>
      </c>
      <c r="M2305" s="6">
        <v>2120533</v>
      </c>
    </row>
    <row r="2306" spans="1:13" x14ac:dyDescent="0.3">
      <c r="A2306" s="7">
        <v>42795</v>
      </c>
      <c r="B2306" s="7"/>
      <c r="C2306" s="6">
        <v>142621</v>
      </c>
      <c r="D2306" s="6">
        <v>244655</v>
      </c>
      <c r="E2306" s="6">
        <v>136522</v>
      </c>
      <c r="F2306" s="14">
        <v>432566</v>
      </c>
      <c r="G2306" s="6">
        <v>210557</v>
      </c>
      <c r="H2306" s="6">
        <v>55450</v>
      </c>
      <c r="I2306" s="6">
        <v>47932</v>
      </c>
      <c r="J2306" s="6">
        <v>269177</v>
      </c>
      <c r="K2306" s="6">
        <v>440842</v>
      </c>
      <c r="L2306" s="6">
        <v>199875</v>
      </c>
      <c r="M2306" s="6">
        <v>2098151</v>
      </c>
    </row>
    <row r="2307" spans="1:13" x14ac:dyDescent="0.3">
      <c r="A2307" s="7">
        <v>42794</v>
      </c>
      <c r="B2307" s="7"/>
      <c r="C2307" s="6">
        <v>141914</v>
      </c>
      <c r="D2307" s="6">
        <v>226882</v>
      </c>
      <c r="E2307" s="6">
        <v>135442</v>
      </c>
      <c r="F2307" s="14">
        <v>431635</v>
      </c>
      <c r="G2307" s="6">
        <v>204602</v>
      </c>
      <c r="H2307" s="6">
        <v>57102</v>
      </c>
      <c r="I2307" s="6">
        <v>46601</v>
      </c>
      <c r="J2307" s="6">
        <v>267935</v>
      </c>
      <c r="K2307" s="6">
        <v>446081</v>
      </c>
      <c r="L2307" s="6">
        <v>197629</v>
      </c>
      <c r="M2307" s="6">
        <v>2120334</v>
      </c>
    </row>
    <row r="2308" spans="1:13" x14ac:dyDescent="0.3">
      <c r="A2308" s="7">
        <v>42793</v>
      </c>
      <c r="B2308" s="7"/>
      <c r="C2308" s="6">
        <v>138983</v>
      </c>
      <c r="D2308" s="6">
        <v>219292</v>
      </c>
      <c r="E2308" s="6">
        <v>131323</v>
      </c>
      <c r="F2308" s="14">
        <v>426509</v>
      </c>
      <c r="G2308" s="6">
        <v>206425</v>
      </c>
      <c r="H2308" s="6">
        <v>57286</v>
      </c>
      <c r="I2308" s="6">
        <v>46263</v>
      </c>
      <c r="J2308" s="6">
        <v>267698</v>
      </c>
      <c r="K2308" s="6">
        <v>452363</v>
      </c>
      <c r="L2308" s="6">
        <v>199568</v>
      </c>
      <c r="M2308" s="6">
        <v>2118580</v>
      </c>
    </row>
    <row r="2309" spans="1:13" x14ac:dyDescent="0.3">
      <c r="A2309" s="7">
        <v>42790</v>
      </c>
      <c r="B2309" s="7"/>
      <c r="C2309" s="6">
        <v>140226</v>
      </c>
      <c r="D2309" s="6">
        <v>212331</v>
      </c>
      <c r="E2309" s="6">
        <v>135664</v>
      </c>
      <c r="F2309" s="14">
        <v>421943</v>
      </c>
      <c r="G2309" s="6">
        <v>209586</v>
      </c>
      <c r="H2309" s="6">
        <v>56769</v>
      </c>
      <c r="I2309" s="6">
        <v>45866</v>
      </c>
      <c r="J2309" s="6">
        <v>274246</v>
      </c>
      <c r="K2309" s="6">
        <v>452365</v>
      </c>
      <c r="L2309" s="6">
        <v>209299</v>
      </c>
      <c r="M2309" s="6">
        <v>2105268</v>
      </c>
    </row>
    <row r="2310" spans="1:13" x14ac:dyDescent="0.3">
      <c r="A2310" s="7">
        <v>42789</v>
      </c>
      <c r="B2310" s="7"/>
      <c r="C2310" s="6">
        <v>139323</v>
      </c>
      <c r="D2310" s="6">
        <v>218461</v>
      </c>
      <c r="E2310" s="6">
        <v>131244</v>
      </c>
      <c r="F2310" s="14">
        <v>416460</v>
      </c>
      <c r="G2310" s="6">
        <v>208458</v>
      </c>
      <c r="H2310" s="6">
        <v>56672</v>
      </c>
      <c r="I2310" s="6">
        <v>46932</v>
      </c>
      <c r="J2310" s="6">
        <v>280106</v>
      </c>
      <c r="K2310" s="6">
        <v>452040</v>
      </c>
      <c r="L2310" s="6">
        <v>212096</v>
      </c>
      <c r="M2310" s="6">
        <v>2103468</v>
      </c>
    </row>
    <row r="2311" spans="1:13" x14ac:dyDescent="0.3">
      <c r="A2311" s="7">
        <v>42788</v>
      </c>
      <c r="B2311" s="7"/>
      <c r="C2311" s="6">
        <v>139255</v>
      </c>
      <c r="D2311" s="6">
        <v>215495</v>
      </c>
      <c r="E2311" s="6">
        <v>131008</v>
      </c>
      <c r="F2311" s="14">
        <v>415010</v>
      </c>
      <c r="G2311" s="6">
        <v>205590</v>
      </c>
      <c r="H2311" s="6">
        <v>55720</v>
      </c>
      <c r="I2311" s="6">
        <v>49016</v>
      </c>
      <c r="J2311" s="6">
        <v>282342</v>
      </c>
      <c r="K2311" s="6">
        <v>429609</v>
      </c>
      <c r="L2311" s="6">
        <v>214329</v>
      </c>
      <c r="M2311" s="6">
        <v>2093740</v>
      </c>
    </row>
    <row r="2312" spans="1:13" x14ac:dyDescent="0.3">
      <c r="A2312" s="7">
        <v>42787</v>
      </c>
      <c r="B2312" s="7"/>
      <c r="C2312" s="6">
        <v>137436</v>
      </c>
      <c r="D2312" s="6">
        <v>213713</v>
      </c>
      <c r="E2312" s="6">
        <v>131522</v>
      </c>
      <c r="F2312" s="14">
        <v>417129</v>
      </c>
      <c r="G2312" s="6">
        <v>205223</v>
      </c>
      <c r="H2312" s="6">
        <v>55082</v>
      </c>
      <c r="I2312" s="6">
        <v>48398</v>
      </c>
      <c r="J2312" s="6">
        <v>283805</v>
      </c>
      <c r="K2312" s="6">
        <v>427168</v>
      </c>
      <c r="L2312" s="6">
        <v>208147</v>
      </c>
      <c r="M2312" s="6">
        <v>2103278</v>
      </c>
    </row>
    <row r="2313" spans="1:13" x14ac:dyDescent="0.3">
      <c r="A2313" s="7">
        <v>42783</v>
      </c>
      <c r="B2313" s="7"/>
      <c r="C2313" s="6">
        <v>135547</v>
      </c>
      <c r="D2313" s="6">
        <v>217528</v>
      </c>
      <c r="E2313" s="6">
        <v>129913</v>
      </c>
      <c r="F2313" s="14">
        <v>412016</v>
      </c>
      <c r="G2313" s="6">
        <v>202935</v>
      </c>
      <c r="H2313" s="6">
        <v>56316</v>
      </c>
      <c r="I2313" s="6">
        <v>47815</v>
      </c>
      <c r="J2313" s="6">
        <v>288160</v>
      </c>
      <c r="K2313" s="6">
        <v>430011</v>
      </c>
      <c r="L2313" s="6">
        <v>205602</v>
      </c>
      <c r="M2313" s="6">
        <v>2083568</v>
      </c>
    </row>
    <row r="2314" spans="1:13" x14ac:dyDescent="0.3">
      <c r="A2314" s="7">
        <v>42782</v>
      </c>
      <c r="B2314" s="7"/>
      <c r="C2314" s="6">
        <v>137318</v>
      </c>
      <c r="D2314" s="6">
        <v>210640</v>
      </c>
      <c r="E2314" s="6">
        <v>133573</v>
      </c>
      <c r="F2314" s="14">
        <v>411880</v>
      </c>
      <c r="G2314" s="6">
        <v>204872</v>
      </c>
      <c r="H2314" s="6">
        <v>56469</v>
      </c>
      <c r="I2314" s="6">
        <v>48347</v>
      </c>
      <c r="J2314" s="6">
        <v>294065</v>
      </c>
      <c r="K2314" s="6">
        <v>429147</v>
      </c>
      <c r="L2314" s="6">
        <v>204517</v>
      </c>
      <c r="M2314" s="6">
        <v>2117062</v>
      </c>
    </row>
    <row r="2315" spans="1:13" x14ac:dyDescent="0.3">
      <c r="A2315" s="7">
        <v>42781</v>
      </c>
      <c r="B2315" s="7"/>
      <c r="C2315" s="6">
        <v>133904</v>
      </c>
      <c r="D2315" s="6">
        <v>214226</v>
      </c>
      <c r="E2315" s="6">
        <v>126675</v>
      </c>
      <c r="F2315" s="14">
        <v>406182</v>
      </c>
      <c r="G2315" s="6">
        <v>205053</v>
      </c>
      <c r="H2315" s="6">
        <v>56346</v>
      </c>
      <c r="I2315" s="6">
        <v>47052</v>
      </c>
      <c r="J2315" s="6">
        <v>298007</v>
      </c>
      <c r="K2315" s="6">
        <v>420146</v>
      </c>
      <c r="L2315" s="6">
        <v>199203</v>
      </c>
      <c r="M2315" s="6">
        <v>2152965</v>
      </c>
    </row>
    <row r="2316" spans="1:13" x14ac:dyDescent="0.3">
      <c r="A2316" s="7">
        <v>42780</v>
      </c>
      <c r="B2316" s="7"/>
      <c r="C2316" s="6">
        <v>127869</v>
      </c>
      <c r="D2316" s="6">
        <v>212044</v>
      </c>
      <c r="E2316" s="6">
        <v>125056</v>
      </c>
      <c r="F2316" s="14">
        <v>406350</v>
      </c>
      <c r="G2316" s="6">
        <v>204277</v>
      </c>
      <c r="H2316" s="6">
        <v>56314</v>
      </c>
      <c r="I2316" s="6">
        <v>47482</v>
      </c>
      <c r="J2316" s="6">
        <v>296125</v>
      </c>
      <c r="K2316" s="6">
        <v>415128</v>
      </c>
      <c r="L2316" s="6">
        <v>195338</v>
      </c>
      <c r="M2316" s="6">
        <v>2183943</v>
      </c>
    </row>
    <row r="2317" spans="1:13" x14ac:dyDescent="0.3">
      <c r="A2317" s="7">
        <v>42779</v>
      </c>
      <c r="B2317" s="7"/>
      <c r="C2317" s="6">
        <v>123798</v>
      </c>
      <c r="D2317" s="6">
        <v>209842</v>
      </c>
      <c r="E2317" s="6">
        <v>125450</v>
      </c>
      <c r="F2317" s="14">
        <v>407912</v>
      </c>
      <c r="G2317" s="6">
        <v>201951</v>
      </c>
      <c r="H2317" s="6">
        <v>55546</v>
      </c>
      <c r="I2317" s="6">
        <v>47803</v>
      </c>
      <c r="J2317" s="6">
        <v>300996</v>
      </c>
      <c r="K2317" s="6">
        <v>407851</v>
      </c>
      <c r="L2317" s="6">
        <v>196090</v>
      </c>
      <c r="M2317" s="6">
        <v>2196085</v>
      </c>
    </row>
    <row r="2318" spans="1:13" x14ac:dyDescent="0.3">
      <c r="A2318" s="7">
        <v>42776</v>
      </c>
      <c r="B2318" s="7"/>
      <c r="C2318" s="6">
        <v>124181</v>
      </c>
      <c r="D2318" s="6">
        <v>208367</v>
      </c>
      <c r="E2318" s="6">
        <v>125995</v>
      </c>
      <c r="F2318" s="14">
        <v>403278</v>
      </c>
      <c r="G2318" s="6">
        <v>202814</v>
      </c>
      <c r="H2318" s="6">
        <v>55349</v>
      </c>
      <c r="I2318" s="6">
        <v>47923</v>
      </c>
      <c r="J2318" s="6">
        <v>297286</v>
      </c>
      <c r="K2318" s="6">
        <v>410743</v>
      </c>
      <c r="L2318" s="6">
        <v>195053</v>
      </c>
      <c r="M2318" s="6">
        <v>2168938</v>
      </c>
    </row>
    <row r="2319" spans="1:13" x14ac:dyDescent="0.3">
      <c r="A2319" s="7">
        <v>42775</v>
      </c>
      <c r="B2319" s="7"/>
      <c r="C2319" s="6">
        <v>118666</v>
      </c>
      <c r="D2319" s="6">
        <v>209216</v>
      </c>
      <c r="E2319" s="6">
        <v>120452</v>
      </c>
      <c r="F2319" s="14">
        <v>402740</v>
      </c>
      <c r="G2319" s="6">
        <v>200195</v>
      </c>
      <c r="H2319" s="6">
        <v>55145</v>
      </c>
      <c r="I2319" s="6">
        <v>48259</v>
      </c>
      <c r="J2319" s="6">
        <v>289979</v>
      </c>
      <c r="K2319" s="6">
        <v>417117</v>
      </c>
      <c r="L2319" s="6">
        <v>192661</v>
      </c>
      <c r="M2319" s="6">
        <v>2142835</v>
      </c>
    </row>
    <row r="2320" spans="1:13" x14ac:dyDescent="0.3">
      <c r="A2320" s="7">
        <v>42774</v>
      </c>
      <c r="B2320" s="7"/>
      <c r="C2320" s="6">
        <v>117709</v>
      </c>
      <c r="D2320" s="6">
        <v>210490</v>
      </c>
      <c r="E2320" s="6">
        <v>119457</v>
      </c>
      <c r="F2320" s="14">
        <v>402699</v>
      </c>
      <c r="G2320" s="6">
        <v>201965</v>
      </c>
      <c r="H2320" s="6">
        <v>55726</v>
      </c>
      <c r="I2320" s="6">
        <v>48036</v>
      </c>
      <c r="J2320" s="6">
        <v>293509</v>
      </c>
      <c r="K2320" s="6">
        <v>424071</v>
      </c>
      <c r="L2320" s="6">
        <v>191380</v>
      </c>
      <c r="M2320" s="6">
        <v>2158345</v>
      </c>
    </row>
    <row r="2321" spans="1:13" x14ac:dyDescent="0.3">
      <c r="A2321" s="7">
        <v>42773</v>
      </c>
      <c r="B2321" s="7"/>
      <c r="C2321" s="6">
        <v>114105</v>
      </c>
      <c r="D2321" s="6">
        <v>211013</v>
      </c>
      <c r="E2321" s="6">
        <v>118424</v>
      </c>
      <c r="F2321" s="14">
        <v>409178</v>
      </c>
      <c r="G2321" s="6">
        <v>201632</v>
      </c>
      <c r="H2321" s="6">
        <v>54073</v>
      </c>
      <c r="I2321" s="6">
        <v>48883</v>
      </c>
      <c r="J2321" s="6">
        <v>291924</v>
      </c>
      <c r="K2321" s="6">
        <v>415543</v>
      </c>
      <c r="L2321" s="6">
        <v>193936</v>
      </c>
      <c r="M2321" s="6">
        <v>2191158</v>
      </c>
    </row>
    <row r="2322" spans="1:13" x14ac:dyDescent="0.3">
      <c r="A2322" s="7">
        <v>42772</v>
      </c>
      <c r="B2322" s="7"/>
      <c r="C2322" s="6">
        <v>111554</v>
      </c>
      <c r="D2322" s="6">
        <v>208404</v>
      </c>
      <c r="E2322" s="6">
        <v>119024</v>
      </c>
      <c r="F2322" s="14">
        <v>404216</v>
      </c>
      <c r="G2322" s="6">
        <v>204158</v>
      </c>
      <c r="H2322" s="6">
        <v>53565</v>
      </c>
      <c r="I2322" s="6">
        <v>48838</v>
      </c>
      <c r="J2322" s="6">
        <v>293014</v>
      </c>
      <c r="K2322" s="6">
        <v>411275</v>
      </c>
      <c r="L2322" s="6">
        <v>193336</v>
      </c>
      <c r="M2322" s="6">
        <v>2198871</v>
      </c>
    </row>
    <row r="2323" spans="1:13" x14ac:dyDescent="0.3">
      <c r="A2323" s="7">
        <v>42769</v>
      </c>
      <c r="B2323" s="7"/>
      <c r="C2323" s="6">
        <v>109228</v>
      </c>
      <c r="D2323" s="6">
        <v>207200</v>
      </c>
      <c r="E2323" s="6">
        <v>118838</v>
      </c>
      <c r="F2323" s="14">
        <v>402161</v>
      </c>
      <c r="G2323" s="6">
        <v>201154</v>
      </c>
      <c r="H2323" s="6">
        <v>53054</v>
      </c>
      <c r="I2323" s="6">
        <v>48572</v>
      </c>
      <c r="J2323" s="6">
        <v>294127</v>
      </c>
      <c r="K2323" s="6">
        <v>401741</v>
      </c>
      <c r="L2323" s="6">
        <v>190467</v>
      </c>
      <c r="M2323" s="6">
        <v>2194828</v>
      </c>
    </row>
    <row r="2324" spans="1:13" x14ac:dyDescent="0.3">
      <c r="A2324" s="7">
        <v>42768</v>
      </c>
      <c r="B2324" s="7"/>
      <c r="C2324" s="6">
        <v>107792</v>
      </c>
      <c r="D2324" s="6">
        <v>208388</v>
      </c>
      <c r="E2324" s="6">
        <v>117761</v>
      </c>
      <c r="F2324" s="14">
        <v>404132</v>
      </c>
      <c r="G2324" s="6">
        <v>202358</v>
      </c>
      <c r="H2324" s="6">
        <v>51995</v>
      </c>
      <c r="I2324" s="6">
        <v>49319</v>
      </c>
      <c r="J2324" s="6">
        <v>297721</v>
      </c>
      <c r="K2324" s="6">
        <v>400417</v>
      </c>
      <c r="L2324" s="6">
        <v>190571</v>
      </c>
      <c r="M2324" s="6">
        <v>2194738</v>
      </c>
    </row>
    <row r="2325" spans="1:13" x14ac:dyDescent="0.3">
      <c r="A2325" s="7">
        <v>42767</v>
      </c>
      <c r="B2325" s="7"/>
      <c r="C2325" s="6">
        <v>101422</v>
      </c>
      <c r="D2325" s="6">
        <v>213416</v>
      </c>
      <c r="E2325" s="6">
        <v>114125</v>
      </c>
      <c r="F2325" s="14">
        <v>403947</v>
      </c>
      <c r="G2325" s="6">
        <v>202353</v>
      </c>
      <c r="H2325" s="6">
        <v>51318</v>
      </c>
      <c r="I2325" s="6">
        <v>49145</v>
      </c>
      <c r="J2325" s="6">
        <v>297830</v>
      </c>
      <c r="K2325" s="6">
        <v>394960</v>
      </c>
      <c r="L2325" s="6">
        <v>188197</v>
      </c>
      <c r="M2325" s="6">
        <v>2193588</v>
      </c>
    </row>
    <row r="2326" spans="1:13" x14ac:dyDescent="0.3">
      <c r="A2326" s="7">
        <v>42766</v>
      </c>
      <c r="B2326" s="7"/>
      <c r="C2326" s="6">
        <v>101420</v>
      </c>
      <c r="D2326" s="6">
        <v>211910</v>
      </c>
      <c r="E2326" s="6">
        <v>114274</v>
      </c>
      <c r="F2326" s="14">
        <v>405541</v>
      </c>
      <c r="G2326" s="6">
        <v>204494</v>
      </c>
      <c r="H2326" s="6">
        <v>51587</v>
      </c>
      <c r="I2326" s="6">
        <v>49558</v>
      </c>
      <c r="J2326" s="6">
        <v>291702</v>
      </c>
      <c r="K2326" s="6">
        <v>398433</v>
      </c>
      <c r="L2326" s="6">
        <v>186839</v>
      </c>
      <c r="M2326" s="6">
        <v>2182525</v>
      </c>
    </row>
    <row r="2327" spans="1:13" x14ac:dyDescent="0.3">
      <c r="A2327" s="7">
        <v>42765</v>
      </c>
      <c r="B2327" s="7"/>
      <c r="C2327" s="6">
        <v>101220</v>
      </c>
      <c r="D2327" s="6">
        <v>212031</v>
      </c>
      <c r="E2327" s="6">
        <v>108572</v>
      </c>
      <c r="F2327" s="14">
        <v>400533</v>
      </c>
      <c r="G2327" s="6">
        <v>201032</v>
      </c>
      <c r="H2327" s="6">
        <v>50213</v>
      </c>
      <c r="I2327" s="6">
        <v>46513</v>
      </c>
      <c r="J2327" s="6">
        <v>284530</v>
      </c>
      <c r="K2327" s="6">
        <v>391449</v>
      </c>
      <c r="L2327" s="6">
        <v>181183</v>
      </c>
      <c r="M2327" s="6">
        <v>2178107</v>
      </c>
    </row>
    <row r="2328" spans="1:13" x14ac:dyDescent="0.3">
      <c r="A2328" s="7">
        <v>42762</v>
      </c>
      <c r="B2328" s="7"/>
      <c r="C2328" s="6">
        <v>101701</v>
      </c>
      <c r="D2328" s="6">
        <v>217709</v>
      </c>
      <c r="E2328" s="6">
        <v>106440</v>
      </c>
      <c r="F2328" s="14">
        <v>404331</v>
      </c>
      <c r="G2328" s="6">
        <v>199980</v>
      </c>
      <c r="H2328" s="6">
        <v>48511</v>
      </c>
      <c r="I2328" s="6">
        <v>45383</v>
      </c>
      <c r="J2328" s="6">
        <v>283595</v>
      </c>
      <c r="K2328" s="6">
        <v>395594</v>
      </c>
      <c r="L2328" s="6">
        <v>179666</v>
      </c>
      <c r="M2328" s="6">
        <v>2161802</v>
      </c>
    </row>
    <row r="2329" spans="1:13" x14ac:dyDescent="0.3">
      <c r="A2329" s="7">
        <v>42761</v>
      </c>
      <c r="B2329" s="7"/>
      <c r="C2329" s="6">
        <v>101453</v>
      </c>
      <c r="D2329" s="6">
        <v>223626</v>
      </c>
      <c r="E2329" s="6">
        <v>104579</v>
      </c>
      <c r="F2329" s="14">
        <v>405334</v>
      </c>
      <c r="G2329" s="6">
        <v>199353</v>
      </c>
      <c r="H2329" s="6">
        <v>46495</v>
      </c>
      <c r="I2329" s="6">
        <v>44620</v>
      </c>
      <c r="J2329" s="6">
        <v>280106</v>
      </c>
      <c r="K2329" s="6">
        <v>438856</v>
      </c>
      <c r="L2329" s="6">
        <v>177408</v>
      </c>
      <c r="M2329" s="6">
        <v>2144386</v>
      </c>
    </row>
    <row r="2330" spans="1:13" x14ac:dyDescent="0.3">
      <c r="A2330" s="7">
        <v>42760</v>
      </c>
      <c r="B2330" s="7"/>
      <c r="C2330" s="6">
        <v>99002</v>
      </c>
      <c r="D2330" s="6">
        <v>225714</v>
      </c>
      <c r="E2330" s="6">
        <v>102364</v>
      </c>
      <c r="F2330" s="14">
        <v>414119</v>
      </c>
      <c r="G2330" s="6">
        <v>199242</v>
      </c>
      <c r="H2330" s="6">
        <v>45471</v>
      </c>
      <c r="I2330" s="6">
        <v>45345</v>
      </c>
      <c r="J2330" s="6">
        <v>274518</v>
      </c>
      <c r="K2330" s="6">
        <v>470492</v>
      </c>
      <c r="L2330" s="6">
        <v>177295</v>
      </c>
      <c r="M2330" s="6">
        <v>2128246</v>
      </c>
    </row>
    <row r="2331" spans="1:13" x14ac:dyDescent="0.3">
      <c r="A2331" s="7">
        <v>42759</v>
      </c>
      <c r="B2331" s="7"/>
      <c r="C2331" s="6">
        <v>94379</v>
      </c>
      <c r="D2331" s="6">
        <v>223681</v>
      </c>
      <c r="E2331" s="6">
        <v>99574</v>
      </c>
      <c r="F2331" s="14">
        <v>414447</v>
      </c>
      <c r="G2331" s="6">
        <v>196765</v>
      </c>
      <c r="H2331" s="6">
        <v>44940</v>
      </c>
      <c r="I2331" s="6">
        <v>45493</v>
      </c>
      <c r="J2331" s="6">
        <v>270892</v>
      </c>
      <c r="K2331" s="6">
        <v>482374</v>
      </c>
      <c r="L2331" s="6">
        <v>177601</v>
      </c>
      <c r="M2331" s="6">
        <v>2151809</v>
      </c>
    </row>
    <row r="2332" spans="1:13" x14ac:dyDescent="0.3">
      <c r="A2332" s="7">
        <v>42758</v>
      </c>
      <c r="B2332" s="7"/>
      <c r="C2332" s="6">
        <v>89833</v>
      </c>
      <c r="D2332" s="6">
        <v>223836</v>
      </c>
      <c r="E2332" s="6">
        <v>96490</v>
      </c>
      <c r="F2332" s="14">
        <v>415990</v>
      </c>
      <c r="G2332" s="6">
        <v>200169</v>
      </c>
      <c r="H2332" s="6">
        <v>45650</v>
      </c>
      <c r="I2332" s="6">
        <v>45692</v>
      </c>
      <c r="J2332" s="6">
        <v>259370</v>
      </c>
      <c r="K2332" s="6">
        <v>483408</v>
      </c>
      <c r="L2332" s="6">
        <v>176641</v>
      </c>
      <c r="M2332" s="6">
        <v>2156946</v>
      </c>
    </row>
    <row r="2333" spans="1:13" x14ac:dyDescent="0.3">
      <c r="A2333" s="7">
        <v>42755</v>
      </c>
      <c r="B2333" s="7"/>
      <c r="C2333" s="6">
        <v>89280</v>
      </c>
      <c r="D2333" s="6">
        <v>223347</v>
      </c>
      <c r="E2333" s="6">
        <v>98028</v>
      </c>
      <c r="F2333" s="14">
        <v>418070</v>
      </c>
      <c r="G2333" s="6">
        <v>199257</v>
      </c>
      <c r="H2333" s="6">
        <v>44779</v>
      </c>
      <c r="I2333" s="6">
        <v>45244</v>
      </c>
      <c r="J2333" s="6">
        <v>257785</v>
      </c>
      <c r="K2333" s="6">
        <v>478792</v>
      </c>
      <c r="L2333" s="6">
        <v>174668</v>
      </c>
      <c r="M2333" s="6">
        <v>2148710</v>
      </c>
    </row>
    <row r="2334" spans="1:13" x14ac:dyDescent="0.3">
      <c r="A2334" s="7">
        <v>42754</v>
      </c>
      <c r="B2334" s="7"/>
      <c r="C2334" s="6">
        <v>88083</v>
      </c>
      <c r="D2334" s="6">
        <v>225264</v>
      </c>
      <c r="E2334" s="6">
        <v>98645</v>
      </c>
      <c r="F2334" s="14">
        <v>413731</v>
      </c>
      <c r="G2334" s="6">
        <v>203075</v>
      </c>
      <c r="H2334" s="6">
        <v>45011</v>
      </c>
      <c r="I2334" s="6">
        <v>45820</v>
      </c>
      <c r="J2334" s="6">
        <v>254258</v>
      </c>
      <c r="K2334" s="6">
        <v>475227</v>
      </c>
      <c r="L2334" s="6">
        <v>172592</v>
      </c>
      <c r="M2334" s="6">
        <v>2142725</v>
      </c>
    </row>
    <row r="2335" spans="1:13" x14ac:dyDescent="0.3">
      <c r="A2335" s="7">
        <v>42753</v>
      </c>
      <c r="B2335" s="7"/>
      <c r="C2335" s="6">
        <v>86799</v>
      </c>
      <c r="D2335" s="6">
        <v>224864</v>
      </c>
      <c r="E2335" s="6">
        <v>99675</v>
      </c>
      <c r="F2335" s="14">
        <v>413236</v>
      </c>
      <c r="G2335" s="6">
        <v>208585</v>
      </c>
      <c r="H2335" s="6">
        <v>46140</v>
      </c>
      <c r="I2335" s="6">
        <v>45626</v>
      </c>
      <c r="J2335" s="6">
        <v>254073</v>
      </c>
      <c r="K2335" s="6">
        <v>465624</v>
      </c>
      <c r="L2335" s="6">
        <v>174217</v>
      </c>
      <c r="M2335" s="6">
        <v>2153684</v>
      </c>
    </row>
    <row r="2336" spans="1:13" x14ac:dyDescent="0.3">
      <c r="A2336" s="7">
        <v>42752</v>
      </c>
      <c r="B2336" s="7"/>
      <c r="C2336" s="6">
        <v>87631</v>
      </c>
      <c r="D2336" s="6">
        <v>228782</v>
      </c>
      <c r="E2336" s="6">
        <v>100307</v>
      </c>
      <c r="F2336" s="14">
        <v>415090</v>
      </c>
      <c r="G2336" s="6">
        <v>211752</v>
      </c>
      <c r="H2336" s="6">
        <v>45994</v>
      </c>
      <c r="I2336" s="6">
        <v>45713</v>
      </c>
      <c r="J2336" s="6">
        <v>251782</v>
      </c>
      <c r="K2336" s="6">
        <v>467937</v>
      </c>
      <c r="L2336" s="6">
        <v>172056</v>
      </c>
      <c r="M2336" s="6">
        <v>2179122</v>
      </c>
    </row>
    <row r="2337" spans="1:13" x14ac:dyDescent="0.3">
      <c r="A2337" s="7">
        <v>42748</v>
      </c>
      <c r="B2337" s="7"/>
      <c r="C2337" s="6">
        <v>92688</v>
      </c>
      <c r="D2337" s="6">
        <v>229982</v>
      </c>
      <c r="E2337" s="6">
        <v>94338</v>
      </c>
      <c r="F2337" s="14">
        <v>416274</v>
      </c>
      <c r="G2337" s="6">
        <v>208106</v>
      </c>
      <c r="H2337" s="6">
        <v>45012</v>
      </c>
      <c r="I2337" s="6">
        <v>48014</v>
      </c>
      <c r="J2337" s="6">
        <v>252024</v>
      </c>
      <c r="K2337" s="6">
        <v>454424</v>
      </c>
      <c r="L2337" s="6">
        <v>168588</v>
      </c>
      <c r="M2337" s="6">
        <v>2186644</v>
      </c>
    </row>
    <row r="2338" spans="1:13" x14ac:dyDescent="0.3">
      <c r="A2338" s="7">
        <v>42747</v>
      </c>
      <c r="B2338" s="7"/>
      <c r="C2338" s="6">
        <v>95265</v>
      </c>
      <c r="D2338" s="6">
        <v>229925</v>
      </c>
      <c r="E2338" s="6">
        <v>94368</v>
      </c>
      <c r="F2338" s="14">
        <v>414991</v>
      </c>
      <c r="G2338" s="6">
        <v>209665</v>
      </c>
      <c r="H2338" s="6">
        <v>45114</v>
      </c>
      <c r="I2338" s="6">
        <v>49578</v>
      </c>
      <c r="J2338" s="1">
        <v>246151</v>
      </c>
      <c r="K2338" s="6">
        <v>452370</v>
      </c>
      <c r="L2338" s="15">
        <v>167986</v>
      </c>
      <c r="M2338" s="6">
        <v>2157994</v>
      </c>
    </row>
    <row r="2339" spans="1:13" x14ac:dyDescent="0.3">
      <c r="A2339" s="7">
        <v>42746</v>
      </c>
      <c r="B2339" s="7"/>
      <c r="C2339" s="6">
        <v>98110</v>
      </c>
      <c r="D2339" s="6">
        <v>228609</v>
      </c>
      <c r="E2339" s="6">
        <v>93091</v>
      </c>
      <c r="F2339" s="14">
        <v>417407</v>
      </c>
      <c r="G2339" s="6">
        <v>208594</v>
      </c>
      <c r="H2339" s="6">
        <v>44485</v>
      </c>
      <c r="I2339" s="6">
        <v>50625</v>
      </c>
      <c r="J2339" s="1">
        <v>230178.486</v>
      </c>
      <c r="K2339" s="6">
        <v>445590</v>
      </c>
      <c r="L2339" s="15">
        <v>165043.49100000001</v>
      </c>
      <c r="M2339" s="6">
        <v>2157830</v>
      </c>
    </row>
    <row r="2340" spans="1:13" x14ac:dyDescent="0.3">
      <c r="A2340" s="7">
        <v>42745</v>
      </c>
      <c r="B2340" s="7"/>
      <c r="C2340" s="6">
        <v>96885</v>
      </c>
      <c r="D2340" s="6">
        <v>228050</v>
      </c>
      <c r="E2340" s="6">
        <v>90632</v>
      </c>
      <c r="F2340" s="14">
        <v>415212</v>
      </c>
      <c r="G2340" s="6">
        <v>209488</v>
      </c>
      <c r="H2340" s="6">
        <v>43936</v>
      </c>
      <c r="I2340" s="6">
        <v>50253</v>
      </c>
      <c r="J2340" s="1">
        <v>230175.46799999999</v>
      </c>
      <c r="K2340" s="6">
        <v>444001</v>
      </c>
      <c r="L2340" s="15">
        <v>165040</v>
      </c>
      <c r="M2340" s="6">
        <v>2114656</v>
      </c>
    </row>
    <row r="2341" spans="1:13" x14ac:dyDescent="0.3">
      <c r="A2341" s="7">
        <v>42744</v>
      </c>
      <c r="B2341" s="7"/>
      <c r="C2341" s="6">
        <v>96978</v>
      </c>
      <c r="D2341" s="6">
        <v>228457</v>
      </c>
      <c r="E2341" s="6">
        <v>90694</v>
      </c>
      <c r="F2341" s="14">
        <v>418295</v>
      </c>
      <c r="G2341" s="6">
        <v>205422</v>
      </c>
      <c r="H2341" s="6">
        <v>43804</v>
      </c>
      <c r="I2341" s="6">
        <v>50039</v>
      </c>
      <c r="J2341" s="1">
        <v>230169</v>
      </c>
      <c r="K2341" s="6">
        <v>440398</v>
      </c>
      <c r="L2341" s="15">
        <v>165347</v>
      </c>
      <c r="M2341" s="6">
        <v>2114006</v>
      </c>
    </row>
    <row r="2342" spans="1:13" x14ac:dyDescent="0.3">
      <c r="A2342" s="7">
        <v>42741</v>
      </c>
      <c r="B2342" s="7"/>
      <c r="C2342" s="6">
        <v>97456</v>
      </c>
      <c r="D2342" s="6">
        <v>221178</v>
      </c>
      <c r="E2342" s="6">
        <v>90044</v>
      </c>
      <c r="F2342" s="14">
        <v>417976</v>
      </c>
      <c r="G2342" s="6">
        <v>210528</v>
      </c>
      <c r="H2342" s="6">
        <v>43755</v>
      </c>
      <c r="I2342" s="6">
        <v>51565</v>
      </c>
      <c r="J2342" s="1">
        <v>229213</v>
      </c>
      <c r="K2342" s="6">
        <v>429300</v>
      </c>
      <c r="L2342" s="15">
        <v>165852</v>
      </c>
      <c r="M2342" s="6">
        <v>2112926</v>
      </c>
    </row>
    <row r="2343" spans="1:13" x14ac:dyDescent="0.3">
      <c r="A2343" s="7">
        <v>42740</v>
      </c>
      <c r="B2343" s="7"/>
      <c r="C2343" s="6">
        <v>102778</v>
      </c>
      <c r="D2343" s="6">
        <v>220675</v>
      </c>
      <c r="E2343" s="6">
        <v>91048</v>
      </c>
      <c r="F2343" s="14">
        <v>420112</v>
      </c>
      <c r="G2343" s="6">
        <v>210619</v>
      </c>
      <c r="H2343" s="6">
        <v>44168</v>
      </c>
      <c r="I2343" s="6">
        <v>52177</v>
      </c>
      <c r="J2343" s="1">
        <v>228221</v>
      </c>
      <c r="K2343" s="6">
        <v>431823</v>
      </c>
      <c r="L2343" s="15">
        <v>165537</v>
      </c>
      <c r="M2343" s="6">
        <v>2104746</v>
      </c>
    </row>
    <row r="2344" spans="1:13" x14ac:dyDescent="0.3">
      <c r="A2344" s="7">
        <v>42739</v>
      </c>
      <c r="B2344" s="7"/>
      <c r="C2344" s="6">
        <v>105627</v>
      </c>
      <c r="D2344" s="6">
        <v>221960</v>
      </c>
      <c r="E2344" s="6">
        <v>94793</v>
      </c>
      <c r="F2344" s="14">
        <v>419748</v>
      </c>
      <c r="G2344" s="6">
        <v>217034</v>
      </c>
      <c r="H2344" s="6">
        <v>44895</v>
      </c>
      <c r="I2344" s="6">
        <v>53986</v>
      </c>
      <c r="J2344" s="1">
        <v>228912</v>
      </c>
      <c r="K2344" s="6">
        <v>423608</v>
      </c>
      <c r="L2344" s="15">
        <v>164365</v>
      </c>
      <c r="M2344" s="6">
        <v>2100807</v>
      </c>
    </row>
    <row r="2345" spans="1:13" x14ac:dyDescent="0.3">
      <c r="A2345" s="7">
        <v>42738</v>
      </c>
      <c r="B2345" s="7"/>
      <c r="C2345" s="6">
        <v>104009</v>
      </c>
      <c r="D2345" s="6">
        <v>225396</v>
      </c>
      <c r="E2345" s="6">
        <v>98751</v>
      </c>
      <c r="F2345" s="14">
        <v>416239</v>
      </c>
      <c r="G2345" s="6">
        <v>220120</v>
      </c>
      <c r="H2345" s="6">
        <v>44227</v>
      </c>
      <c r="I2345" s="6">
        <v>53455</v>
      </c>
      <c r="J2345" s="1">
        <v>223874</v>
      </c>
      <c r="K2345" s="6">
        <v>424673</v>
      </c>
      <c r="L2345" s="15">
        <v>163812</v>
      </c>
      <c r="M2345" s="6">
        <v>2089324</v>
      </c>
    </row>
    <row r="2346" spans="1:13" x14ac:dyDescent="0.3">
      <c r="A2346" s="7">
        <v>42734</v>
      </c>
      <c r="B2346" s="7"/>
      <c r="C2346" s="6">
        <v>97512</v>
      </c>
      <c r="D2346" s="6">
        <v>215853</v>
      </c>
      <c r="E2346" s="6">
        <v>96785</v>
      </c>
      <c r="F2346" s="14">
        <v>408748</v>
      </c>
      <c r="G2346" s="6">
        <v>212942</v>
      </c>
      <c r="H2346" s="6">
        <v>43471</v>
      </c>
      <c r="I2346" s="6">
        <v>54063</v>
      </c>
      <c r="J2346" s="1">
        <v>224109</v>
      </c>
      <c r="K2346" s="6">
        <v>423354</v>
      </c>
      <c r="L2346" s="15">
        <v>164787</v>
      </c>
      <c r="M2346" s="6">
        <v>2064365</v>
      </c>
    </row>
    <row r="2347" spans="1:13" x14ac:dyDescent="0.3">
      <c r="A2347" s="7">
        <v>42733</v>
      </c>
      <c r="B2347" s="7"/>
      <c r="C2347" s="1"/>
      <c r="D2347" s="1"/>
      <c r="E2347" s="1"/>
      <c r="F2347" s="14"/>
      <c r="G2347" s="1"/>
      <c r="H2347" s="1"/>
      <c r="I2347" s="1"/>
      <c r="J2347" s="1"/>
      <c r="K2347" s="6">
        <v>415510</v>
      </c>
      <c r="L2347" s="15">
        <v>164401</v>
      </c>
      <c r="M2347" s="6">
        <v>2051248</v>
      </c>
    </row>
    <row r="2348" spans="1:13" x14ac:dyDescent="0.3">
      <c r="A2348" s="7">
        <v>42732</v>
      </c>
      <c r="B2348" s="7"/>
      <c r="C2348" s="1"/>
      <c r="D2348" s="1"/>
      <c r="E2348" s="1"/>
      <c r="F2348" s="14"/>
      <c r="G2348" s="1"/>
      <c r="H2348" s="1"/>
      <c r="I2348" s="1"/>
      <c r="J2348" s="1"/>
      <c r="K2348" s="6">
        <v>405266</v>
      </c>
      <c r="L2348" s="15">
        <v>163669</v>
      </c>
      <c r="M2348" s="6">
        <v>2036787</v>
      </c>
    </row>
    <row r="2349" spans="1:13" x14ac:dyDescent="0.3">
      <c r="A2349" s="7">
        <v>42731</v>
      </c>
      <c r="B2349" s="7"/>
      <c r="C2349" s="1"/>
      <c r="D2349" s="1"/>
      <c r="E2349" s="1"/>
      <c r="F2349" s="14"/>
      <c r="G2349" s="1"/>
      <c r="H2349" s="1"/>
      <c r="I2349" s="1"/>
      <c r="J2349" s="1"/>
      <c r="K2349" s="6">
        <v>401513</v>
      </c>
      <c r="L2349" s="15">
        <v>163097</v>
      </c>
      <c r="M2349" s="6">
        <v>2037834</v>
      </c>
    </row>
    <row r="2350" spans="1:13" x14ac:dyDescent="0.3">
      <c r="A2350" s="7">
        <v>42727</v>
      </c>
      <c r="B2350" s="7"/>
      <c r="C2350" s="1"/>
      <c r="D2350" s="1"/>
      <c r="E2350" s="1"/>
      <c r="F2350" s="14"/>
      <c r="G2350" s="1"/>
      <c r="H2350" s="1"/>
      <c r="I2350" s="1"/>
      <c r="J2350" s="1"/>
      <c r="K2350" s="6">
        <v>407335</v>
      </c>
      <c r="L2350" s="15">
        <v>161953</v>
      </c>
      <c r="M2350" s="6">
        <v>2028416</v>
      </c>
    </row>
    <row r="2351" spans="1:13" x14ac:dyDescent="0.3">
      <c r="A2351" s="8" t="s">
        <v>1</v>
      </c>
      <c r="B2351" s="8"/>
      <c r="C2351" s="1"/>
      <c r="D2351" s="1"/>
      <c r="E2351" s="1"/>
      <c r="F2351" s="26"/>
      <c r="G2351" s="1"/>
      <c r="H2351" s="1"/>
      <c r="I2351" s="1"/>
      <c r="J2351" s="1"/>
      <c r="K2351" s="9">
        <v>402653</v>
      </c>
      <c r="L2351" s="15">
        <v>161272</v>
      </c>
      <c r="M2351" s="6">
        <v>2045578</v>
      </c>
    </row>
    <row r="2352" spans="1:13" x14ac:dyDescent="0.3">
      <c r="A2352" s="8" t="s">
        <v>2</v>
      </c>
      <c r="B2352" s="8"/>
      <c r="C2352" s="1"/>
      <c r="D2352" s="1"/>
      <c r="E2352" s="1"/>
      <c r="F2352" s="26"/>
      <c r="G2352" s="1"/>
      <c r="H2352" s="1"/>
      <c r="I2352" s="1"/>
      <c r="J2352" s="1"/>
      <c r="K2352" s="9">
        <v>401021</v>
      </c>
      <c r="L2352" s="15">
        <v>160049</v>
      </c>
      <c r="M2352" s="6">
        <v>2031486</v>
      </c>
    </row>
    <row r="2353" spans="1:13" x14ac:dyDescent="0.3">
      <c r="A2353" s="8" t="s">
        <v>3</v>
      </c>
      <c r="B2353" s="8"/>
      <c r="C2353" s="1"/>
      <c r="D2353" s="1"/>
      <c r="E2353" s="1"/>
      <c r="F2353" s="26"/>
      <c r="G2353" s="1"/>
      <c r="H2353" s="1"/>
      <c r="I2353" s="1"/>
      <c r="J2353" s="1"/>
      <c r="K2353" s="9">
        <v>398661</v>
      </c>
      <c r="L2353" s="15">
        <v>159697</v>
      </c>
      <c r="M2353" s="5">
        <v>2029800</v>
      </c>
    </row>
    <row r="2354" spans="1:13" x14ac:dyDescent="0.3">
      <c r="A2354" s="8" t="s">
        <v>4</v>
      </c>
      <c r="B2354" s="8"/>
      <c r="C2354" s="1"/>
      <c r="D2354" s="1"/>
      <c r="E2354" s="1"/>
      <c r="F2354" s="26"/>
      <c r="G2354" s="1"/>
      <c r="H2354" s="1"/>
      <c r="I2354" s="1"/>
      <c r="J2354" s="1"/>
      <c r="K2354" s="9">
        <v>400742</v>
      </c>
      <c r="L2354" s="15">
        <v>160229</v>
      </c>
      <c r="M2354" s="5">
        <v>2040805</v>
      </c>
    </row>
    <row r="2355" spans="1:13" x14ac:dyDescent="0.3">
      <c r="A2355" s="8" t="s">
        <v>5</v>
      </c>
      <c r="B2355" s="8"/>
      <c r="C2355" s="1"/>
      <c r="D2355" s="1"/>
      <c r="E2355" s="1"/>
      <c r="F2355" s="26"/>
      <c r="G2355" s="1"/>
      <c r="H2355" s="1"/>
      <c r="I2355" s="1"/>
      <c r="J2355" s="1"/>
      <c r="K2355" s="9">
        <v>401792</v>
      </c>
      <c r="L2355" s="15">
        <v>160343</v>
      </c>
      <c r="M2355" s="5">
        <v>2066908</v>
      </c>
    </row>
    <row r="2356" spans="1:13" x14ac:dyDescent="0.3">
      <c r="A2356" s="8" t="s">
        <v>6</v>
      </c>
      <c r="B2356" s="8"/>
      <c r="C2356" s="1"/>
      <c r="D2356" s="1"/>
      <c r="E2356" s="1"/>
      <c r="F2356" s="26"/>
      <c r="G2356" s="1"/>
      <c r="H2356" s="1"/>
      <c r="I2356" s="1"/>
      <c r="J2356" s="1"/>
      <c r="K2356" s="9">
        <v>401798</v>
      </c>
      <c r="L2356" s="15">
        <v>161570</v>
      </c>
    </row>
    <row r="2357" spans="1:13" x14ac:dyDescent="0.3">
      <c r="A2357" s="8" t="s">
        <v>7</v>
      </c>
      <c r="B2357" s="8"/>
      <c r="C2357" s="1"/>
      <c r="D2357" s="1"/>
      <c r="E2357" s="1"/>
      <c r="F2357" s="26"/>
      <c r="G2357" s="1"/>
      <c r="H2357" s="1"/>
      <c r="I2357" s="1"/>
      <c r="J2357" s="1"/>
      <c r="K2357" s="9">
        <v>402111</v>
      </c>
      <c r="L2357" s="15">
        <v>164489</v>
      </c>
    </row>
    <row r="2358" spans="1:13" x14ac:dyDescent="0.3">
      <c r="A2358" s="10" t="s">
        <v>8</v>
      </c>
      <c r="B2358" s="10"/>
      <c r="C2358" s="1"/>
      <c r="D2358" s="1"/>
      <c r="E2358" s="1"/>
      <c r="F2358" s="27"/>
      <c r="G2358" s="1"/>
      <c r="H2358" s="1"/>
      <c r="I2358" s="1"/>
      <c r="J2358" s="1"/>
      <c r="K2358" s="9">
        <v>397034</v>
      </c>
      <c r="L2358" s="1"/>
    </row>
    <row r="2359" spans="1:13" x14ac:dyDescent="0.3">
      <c r="A2359" s="11">
        <v>42716</v>
      </c>
      <c r="B2359" s="11"/>
      <c r="C2359" s="1"/>
      <c r="D2359" s="1"/>
      <c r="E2359" s="1"/>
      <c r="F2359" s="26"/>
      <c r="G2359" s="1"/>
      <c r="H2359" s="1"/>
      <c r="I2359" s="1"/>
      <c r="J2359" s="1"/>
      <c r="K2359" s="9">
        <v>396366</v>
      </c>
      <c r="L2359" s="1"/>
    </row>
    <row r="2360" spans="1:13" x14ac:dyDescent="0.3">
      <c r="A2360" s="12">
        <v>42625</v>
      </c>
      <c r="B2360" s="12"/>
      <c r="C2360" s="1"/>
      <c r="D2360" s="1"/>
      <c r="E2360" s="1"/>
      <c r="F2360" s="26"/>
      <c r="G2360" s="1"/>
      <c r="H2360" s="1"/>
      <c r="I2360" s="1"/>
      <c r="J2360" s="1"/>
      <c r="K2360" s="9">
        <v>394722</v>
      </c>
      <c r="L2360" s="1"/>
    </row>
    <row r="2361" spans="1:13" x14ac:dyDescent="0.3">
      <c r="A2361" s="12">
        <v>42594</v>
      </c>
      <c r="B2361" s="12"/>
      <c r="C2361" s="1"/>
      <c r="D2361" s="1"/>
      <c r="E2361" s="1"/>
      <c r="F2361" s="26"/>
      <c r="G2361" s="1"/>
      <c r="H2361" s="1"/>
      <c r="I2361" s="1"/>
      <c r="J2361" s="1"/>
      <c r="K2361" s="9">
        <v>394698</v>
      </c>
      <c r="L2361" s="1"/>
    </row>
    <row r="2362" spans="1:13" x14ac:dyDescent="0.3">
      <c r="A2362" s="12">
        <v>42563</v>
      </c>
      <c r="B2362" s="12"/>
      <c r="C2362" s="1"/>
      <c r="D2362" s="1"/>
      <c r="E2362" s="1"/>
      <c r="F2362" s="26"/>
      <c r="G2362" s="1"/>
      <c r="H2362" s="1"/>
      <c r="I2362" s="1"/>
      <c r="J2362" s="1"/>
      <c r="K2362" s="9">
        <v>396774</v>
      </c>
      <c r="L2362" s="1"/>
    </row>
    <row r="2363" spans="1:13" x14ac:dyDescent="0.3">
      <c r="A2363" s="12">
        <v>42533</v>
      </c>
      <c r="B2363" s="12"/>
      <c r="C2363" s="1"/>
      <c r="D2363" s="1"/>
      <c r="E2363" s="1"/>
      <c r="F2363" s="26"/>
      <c r="G2363" s="1"/>
      <c r="H2363" s="1"/>
      <c r="I2363" s="1"/>
      <c r="J2363" s="1"/>
      <c r="K2363" s="9">
        <v>393524</v>
      </c>
      <c r="L2363" s="1"/>
    </row>
    <row r="2364" spans="1:13" x14ac:dyDescent="0.3">
      <c r="A2364" s="12">
        <v>42502</v>
      </c>
      <c r="B2364" s="12"/>
      <c r="C2364" s="1"/>
      <c r="D2364" s="1"/>
      <c r="E2364" s="1"/>
      <c r="F2364" s="26"/>
      <c r="G2364" s="1"/>
      <c r="H2364" s="1"/>
      <c r="I2364" s="1"/>
      <c r="J2364" s="1"/>
      <c r="K2364" s="9">
        <v>394694</v>
      </c>
      <c r="L2364" s="1"/>
    </row>
    <row r="2365" spans="1:13" x14ac:dyDescent="0.3">
      <c r="A2365" s="12">
        <v>42412</v>
      </c>
      <c r="B2365" s="12"/>
      <c r="C2365" s="1"/>
      <c r="D2365" s="1"/>
      <c r="E2365" s="1"/>
      <c r="F2365" s="26"/>
      <c r="G2365" s="1"/>
      <c r="H2365" s="1"/>
      <c r="I2365" s="1"/>
      <c r="J2365" s="1"/>
      <c r="K2365" s="9">
        <v>399442</v>
      </c>
      <c r="L2365" s="1"/>
    </row>
    <row r="2366" spans="1:13" x14ac:dyDescent="0.3">
      <c r="A2366" s="12">
        <v>42381</v>
      </c>
      <c r="B2366" s="12"/>
      <c r="C2366" s="1"/>
      <c r="D2366" s="1"/>
      <c r="E2366" s="1"/>
      <c r="F2366" s="26"/>
      <c r="G2366" s="1"/>
      <c r="H2366" s="1"/>
      <c r="I2366" s="1"/>
      <c r="J2366" s="1"/>
      <c r="K2366" s="9">
        <v>397995</v>
      </c>
      <c r="L2366" s="1"/>
    </row>
    <row r="2367" spans="1:13" x14ac:dyDescent="0.3">
      <c r="A2367" s="2"/>
      <c r="B2367" s="2"/>
      <c r="C2367" s="1"/>
      <c r="D2367" s="1"/>
      <c r="E2367" s="1"/>
      <c r="F2367" s="28"/>
      <c r="G2367" s="1"/>
      <c r="H2367" s="1"/>
      <c r="I2367" s="1"/>
      <c r="J2367" s="1"/>
      <c r="K2367" s="1"/>
      <c r="L2367" s="1"/>
    </row>
    <row r="2368" spans="1:13" x14ac:dyDescent="0.3">
      <c r="A2368" s="2"/>
      <c r="B2368" s="2"/>
      <c r="C2368" s="1"/>
      <c r="D2368" s="1"/>
      <c r="E2368" s="1"/>
      <c r="F2368" s="28"/>
      <c r="G2368" s="1"/>
      <c r="H2368" s="1"/>
      <c r="I2368" s="1"/>
      <c r="J2368" s="1"/>
      <c r="K2368" s="1"/>
      <c r="L2368" s="1"/>
    </row>
    <row r="2369" spans="1:12" x14ac:dyDescent="0.3">
      <c r="A2369" s="2"/>
      <c r="B2369" s="2"/>
      <c r="C2369" s="1"/>
      <c r="D2369" s="1"/>
      <c r="E2369" s="1"/>
      <c r="F2369" s="28"/>
      <c r="G2369" s="1"/>
      <c r="H2369" s="1"/>
      <c r="I2369" s="1"/>
      <c r="J2369" s="1"/>
      <c r="K2369" s="1"/>
      <c r="L2369" s="1"/>
    </row>
    <row r="2370" spans="1:12" x14ac:dyDescent="0.3">
      <c r="A2370" s="2"/>
      <c r="B2370" s="2"/>
      <c r="C2370" s="1"/>
      <c r="D2370" s="1"/>
      <c r="E2370" s="1"/>
      <c r="F2370" s="28"/>
      <c r="G2370" s="1"/>
      <c r="H2370" s="1"/>
      <c r="I2370" s="1"/>
      <c r="J2370" s="1"/>
      <c r="K2370" s="1"/>
      <c r="L2370" s="1"/>
    </row>
    <row r="2371" spans="1:12" x14ac:dyDescent="0.3">
      <c r="A2371" s="2"/>
      <c r="B2371" s="2"/>
      <c r="C2371" s="1"/>
      <c r="D2371" s="1"/>
      <c r="E2371" s="1"/>
      <c r="F2371" s="28"/>
      <c r="G2371" s="1"/>
      <c r="H2371" s="1"/>
      <c r="I2371" s="1"/>
      <c r="J2371" s="1"/>
      <c r="K2371" s="1"/>
      <c r="L2371" s="1"/>
    </row>
    <row r="2372" spans="1:12" x14ac:dyDescent="0.3">
      <c r="A2372" s="2"/>
      <c r="B2372" s="2"/>
      <c r="C2372" s="1"/>
      <c r="D2372" s="1"/>
      <c r="E2372" s="1"/>
      <c r="F2372" s="28"/>
      <c r="G2372" s="1"/>
      <c r="H2372" s="1"/>
      <c r="I2372" s="1"/>
      <c r="J2372" s="1"/>
      <c r="K2372" s="1"/>
      <c r="L2372" s="1"/>
    </row>
    <row r="2373" spans="1:12" x14ac:dyDescent="0.3">
      <c r="A2373" s="2"/>
      <c r="B2373" s="2"/>
      <c r="C2373" s="1"/>
      <c r="D2373" s="1"/>
      <c r="E2373" s="1"/>
      <c r="F2373" s="28"/>
      <c r="G2373" s="1"/>
      <c r="H2373" s="1"/>
      <c r="I2373" s="1"/>
      <c r="J2373" s="1"/>
      <c r="K2373" s="1"/>
      <c r="L2373" s="1"/>
    </row>
    <row r="2374" spans="1:12" x14ac:dyDescent="0.3">
      <c r="A2374" s="2"/>
      <c r="B2374" s="2"/>
      <c r="C2374" s="1"/>
      <c r="D2374" s="1"/>
      <c r="E2374" s="1"/>
      <c r="F2374" s="28"/>
      <c r="G2374" s="1"/>
      <c r="H2374" s="1"/>
      <c r="I2374" s="1"/>
      <c r="J2374" s="1"/>
      <c r="K2374" s="1"/>
      <c r="L2374" s="1"/>
    </row>
    <row r="2375" spans="1:12" x14ac:dyDescent="0.3">
      <c r="A2375" s="2"/>
      <c r="B2375" s="2"/>
      <c r="C2375" s="1"/>
      <c r="D2375" s="1"/>
      <c r="E2375" s="1"/>
      <c r="F2375" s="28"/>
      <c r="G2375" s="1"/>
      <c r="H2375" s="1"/>
      <c r="I2375" s="1"/>
      <c r="J2375" s="1"/>
      <c r="K2375" s="1"/>
      <c r="L2375" s="1"/>
    </row>
    <row r="2376" spans="1:12" x14ac:dyDescent="0.3">
      <c r="A2376" s="2"/>
      <c r="B2376" s="2"/>
      <c r="C2376" s="1"/>
      <c r="D2376" s="1"/>
      <c r="E2376" s="1"/>
      <c r="F2376" s="28"/>
      <c r="G2376" s="1"/>
      <c r="H2376" s="1"/>
      <c r="I2376" s="1"/>
      <c r="J2376" s="1"/>
      <c r="K2376" s="1"/>
      <c r="L2376" s="1"/>
    </row>
    <row r="2377" spans="1:12" x14ac:dyDescent="0.3">
      <c r="A2377" s="2"/>
      <c r="B2377" s="2"/>
      <c r="C2377" s="1"/>
      <c r="D2377" s="1"/>
      <c r="E2377" s="1"/>
      <c r="F2377" s="28"/>
      <c r="G2377" s="1"/>
      <c r="H2377" s="1"/>
      <c r="I2377" s="1"/>
      <c r="J2377" s="1"/>
      <c r="K2377" s="1"/>
      <c r="L2377" s="1"/>
    </row>
    <row r="2378" spans="1:12" x14ac:dyDescent="0.3">
      <c r="A2378" s="2"/>
      <c r="B2378" s="2"/>
      <c r="C2378" s="1"/>
      <c r="D2378" s="1"/>
      <c r="E2378" s="1"/>
      <c r="F2378" s="28"/>
      <c r="G2378" s="1"/>
      <c r="H2378" s="1"/>
      <c r="I2378" s="1"/>
      <c r="J2378" s="1"/>
      <c r="K2378" s="1"/>
      <c r="L2378" s="1"/>
    </row>
    <row r="2379" spans="1:12" x14ac:dyDescent="0.3">
      <c r="A2379" s="2"/>
      <c r="B2379" s="2"/>
      <c r="C2379" s="1"/>
      <c r="D2379" s="1"/>
      <c r="E2379" s="1"/>
      <c r="F2379" s="28"/>
      <c r="G2379" s="1"/>
      <c r="H2379" s="1"/>
      <c r="I2379" s="1"/>
      <c r="J2379" s="1"/>
      <c r="K2379" s="1"/>
      <c r="L2379" s="1"/>
    </row>
    <row r="2380" spans="1:12" x14ac:dyDescent="0.3">
      <c r="A2380" s="2"/>
      <c r="B2380" s="2"/>
      <c r="C2380" s="1"/>
      <c r="D2380" s="1"/>
      <c r="E2380" s="1"/>
      <c r="F2380" s="28"/>
      <c r="G2380" s="1"/>
      <c r="H2380" s="1"/>
      <c r="I2380" s="1"/>
      <c r="J2380" s="1"/>
      <c r="K2380" s="1"/>
      <c r="L2380" s="1"/>
    </row>
    <row r="2381" spans="1:12" x14ac:dyDescent="0.3">
      <c r="A2381" s="2"/>
      <c r="B2381" s="2"/>
      <c r="C2381" s="1"/>
      <c r="D2381" s="1"/>
      <c r="E2381" s="1"/>
      <c r="F2381" s="28"/>
      <c r="G2381" s="1"/>
      <c r="H2381" s="1"/>
      <c r="I2381" s="1"/>
      <c r="J2381" s="1"/>
      <c r="K2381" s="1"/>
      <c r="L2381" s="1"/>
    </row>
    <row r="2382" spans="1:12" x14ac:dyDescent="0.3">
      <c r="A2382" s="2"/>
      <c r="B2382" s="2"/>
      <c r="C2382" s="1"/>
      <c r="D2382" s="1"/>
      <c r="E2382" s="1"/>
      <c r="F2382" s="28"/>
      <c r="G2382" s="1"/>
      <c r="H2382" s="1"/>
      <c r="I2382" s="1"/>
      <c r="J2382" s="1"/>
      <c r="K2382" s="1"/>
      <c r="L2382" s="1"/>
    </row>
    <row r="2383" spans="1:12" x14ac:dyDescent="0.3">
      <c r="A2383" s="2"/>
      <c r="B2383" s="2"/>
      <c r="C2383" s="1"/>
      <c r="D2383" s="1"/>
      <c r="E2383" s="1"/>
      <c r="F2383" s="28"/>
      <c r="G2383" s="1"/>
      <c r="H2383" s="1"/>
      <c r="I2383" s="1"/>
      <c r="J2383" s="1"/>
      <c r="K2383" s="1"/>
      <c r="L2383" s="1"/>
    </row>
    <row r="2384" spans="1:12" x14ac:dyDescent="0.3">
      <c r="A2384" s="2"/>
      <c r="B2384" s="2"/>
      <c r="C2384" s="1"/>
      <c r="D2384" s="1"/>
      <c r="E2384" s="1"/>
      <c r="F2384" s="28"/>
      <c r="G2384" s="1"/>
      <c r="H2384" s="1"/>
      <c r="I2384" s="1"/>
      <c r="J2384" s="1"/>
      <c r="K2384" s="1"/>
      <c r="L2384" s="1"/>
    </row>
    <row r="2385" spans="1:12" x14ac:dyDescent="0.3">
      <c r="A2385" s="2"/>
      <c r="B2385" s="2"/>
      <c r="C2385" s="1"/>
      <c r="D2385" s="1"/>
      <c r="E2385" s="1"/>
      <c r="F2385" s="28"/>
      <c r="G2385" s="1"/>
      <c r="H2385" s="1"/>
      <c r="I2385" s="1"/>
      <c r="J2385" s="1"/>
      <c r="K2385" s="1"/>
      <c r="L2385" s="1"/>
    </row>
    <row r="2386" spans="1:12" x14ac:dyDescent="0.3">
      <c r="A2386" s="2"/>
      <c r="B2386" s="2"/>
      <c r="C2386" s="1"/>
      <c r="D2386" s="1"/>
      <c r="E2386" s="1"/>
      <c r="F2386" s="28"/>
      <c r="G2386" s="1"/>
      <c r="H2386" s="1"/>
      <c r="I2386" s="1"/>
      <c r="J2386" s="1"/>
      <c r="K2386" s="1"/>
      <c r="L2386" s="1"/>
    </row>
    <row r="2387" spans="1:12" x14ac:dyDescent="0.3">
      <c r="A2387" s="2"/>
      <c r="B2387" s="2"/>
      <c r="C2387" s="1"/>
      <c r="D2387" s="1"/>
      <c r="E2387" s="1"/>
      <c r="F2387" s="28"/>
      <c r="G2387" s="1"/>
      <c r="H2387" s="1"/>
      <c r="I2387" s="1"/>
      <c r="J2387" s="1"/>
      <c r="K2387" s="1"/>
      <c r="L2387" s="1"/>
    </row>
    <row r="2388" spans="1:12" x14ac:dyDescent="0.3">
      <c r="A2388" s="2"/>
      <c r="B2388" s="2"/>
      <c r="C2388" s="1"/>
      <c r="D2388" s="1"/>
      <c r="E2388" s="1"/>
      <c r="F2388" s="28"/>
      <c r="G2388" s="1"/>
      <c r="H2388" s="1"/>
      <c r="I2388" s="1"/>
      <c r="J2388" s="1"/>
      <c r="K2388" s="1"/>
      <c r="L2388" s="1"/>
    </row>
    <row r="2389" spans="1:12" x14ac:dyDescent="0.3">
      <c r="A2389" s="2"/>
      <c r="B2389" s="2"/>
      <c r="C2389" s="1"/>
      <c r="D2389" s="1"/>
      <c r="E2389" s="1"/>
      <c r="F2389" s="28"/>
      <c r="G2389" s="1"/>
      <c r="H2389" s="1"/>
      <c r="I2389" s="1"/>
      <c r="J2389" s="1"/>
      <c r="K2389" s="1"/>
      <c r="L2389" s="1"/>
    </row>
    <row r="2390" spans="1:12" x14ac:dyDescent="0.3">
      <c r="A2390" s="2"/>
      <c r="B2390" s="2"/>
      <c r="C2390" s="1"/>
      <c r="D2390" s="1"/>
      <c r="E2390" s="1"/>
      <c r="F2390" s="28"/>
      <c r="G2390" s="1"/>
      <c r="H2390" s="1"/>
      <c r="I2390" s="1"/>
      <c r="J2390" s="1"/>
      <c r="K2390" s="1"/>
      <c r="L2390" s="1"/>
    </row>
    <row r="2391" spans="1:12" x14ac:dyDescent="0.3">
      <c r="A2391" s="2"/>
      <c r="B2391" s="2"/>
      <c r="C2391" s="1"/>
      <c r="D2391" s="1"/>
      <c r="E2391" s="1"/>
      <c r="F2391" s="28"/>
      <c r="G2391" s="1"/>
      <c r="H2391" s="1"/>
      <c r="I2391" s="1"/>
      <c r="J2391" s="1"/>
      <c r="K2391" s="1"/>
      <c r="L2391" s="1"/>
    </row>
    <row r="2392" spans="1:12" x14ac:dyDescent="0.3">
      <c r="A2392" s="2"/>
      <c r="B2392" s="2"/>
      <c r="C2392" s="1"/>
      <c r="D2392" s="1"/>
      <c r="E2392" s="1"/>
      <c r="F2392" s="28"/>
      <c r="G2392" s="1"/>
      <c r="H2392" s="1"/>
      <c r="I2392" s="1"/>
      <c r="J2392" s="1"/>
      <c r="K2392" s="1"/>
      <c r="L2392" s="1"/>
    </row>
    <row r="2393" spans="1:12" x14ac:dyDescent="0.3">
      <c r="A2393" s="2"/>
      <c r="B2393" s="2"/>
      <c r="C2393" s="1"/>
      <c r="D2393" s="1"/>
      <c r="E2393" s="1"/>
      <c r="F2393" s="28"/>
      <c r="G2393" s="1"/>
      <c r="H2393" s="1"/>
      <c r="I2393" s="1"/>
      <c r="J2393" s="1"/>
      <c r="K2393" s="1"/>
      <c r="L2393" s="1"/>
    </row>
    <row r="2394" spans="1:12" x14ac:dyDescent="0.3">
      <c r="A2394" s="2"/>
      <c r="B2394" s="2"/>
      <c r="C2394" s="1"/>
      <c r="D2394" s="1"/>
      <c r="E2394" s="1"/>
      <c r="F2394" s="28"/>
      <c r="G2394" s="1"/>
      <c r="H2394" s="1"/>
      <c r="I2394" s="1"/>
      <c r="J2394" s="1"/>
      <c r="K2394" s="1"/>
      <c r="L2394" s="1"/>
    </row>
    <row r="2395" spans="1:12" x14ac:dyDescent="0.3">
      <c r="A2395" s="2"/>
      <c r="B2395" s="2"/>
      <c r="C2395" s="1"/>
      <c r="D2395" s="1"/>
      <c r="E2395" s="1"/>
      <c r="F2395" s="28"/>
      <c r="G2395" s="1"/>
      <c r="H2395" s="1"/>
      <c r="I2395" s="1"/>
      <c r="J2395" s="1"/>
      <c r="K2395" s="1"/>
      <c r="L2395" s="1"/>
    </row>
    <row r="2396" spans="1:12" x14ac:dyDescent="0.3">
      <c r="A2396" s="2"/>
      <c r="B2396" s="2"/>
      <c r="C2396" s="1"/>
      <c r="D2396" s="1"/>
      <c r="E2396" s="1"/>
      <c r="F2396" s="28"/>
      <c r="G2396" s="1"/>
      <c r="H2396" s="1"/>
      <c r="I2396" s="1"/>
      <c r="J2396" s="1"/>
      <c r="K2396" s="1"/>
      <c r="L2396" s="1"/>
    </row>
    <row r="2397" spans="1:12" x14ac:dyDescent="0.3">
      <c r="A2397" s="2"/>
      <c r="B2397" s="2"/>
      <c r="C2397" s="1"/>
      <c r="D2397" s="1"/>
      <c r="E2397" s="1"/>
      <c r="F2397" s="28"/>
      <c r="G2397" s="1"/>
      <c r="H2397" s="1"/>
      <c r="I2397" s="1"/>
      <c r="J2397" s="1"/>
      <c r="K2397" s="1"/>
      <c r="L2397" s="1"/>
    </row>
    <row r="2398" spans="1:12" x14ac:dyDescent="0.3">
      <c r="A2398" s="2"/>
      <c r="B2398" s="2"/>
      <c r="C2398" s="1"/>
      <c r="D2398" s="1"/>
      <c r="E2398" s="1"/>
      <c r="F2398" s="28"/>
      <c r="G2398" s="1"/>
      <c r="H2398" s="1"/>
      <c r="I2398" s="1"/>
      <c r="J2398" s="1"/>
      <c r="K2398" s="1"/>
      <c r="L2398" s="1"/>
    </row>
    <row r="2399" spans="1:12" x14ac:dyDescent="0.3">
      <c r="A2399" s="2"/>
      <c r="B2399" s="2"/>
      <c r="C2399" s="1"/>
      <c r="D2399" s="1"/>
      <c r="E2399" s="1"/>
      <c r="F2399" s="28"/>
      <c r="G2399" s="1"/>
      <c r="H2399" s="1"/>
      <c r="I2399" s="1"/>
      <c r="J2399" s="1"/>
      <c r="K2399" s="1"/>
      <c r="L2399" s="1"/>
    </row>
    <row r="2400" spans="1:12" x14ac:dyDescent="0.3">
      <c r="A2400" s="2"/>
      <c r="B2400" s="2"/>
      <c r="C2400" s="1"/>
      <c r="D2400" s="1"/>
      <c r="E2400" s="1"/>
      <c r="F2400" s="28"/>
      <c r="G2400" s="1"/>
      <c r="H2400" s="1"/>
      <c r="I2400" s="1"/>
      <c r="J2400" s="1"/>
      <c r="K2400" s="1"/>
      <c r="L2400" s="1"/>
    </row>
    <row r="2401" spans="1:12" x14ac:dyDescent="0.3">
      <c r="A2401" s="2"/>
      <c r="B2401" s="2"/>
      <c r="C2401" s="1"/>
      <c r="D2401" s="1"/>
      <c r="E2401" s="1"/>
      <c r="F2401" s="28"/>
      <c r="G2401" s="1"/>
      <c r="H2401" s="1"/>
      <c r="I2401" s="1"/>
      <c r="J2401" s="1"/>
      <c r="K2401" s="1"/>
      <c r="L2401" s="1"/>
    </row>
    <row r="2402" spans="1:12" x14ac:dyDescent="0.3">
      <c r="A2402" s="2"/>
      <c r="B2402" s="2"/>
      <c r="C2402" s="1"/>
      <c r="D2402" s="1"/>
      <c r="E2402" s="1"/>
      <c r="F2402" s="28"/>
      <c r="G2402" s="1"/>
      <c r="H2402" s="1"/>
      <c r="I2402" s="1"/>
      <c r="J2402" s="1"/>
      <c r="K2402" s="1"/>
      <c r="L2402" s="1"/>
    </row>
    <row r="2403" spans="1:12" x14ac:dyDescent="0.3">
      <c r="A2403" s="2"/>
      <c r="B2403" s="2"/>
      <c r="C2403" s="1"/>
      <c r="D2403" s="1"/>
      <c r="E2403" s="1"/>
      <c r="F2403" s="28"/>
      <c r="G2403" s="1"/>
      <c r="H2403" s="1"/>
      <c r="I2403" s="1"/>
      <c r="J2403" s="1"/>
      <c r="K2403" s="1"/>
    </row>
    <row r="2404" spans="1:12" x14ac:dyDescent="0.3">
      <c r="A2404" s="2"/>
      <c r="B2404" s="2"/>
      <c r="C2404" s="1"/>
      <c r="D2404" s="1"/>
      <c r="E2404" s="1"/>
      <c r="F2404" s="28"/>
      <c r="G2404" s="1"/>
      <c r="H2404" s="1"/>
      <c r="I2404" s="1"/>
      <c r="K2404" s="1"/>
    </row>
    <row r="2405" spans="1:12" x14ac:dyDescent="0.3">
      <c r="A2405" s="2"/>
      <c r="B2405" s="2"/>
      <c r="C2405" s="1"/>
      <c r="D2405" s="1"/>
      <c r="E2405" s="1"/>
      <c r="F2405" s="28"/>
      <c r="G2405" s="1"/>
      <c r="H2405" s="1"/>
      <c r="I2405" s="1"/>
      <c r="K2405" s="1"/>
    </row>
    <row r="2406" spans="1:12" x14ac:dyDescent="0.3">
      <c r="A2406" s="2"/>
      <c r="B2406" s="2"/>
      <c r="C2406" s="1"/>
      <c r="D2406" s="1"/>
      <c r="E2406" s="1"/>
      <c r="F2406" s="28"/>
      <c r="G2406" s="1"/>
      <c r="H2406" s="1"/>
      <c r="I2406" s="1"/>
      <c r="K2406" s="1"/>
    </row>
    <row r="2407" spans="1:12" x14ac:dyDescent="0.3">
      <c r="C2407" s="1"/>
      <c r="D2407" s="1"/>
      <c r="E2407" s="1"/>
      <c r="G2407" s="1"/>
      <c r="H2407" s="1"/>
      <c r="I2407" s="1"/>
    </row>
    <row r="2408" spans="1:12" x14ac:dyDescent="0.3">
      <c r="C2408" s="1"/>
      <c r="D2408" s="1"/>
      <c r="E2408" s="1"/>
      <c r="G2408" s="1"/>
      <c r="H2408" s="1"/>
      <c r="I2408" s="1"/>
    </row>
    <row r="2409" spans="1:12" x14ac:dyDescent="0.3">
      <c r="C2409" s="1"/>
      <c r="D2409" s="1"/>
      <c r="E2409" s="1"/>
      <c r="G2409" s="1"/>
      <c r="H2409" s="1"/>
      <c r="I2409" s="1"/>
    </row>
    <row r="2410" spans="1:12" x14ac:dyDescent="0.3">
      <c r="C2410" s="1"/>
      <c r="D2410" s="1"/>
      <c r="E2410" s="1"/>
      <c r="G2410" s="1"/>
      <c r="H2410" s="1"/>
      <c r="I2410" s="1"/>
    </row>
    <row r="2411" spans="1:12" x14ac:dyDescent="0.3">
      <c r="C2411" s="1"/>
      <c r="D2411" s="1"/>
      <c r="E2411" s="1"/>
      <c r="G2411" s="1"/>
      <c r="H2411" s="1"/>
      <c r="I2411" s="1"/>
    </row>
    <row r="2412" spans="1:12" x14ac:dyDescent="0.3">
      <c r="C2412" s="1"/>
      <c r="D2412" s="1"/>
      <c r="E2412" s="1"/>
      <c r="G2412" s="1"/>
      <c r="H2412" s="1"/>
      <c r="I2412" s="1"/>
    </row>
    <row r="2413" spans="1:12" x14ac:dyDescent="0.3">
      <c r="C2413" s="1"/>
      <c r="D2413" s="1"/>
      <c r="E2413" s="1"/>
      <c r="G2413" s="1"/>
      <c r="H2413" s="1"/>
      <c r="I2413" s="1"/>
    </row>
  </sheetData>
  <pageMargins left="0.7" right="0.7" top="0.75" bottom="0.75" header="0.3" footer="0.3"/>
  <pageSetup paperSize="9" orientation="portrait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4"/>
  <dimension ref="A1:U12"/>
  <sheetViews>
    <sheetView showGridLines="0" workbookViewId="0"/>
  </sheetViews>
  <sheetFormatPr defaultColWidth="9.109375" defaultRowHeight="14.4" x14ac:dyDescent="0.3"/>
  <cols>
    <col min="1" max="1" width="9.109375" style="21" customWidth="1"/>
    <col min="2" max="16384" width="9.109375" style="21"/>
  </cols>
  <sheetData>
    <row r="1" spans="1:21" x14ac:dyDescent="0.3">
      <c r="A1" s="19"/>
      <c r="B1" s="20"/>
      <c r="U1" s="21" t="s">
        <v>9</v>
      </c>
    </row>
    <row r="2" spans="1:21" ht="15" customHeight="1" x14ac:dyDescent="0.3">
      <c r="A2" s="22"/>
      <c r="B2" s="23"/>
      <c r="C2" s="23"/>
      <c r="F2" s="23"/>
      <c r="G2" s="23"/>
      <c r="J2" s="23"/>
      <c r="K2" s="23"/>
      <c r="N2" s="23"/>
      <c r="O2" s="23"/>
      <c r="R2" s="24"/>
      <c r="S2" s="24"/>
    </row>
    <row r="3" spans="1:21" ht="15" customHeight="1" x14ac:dyDescent="0.3">
      <c r="A3" s="22"/>
      <c r="B3" s="23"/>
      <c r="C3" s="23"/>
      <c r="F3" s="23"/>
      <c r="G3" s="23"/>
      <c r="J3" s="23"/>
      <c r="K3" s="23"/>
      <c r="N3" s="23"/>
      <c r="O3" s="23"/>
      <c r="R3" s="24"/>
      <c r="S3" s="24"/>
    </row>
    <row r="4" spans="1:21" x14ac:dyDescent="0.3">
      <c r="A4" s="22"/>
      <c r="B4" s="25"/>
    </row>
    <row r="5" spans="1:21" x14ac:dyDescent="0.3">
      <c r="A5" s="22"/>
      <c r="B5" s="25"/>
    </row>
    <row r="6" spans="1:21" x14ac:dyDescent="0.3">
      <c r="A6" s="22"/>
      <c r="B6" s="25"/>
    </row>
    <row r="7" spans="1:21" x14ac:dyDescent="0.3">
      <c r="A7" s="22"/>
      <c r="B7" s="25"/>
    </row>
    <row r="8" spans="1:21" x14ac:dyDescent="0.3">
      <c r="A8" s="22"/>
      <c r="B8" s="25"/>
    </row>
    <row r="9" spans="1:21" x14ac:dyDescent="0.3">
      <c r="A9" s="22"/>
      <c r="B9" s="25"/>
    </row>
    <row r="10" spans="1:21" x14ac:dyDescent="0.3">
      <c r="A10" s="22"/>
      <c r="B10" s="25"/>
    </row>
    <row r="11" spans="1:21" x14ac:dyDescent="0.3">
      <c r="A11" s="22"/>
      <c r="B11" s="25"/>
    </row>
    <row r="12" spans="1:21" x14ac:dyDescent="0.3">
      <c r="A12" s="22"/>
      <c r="B12" s="25"/>
    </row>
  </sheetData>
  <pageMargins left="0.7" right="0.7" top="0.75" bottom="0.75" header="0.3" footer="0.3"/>
  <pageSetup orientation="portrait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Module____29"/>
  <dimension ref="A1:U7"/>
  <sheetViews>
    <sheetView topLeftCell="A6" zoomScaleNormal="100" workbookViewId="0"/>
  </sheetViews>
  <sheetFormatPr defaultColWidth="9.109375" defaultRowHeight="14.4" x14ac:dyDescent="0.3"/>
  <cols>
    <col min="1" max="1" width="12.44140625" style="17" customWidth="1"/>
    <col min="2" max="2" width="21.109375" style="17" customWidth="1"/>
    <col min="3" max="16384" width="9.109375" style="17"/>
  </cols>
  <sheetData>
    <row r="1" spans="1:21" ht="28.8" x14ac:dyDescent="0.3">
      <c r="A1" s="16" t="s">
        <v>0</v>
      </c>
      <c r="B1" s="4" t="s">
        <v>28</v>
      </c>
      <c r="U1" t="s">
        <v>9</v>
      </c>
    </row>
    <row r="2" spans="1:21" x14ac:dyDescent="0.3">
      <c r="A2" s="18">
        <f ca="1">INDIRECT("Data!A8",TRUE)</f>
        <v>46128</v>
      </c>
      <c r="B2" s="44">
        <f ca="1">INDIRECT("Data!B8",TRUE)</f>
        <v>32209</v>
      </c>
    </row>
    <row r="3" spans="1:21" x14ac:dyDescent="0.3">
      <c r="A3" s="18">
        <f ca="1">INDIRECT("Data!A7",TRUE)</f>
        <v>46129</v>
      </c>
      <c r="B3" s="44">
        <f ca="1">INDIRECT("Data!b7",TRUE)</f>
        <v>31407</v>
      </c>
    </row>
    <row r="4" spans="1:21" x14ac:dyDescent="0.3">
      <c r="A4" s="18">
        <f ca="1">INDIRECT("Data!A6",TRUE)</f>
        <v>46132</v>
      </c>
      <c r="B4" s="44">
        <f ca="1">INDIRECT("Data!B6",TRUE)</f>
        <v>30488</v>
      </c>
    </row>
    <row r="5" spans="1:21" x14ac:dyDescent="0.3">
      <c r="A5" s="18">
        <f ca="1">INDIRECT("Data!A5",TRUE)</f>
        <v>46133</v>
      </c>
      <c r="B5" s="44">
        <f ca="1">INDIRECT("Data!b5",TRUE)</f>
        <v>30651</v>
      </c>
    </row>
    <row r="6" spans="1:21" x14ac:dyDescent="0.3">
      <c r="A6" s="18">
        <f ca="1">INDIRECT("Data!A4",TRUE)</f>
        <v>46134</v>
      </c>
      <c r="B6" s="44">
        <f ca="1">INDIRECT("Data!B4",TRUE)</f>
        <v>29531</v>
      </c>
    </row>
    <row r="7" spans="1:21" x14ac:dyDescent="0.3">
      <c r="A7" s="18">
        <f ca="1">INDIRECT("Data!A3",TRUE)</f>
        <v>46135</v>
      </c>
      <c r="B7" s="44">
        <f ca="1">INDIRECT("Data!B3",TRUE)</f>
        <v>29659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Module____12"/>
  <dimension ref="A1:U7"/>
  <sheetViews>
    <sheetView zoomScaleNormal="100" workbookViewId="0"/>
  </sheetViews>
  <sheetFormatPr defaultColWidth="9.109375" defaultRowHeight="14.4" x14ac:dyDescent="0.3"/>
  <cols>
    <col min="1" max="1" width="12.44140625" style="17" customWidth="1"/>
    <col min="2" max="2" width="17.5546875" style="17" customWidth="1"/>
    <col min="3" max="16384" width="9.109375" style="17"/>
  </cols>
  <sheetData>
    <row r="1" spans="1:21" ht="28.8" x14ac:dyDescent="0.3">
      <c r="A1" s="2" t="s">
        <v>0</v>
      </c>
      <c r="B1" s="47" t="s">
        <v>29</v>
      </c>
      <c r="U1" t="s">
        <v>9</v>
      </c>
    </row>
    <row r="2" spans="1:21" x14ac:dyDescent="0.3">
      <c r="A2" s="18">
        <f ca="1">INDIRECT("Data!A7",TRUE)</f>
        <v>46129</v>
      </c>
      <c r="B2" s="44">
        <f ca="1">INDIRECT("Data!F7",TRUE)</f>
        <v>790662</v>
      </c>
    </row>
    <row r="3" spans="1:21" x14ac:dyDescent="0.3">
      <c r="A3" s="18">
        <f ca="1">INDIRECT("Data!A6",TRUE)</f>
        <v>46132</v>
      </c>
      <c r="B3" s="44">
        <f ca="1">INDIRECT("Data!F6",TRUE)</f>
        <v>788774</v>
      </c>
    </row>
    <row r="4" spans="1:21" x14ac:dyDescent="0.3">
      <c r="A4" s="18">
        <f ca="1">INDIRECT("Data!A5",TRUE)</f>
        <v>46133</v>
      </c>
      <c r="B4" s="44">
        <f ca="1">INDIRECT("Data!F5",TRUE)</f>
        <v>790622</v>
      </c>
    </row>
    <row r="5" spans="1:21" x14ac:dyDescent="0.3">
      <c r="A5" s="18">
        <f ca="1">INDIRECT("Data!A4",TRUE)</f>
        <v>46134</v>
      </c>
      <c r="B5" s="44">
        <f ca="1">INDIRECT("Data!F4",TRUE)</f>
        <v>795637</v>
      </c>
    </row>
    <row r="6" spans="1:21" x14ac:dyDescent="0.3">
      <c r="A6" s="18">
        <f ca="1">INDIRECT("Data!A3",TRUE)</f>
        <v>46135</v>
      </c>
      <c r="B6" s="44">
        <f ca="1">INDIRECT("Data!F3",TRUE)</f>
        <v>790730</v>
      </c>
    </row>
    <row r="7" spans="1:21" x14ac:dyDescent="0.3">
      <c r="A7" s="18">
        <f ca="1">INDIRECT("Data!A2",TRUE)</f>
        <v>46136</v>
      </c>
      <c r="B7" s="44">
        <f ca="1">INDIRECT("Data!F2",TRUE)</f>
        <v>794445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Module____13"/>
  <dimension ref="A1:U7"/>
  <sheetViews>
    <sheetView zoomScaleNormal="100" workbookViewId="0"/>
  </sheetViews>
  <sheetFormatPr defaultColWidth="9.109375" defaultRowHeight="14.4" x14ac:dyDescent="0.3"/>
  <cols>
    <col min="1" max="1" width="12.44140625" style="17" customWidth="1"/>
    <col min="2" max="2" width="16.44140625" style="17" customWidth="1"/>
    <col min="3" max="16384" width="9.109375" style="17"/>
  </cols>
  <sheetData>
    <row r="1" spans="1:21" ht="28.8" x14ac:dyDescent="0.3">
      <c r="A1" s="16" t="s">
        <v>0</v>
      </c>
      <c r="B1" s="4" t="s">
        <v>30</v>
      </c>
      <c r="U1" t="s">
        <v>9</v>
      </c>
    </row>
    <row r="2" spans="1:21" x14ac:dyDescent="0.3">
      <c r="A2" s="18">
        <f ca="1">INDIRECT("Data!A7",TRUE)</f>
        <v>46129</v>
      </c>
      <c r="B2" s="44">
        <f ca="1">INDIRECT("Data!D7",TRUE)</f>
        <v>261166</v>
      </c>
    </row>
    <row r="3" spans="1:21" x14ac:dyDescent="0.3">
      <c r="A3" s="18">
        <f ca="1">INDIRECT("Data!A6",TRUE)</f>
        <v>46132</v>
      </c>
      <c r="B3" s="44">
        <f ca="1">INDIRECT("Data!D6",TRUE)</f>
        <v>263168</v>
      </c>
    </row>
    <row r="4" spans="1:21" x14ac:dyDescent="0.3">
      <c r="A4" s="18">
        <f ca="1">INDIRECT("Data!A5",TRUE)</f>
        <v>46133</v>
      </c>
      <c r="B4" s="44">
        <f ca="1">INDIRECT("Data!D5",TRUE)</f>
        <v>263523</v>
      </c>
    </row>
    <row r="5" spans="1:21" x14ac:dyDescent="0.3">
      <c r="A5" s="18">
        <f ca="1">INDIRECT("Data!A4",TRUE)</f>
        <v>46134</v>
      </c>
      <c r="B5" s="44">
        <f ca="1">INDIRECT("Data!D4",TRUE)</f>
        <v>263919</v>
      </c>
    </row>
    <row r="6" spans="1:21" x14ac:dyDescent="0.3">
      <c r="A6" s="18">
        <f ca="1">INDIRECT("Data!A3",TRUE)</f>
        <v>46135</v>
      </c>
      <c r="B6" s="44">
        <f ca="1">INDIRECT("Data!D3",TRUE)</f>
        <v>262853</v>
      </c>
    </row>
    <row r="7" spans="1:21" x14ac:dyDescent="0.3">
      <c r="A7" s="18">
        <f ca="1">INDIRECT("Data!A2",TRUE)</f>
        <v>46136</v>
      </c>
      <c r="B7" s="44">
        <f ca="1">INDIRECT("Data!D2",TRUE)</f>
        <v>261584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Module____14"/>
  <dimension ref="A1:U7"/>
  <sheetViews>
    <sheetView zoomScaleNormal="100" workbookViewId="0"/>
  </sheetViews>
  <sheetFormatPr defaultColWidth="9.109375" defaultRowHeight="14.4" x14ac:dyDescent="0.3"/>
  <cols>
    <col min="1" max="1" width="12.44140625" style="17" customWidth="1"/>
    <col min="2" max="2" width="16.6640625" style="17" customWidth="1"/>
    <col min="3" max="16384" width="9.109375" style="17"/>
  </cols>
  <sheetData>
    <row r="1" spans="1:21" ht="28.8" x14ac:dyDescent="0.3">
      <c r="A1" s="16" t="s">
        <v>0</v>
      </c>
      <c r="B1" s="4" t="s">
        <v>31</v>
      </c>
      <c r="U1" t="s">
        <v>9</v>
      </c>
    </row>
    <row r="2" spans="1:21" x14ac:dyDescent="0.3">
      <c r="A2" s="18">
        <f ca="1">INDIRECT("Data!A7",TRUE)</f>
        <v>46129</v>
      </c>
      <c r="B2" s="44">
        <f ca="1">INDIRECT("Data!G7",TRUE)</f>
        <v>354180</v>
      </c>
    </row>
    <row r="3" spans="1:21" x14ac:dyDescent="0.3">
      <c r="A3" s="18">
        <f ca="1">INDIRECT("Data!A6",TRUE)</f>
        <v>46132</v>
      </c>
      <c r="B3" s="44">
        <f ca="1">INDIRECT("Data!G6",TRUE)</f>
        <v>352544</v>
      </c>
    </row>
    <row r="4" spans="1:21" x14ac:dyDescent="0.3">
      <c r="A4" s="18">
        <f ca="1">INDIRECT("Data!A5",TRUE)</f>
        <v>46133</v>
      </c>
      <c r="B4" s="44">
        <f ca="1">INDIRECT("Data!G5",TRUE)</f>
        <v>351782</v>
      </c>
    </row>
    <row r="5" spans="1:21" x14ac:dyDescent="0.3">
      <c r="A5" s="18">
        <f ca="1">INDIRECT("Data!A4",TRUE)</f>
        <v>46134</v>
      </c>
      <c r="B5" s="44">
        <f ca="1">INDIRECT("Data!G4",TRUE)</f>
        <v>349335</v>
      </c>
    </row>
    <row r="6" spans="1:21" x14ac:dyDescent="0.3">
      <c r="A6" s="18">
        <f ca="1">INDIRECT("Data!A3",TRUE)</f>
        <v>46135</v>
      </c>
      <c r="B6" s="44">
        <f ca="1">INDIRECT("Data!g3",TRUE)</f>
        <v>355319</v>
      </c>
    </row>
    <row r="7" spans="1:21" x14ac:dyDescent="0.3">
      <c r="A7" s="18">
        <f ca="1">INDIRECT("Data!A2",TRUE)</f>
        <v>46136</v>
      </c>
      <c r="B7" s="44">
        <f ca="1">INDIRECT("Data!g2",TRUE)</f>
        <v>358300</v>
      </c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Module____15"/>
  <dimension ref="A1:U7"/>
  <sheetViews>
    <sheetView zoomScaleNormal="100" workbookViewId="0">
      <selection activeCell="V24" sqref="V24"/>
    </sheetView>
  </sheetViews>
  <sheetFormatPr defaultColWidth="9.109375" defaultRowHeight="14.4" x14ac:dyDescent="0.3"/>
  <cols>
    <col min="1" max="1" width="12.44140625" style="17" customWidth="1"/>
    <col min="2" max="2" width="17" style="17" customWidth="1"/>
    <col min="3" max="16384" width="9.109375" style="17"/>
  </cols>
  <sheetData>
    <row r="1" spans="1:21" ht="28.8" x14ac:dyDescent="0.3">
      <c r="A1" s="16" t="s">
        <v>0</v>
      </c>
      <c r="B1" s="4" t="s">
        <v>32</v>
      </c>
      <c r="U1" t="s">
        <v>9</v>
      </c>
    </row>
    <row r="2" spans="1:21" x14ac:dyDescent="0.3">
      <c r="A2" s="18">
        <f ca="1">INDIRECT("Data!A7",TRUE)</f>
        <v>46129</v>
      </c>
      <c r="B2" s="44">
        <f ca="1">INDIRECT("Data!I7",TRUE)</f>
        <v>92569</v>
      </c>
    </row>
    <row r="3" spans="1:21" x14ac:dyDescent="0.3">
      <c r="A3" s="18">
        <f ca="1">INDIRECT("Data!A6",TRUE)</f>
        <v>46132</v>
      </c>
      <c r="B3" s="44">
        <f ca="1">INDIRECT("Data!I6",TRUE)</f>
        <v>91796</v>
      </c>
    </row>
    <row r="4" spans="1:21" x14ac:dyDescent="0.3">
      <c r="A4" s="18">
        <f ca="1">INDIRECT("Data!A5",TRUE)</f>
        <v>46133</v>
      </c>
      <c r="B4" s="44">
        <f ca="1">INDIRECT("Data!I5",TRUE)</f>
        <v>91532</v>
      </c>
    </row>
    <row r="5" spans="1:21" x14ac:dyDescent="0.3">
      <c r="A5" s="18">
        <f ca="1">INDIRECT("Data!A4",TRUE)</f>
        <v>46134</v>
      </c>
      <c r="B5" s="44">
        <f ca="1">INDIRECT("Data!I4",TRUE)</f>
        <v>92815</v>
      </c>
    </row>
    <row r="6" spans="1:21" x14ac:dyDescent="0.3">
      <c r="A6" s="18">
        <f ca="1">INDIRECT("Data!A3",TRUE)</f>
        <v>46135</v>
      </c>
      <c r="B6" s="44">
        <f ca="1">INDIRECT("Data!I3",TRUE)</f>
        <v>93075</v>
      </c>
    </row>
    <row r="7" spans="1:21" x14ac:dyDescent="0.3">
      <c r="A7" s="18">
        <f ca="1">INDIRECT("Data!A2",TRUE)</f>
        <v>46136</v>
      </c>
      <c r="B7" s="44">
        <f ca="1">INDIRECT("Data!I2",TRUE)</f>
        <v>93344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Module____16"/>
  <dimension ref="A1:U7"/>
  <sheetViews>
    <sheetView zoomScaleNormal="100" workbookViewId="0">
      <selection activeCell="W24" sqref="W24"/>
    </sheetView>
  </sheetViews>
  <sheetFormatPr defaultColWidth="9.109375" defaultRowHeight="14.4" x14ac:dyDescent="0.3"/>
  <cols>
    <col min="1" max="1" width="12.44140625" style="17" customWidth="1"/>
    <col min="2" max="2" width="17.109375" style="17" customWidth="1"/>
    <col min="3" max="16384" width="9.109375" style="17"/>
  </cols>
  <sheetData>
    <row r="1" spans="1:21" ht="28.8" x14ac:dyDescent="0.3">
      <c r="A1" s="16" t="s">
        <v>0</v>
      </c>
      <c r="B1" s="4" t="s">
        <v>33</v>
      </c>
      <c r="U1" t="s">
        <v>9</v>
      </c>
    </row>
    <row r="2" spans="1:21" x14ac:dyDescent="0.3">
      <c r="A2" s="18">
        <f ca="1">INDIRECT("Data!A7",TRUE)</f>
        <v>46129</v>
      </c>
      <c r="B2" s="44">
        <f ca="1">INDIRECT("Data!C7",TRUE)</f>
        <v>275867</v>
      </c>
    </row>
    <row r="3" spans="1:21" x14ac:dyDescent="0.3">
      <c r="A3" s="18">
        <f ca="1">INDIRECT("Data!A6",TRUE)</f>
        <v>46132</v>
      </c>
      <c r="B3" s="44">
        <f ca="1">INDIRECT("Data!c6",TRUE)</f>
        <v>277236</v>
      </c>
    </row>
    <row r="4" spans="1:21" x14ac:dyDescent="0.3">
      <c r="A4" s="18">
        <f ca="1">INDIRECT("Data!A5",TRUE)</f>
        <v>46133</v>
      </c>
      <c r="B4" s="44">
        <f ca="1">INDIRECT("Data!C5",TRUE)</f>
        <v>275415</v>
      </c>
    </row>
    <row r="5" spans="1:21" x14ac:dyDescent="0.3">
      <c r="A5" s="18">
        <f ca="1">INDIRECT("Data!A4",TRUE)</f>
        <v>46134</v>
      </c>
      <c r="B5" s="44">
        <f ca="1">INDIRECT("Data!C4",TRUE)</f>
        <v>276955</v>
      </c>
    </row>
    <row r="6" spans="1:21" x14ac:dyDescent="0.3">
      <c r="A6" s="18">
        <f ca="1">INDIRECT("Data!A3",TRUE)</f>
        <v>46135</v>
      </c>
      <c r="B6" s="44">
        <f ca="1">INDIRECT("Data!c3",TRUE)</f>
        <v>278860</v>
      </c>
    </row>
    <row r="7" spans="1:21" x14ac:dyDescent="0.3">
      <c r="A7" s="18">
        <f ca="1">INDIRECT("Data!A2",TRUE)</f>
        <v>46136</v>
      </c>
      <c r="B7" s="44">
        <f ca="1">INDIRECT("Data!C2",TRUE)</f>
        <v>279768</v>
      </c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Module____17"/>
  <dimension ref="A1:U7"/>
  <sheetViews>
    <sheetView zoomScaleNormal="100" workbookViewId="0"/>
  </sheetViews>
  <sheetFormatPr defaultColWidth="9.109375" defaultRowHeight="14.4" x14ac:dyDescent="0.3"/>
  <cols>
    <col min="1" max="1" width="12.44140625" style="17" customWidth="1"/>
    <col min="2" max="2" width="17.33203125" style="17" customWidth="1"/>
    <col min="3" max="16384" width="9.109375" style="17"/>
  </cols>
  <sheetData>
    <row r="1" spans="1:21" ht="28.8" x14ac:dyDescent="0.3">
      <c r="A1" s="16" t="s">
        <v>0</v>
      </c>
      <c r="B1" s="4" t="s">
        <v>34</v>
      </c>
      <c r="U1" t="s">
        <v>9</v>
      </c>
    </row>
    <row r="2" spans="1:21" x14ac:dyDescent="0.3">
      <c r="A2" s="18">
        <f ca="1">INDIRECT("Data!A7",TRUE)</f>
        <v>46129</v>
      </c>
      <c r="B2" s="44">
        <f ca="1">INDIRECT("Data!H7",TRUE)</f>
        <v>81641</v>
      </c>
    </row>
    <row r="3" spans="1:21" x14ac:dyDescent="0.3">
      <c r="A3" s="18">
        <f ca="1">INDIRECT("Data!A6",TRUE)</f>
        <v>46132</v>
      </c>
      <c r="B3" s="44">
        <f ca="1">INDIRECT("Data!H6",TRUE)</f>
        <v>82565</v>
      </c>
    </row>
    <row r="4" spans="1:21" x14ac:dyDescent="0.3">
      <c r="A4" s="18">
        <f ca="1">INDIRECT("Data!A5",TRUE)</f>
        <v>46133</v>
      </c>
      <c r="B4" s="44">
        <f ca="1">INDIRECT("Data!H5",TRUE)</f>
        <v>82508</v>
      </c>
    </row>
    <row r="5" spans="1:21" x14ac:dyDescent="0.3">
      <c r="A5" s="18">
        <f ca="1">INDIRECT("Data!A4",TRUE)</f>
        <v>46134</v>
      </c>
      <c r="B5" s="44">
        <f ca="1">INDIRECT("Data!H4",TRUE)</f>
        <v>82536</v>
      </c>
    </row>
    <row r="6" spans="1:21" x14ac:dyDescent="0.3">
      <c r="A6" s="18">
        <f ca="1">INDIRECT("Data!A3",TRUE)</f>
        <v>46135</v>
      </c>
      <c r="B6" s="44">
        <f ca="1">INDIRECT("Data!H3",TRUE)</f>
        <v>83423</v>
      </c>
    </row>
    <row r="7" spans="1:21" x14ac:dyDescent="0.3">
      <c r="A7" s="18">
        <f ca="1">INDIRECT("Data!A2",TRUE)</f>
        <v>46136</v>
      </c>
      <c r="B7" s="44">
        <f ca="1">INDIRECT("Data!H2",TRUE)</f>
        <v>83437</v>
      </c>
    </row>
  </sheetData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Module____18"/>
  <dimension ref="A1:U7"/>
  <sheetViews>
    <sheetView zoomScaleNormal="100" workbookViewId="0">
      <selection activeCell="B8" sqref="B8"/>
    </sheetView>
  </sheetViews>
  <sheetFormatPr defaultColWidth="9.109375" defaultRowHeight="14.4" x14ac:dyDescent="0.3"/>
  <cols>
    <col min="1" max="1" width="12.44140625" style="17" customWidth="1"/>
    <col min="2" max="2" width="17.88671875" style="17" customWidth="1"/>
    <col min="3" max="16384" width="9.109375" style="17"/>
  </cols>
  <sheetData>
    <row r="1" spans="1:21" ht="28.8" x14ac:dyDescent="0.3">
      <c r="A1" s="16" t="s">
        <v>0</v>
      </c>
      <c r="B1" s="4" t="s">
        <v>35</v>
      </c>
      <c r="U1" t="s">
        <v>9</v>
      </c>
    </row>
    <row r="2" spans="1:21" x14ac:dyDescent="0.3">
      <c r="A2" s="18">
        <f ca="1">INDIRECT("Data!A7",TRUE)</f>
        <v>46129</v>
      </c>
      <c r="B2" s="44">
        <f ca="1">INDIRECT("Data!E7",TRUE)</f>
        <v>261032</v>
      </c>
    </row>
    <row r="3" spans="1:21" x14ac:dyDescent="0.3">
      <c r="A3" s="18">
        <f ca="1">INDIRECT("Data!A6",TRUE)</f>
        <v>46132</v>
      </c>
      <c r="B3" s="44">
        <f ca="1">INDIRECT("Data!E6",TRUE)</f>
        <v>260504</v>
      </c>
    </row>
    <row r="4" spans="1:21" x14ac:dyDescent="0.3">
      <c r="A4" s="18">
        <f ca="1">INDIRECT("Data!A5",TRUE)</f>
        <v>46133</v>
      </c>
      <c r="B4" s="44">
        <f ca="1">INDIRECT("Data!E5",TRUE)</f>
        <v>255128</v>
      </c>
    </row>
    <row r="5" spans="1:21" x14ac:dyDescent="0.3">
      <c r="A5" s="18">
        <f ca="1">INDIRECT("Data!A4",TRUE)</f>
        <v>46134</v>
      </c>
      <c r="B5" s="44">
        <f ca="1">INDIRECT("Data!E4",TRUE)</f>
        <v>251709</v>
      </c>
    </row>
    <row r="6" spans="1:21" x14ac:dyDescent="0.3">
      <c r="A6" s="18">
        <f ca="1">INDIRECT("Data!A3",TRUE)</f>
        <v>46135</v>
      </c>
      <c r="B6" s="44">
        <f ca="1">INDIRECT("Data!E3",TRUE)</f>
        <v>249849</v>
      </c>
    </row>
    <row r="7" spans="1:21" x14ac:dyDescent="0.3">
      <c r="A7" s="18">
        <f ca="1">INDIRECT("Data!A2",TRUE)</f>
        <v>46136</v>
      </c>
      <c r="B7" s="44">
        <f ca="1">INDIRECT("Data!E2",TRUE)</f>
        <v>249179</v>
      </c>
    </row>
  </sheetData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Module____19"/>
  <dimension ref="A1:U7"/>
  <sheetViews>
    <sheetView zoomScaleNormal="100" workbookViewId="0"/>
  </sheetViews>
  <sheetFormatPr defaultColWidth="9.109375" defaultRowHeight="14.4" x14ac:dyDescent="0.3"/>
  <cols>
    <col min="1" max="1" width="12.44140625" style="17" customWidth="1"/>
    <col min="2" max="2" width="17.88671875" style="17" customWidth="1"/>
    <col min="3" max="16384" width="9.109375" style="17"/>
  </cols>
  <sheetData>
    <row r="1" spans="1:21" ht="28.8" x14ac:dyDescent="0.3">
      <c r="A1" s="16" t="s">
        <v>0</v>
      </c>
      <c r="B1" s="4" t="s">
        <v>36</v>
      </c>
      <c r="U1" t="s">
        <v>9</v>
      </c>
    </row>
    <row r="2" spans="1:21" x14ac:dyDescent="0.3">
      <c r="A2" s="18">
        <f ca="1">INDIRECT("Data!A7",TRUE)</f>
        <v>46129</v>
      </c>
      <c r="B2" s="44">
        <f ca="1">INDIRECT("Data!K7",TRUE)</f>
        <v>368202</v>
      </c>
    </row>
    <row r="3" spans="1:21" x14ac:dyDescent="0.3">
      <c r="A3" s="18">
        <f ca="1">INDIRECT("Data!A6",TRUE)</f>
        <v>46132</v>
      </c>
      <c r="B3" s="44">
        <f ca="1">INDIRECT("Data!K6",TRUE)</f>
        <v>366491</v>
      </c>
    </row>
    <row r="4" spans="1:21" x14ac:dyDescent="0.3">
      <c r="A4" s="18">
        <f ca="1">INDIRECT("Data!A5",TRUE)</f>
        <v>46133</v>
      </c>
      <c r="B4" s="44">
        <f ca="1">INDIRECT("Data!K5",TRUE)</f>
        <v>365842</v>
      </c>
    </row>
    <row r="5" spans="1:21" x14ac:dyDescent="0.3">
      <c r="A5" s="18">
        <f ca="1">INDIRECT("Data!A4",TRUE)</f>
        <v>46134</v>
      </c>
      <c r="B5" s="44">
        <f ca="1">INDIRECT("Data!K4",TRUE)</f>
        <v>366008</v>
      </c>
    </row>
    <row r="6" spans="1:21" x14ac:dyDescent="0.3">
      <c r="A6" s="18">
        <f ca="1">INDIRECT("Data!A3",TRUE)</f>
        <v>46135</v>
      </c>
      <c r="B6" s="44">
        <f ca="1">INDIRECT("Data!K3",TRUE)</f>
        <v>364471</v>
      </c>
    </row>
    <row r="7" spans="1:21" x14ac:dyDescent="0.3">
      <c r="A7" s="18">
        <f ca="1">INDIRECT("Data!A2",TRUE)</f>
        <v>46136</v>
      </c>
      <c r="B7" s="44">
        <f ca="1">INDIRECT("Data!K2",TRUE)</f>
        <v>368241</v>
      </c>
    </row>
  </sheetData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Module____20"/>
  <dimension ref="A1:U7"/>
  <sheetViews>
    <sheetView workbookViewId="0">
      <selection activeCell="B2" sqref="B2"/>
    </sheetView>
  </sheetViews>
  <sheetFormatPr defaultColWidth="9.109375" defaultRowHeight="14.4" x14ac:dyDescent="0.3"/>
  <cols>
    <col min="1" max="1" width="12.44140625" style="17" customWidth="1"/>
    <col min="2" max="2" width="18.109375" style="17" customWidth="1"/>
    <col min="3" max="16384" width="9.109375" style="17"/>
  </cols>
  <sheetData>
    <row r="1" spans="1:21" ht="32.25" customHeight="1" x14ac:dyDescent="0.3">
      <c r="A1" s="16" t="s">
        <v>0</v>
      </c>
      <c r="B1" s="4" t="s">
        <v>37</v>
      </c>
      <c r="U1" t="s">
        <v>9</v>
      </c>
    </row>
    <row r="2" spans="1:21" x14ac:dyDescent="0.3">
      <c r="A2" s="18">
        <f ca="1">INDIRECT("Data!A7",TRUE)</f>
        <v>46129</v>
      </c>
      <c r="B2" s="44">
        <f ca="1">INDIRECT("Data!L7",TRUE)</f>
        <v>117836</v>
      </c>
    </row>
    <row r="3" spans="1:21" x14ac:dyDescent="0.3">
      <c r="A3" s="18">
        <f ca="1">INDIRECT("Data!A6",TRUE)</f>
        <v>46132</v>
      </c>
      <c r="B3" s="44">
        <f ca="1">INDIRECT("Data!L6",TRUE)</f>
        <v>117265</v>
      </c>
    </row>
    <row r="4" spans="1:21" x14ac:dyDescent="0.3">
      <c r="A4" s="18">
        <f ca="1">INDIRECT("Data!A5",TRUE)</f>
        <v>46133</v>
      </c>
      <c r="B4" s="44">
        <f ca="1">INDIRECT("Data!L5",TRUE)</f>
        <v>115462</v>
      </c>
    </row>
    <row r="5" spans="1:21" x14ac:dyDescent="0.3">
      <c r="A5" s="18">
        <f ca="1">INDIRECT("Data!A4",TRUE)</f>
        <v>46134</v>
      </c>
      <c r="B5" s="44">
        <f ca="1">INDIRECT("Data!L4",TRUE)</f>
        <v>114173</v>
      </c>
    </row>
    <row r="6" spans="1:21" x14ac:dyDescent="0.3">
      <c r="A6" s="18">
        <f ca="1">INDIRECT("Data!A3",TRUE)</f>
        <v>46135</v>
      </c>
      <c r="B6" s="44">
        <f ca="1">INDIRECT("Data!L3",TRUE)</f>
        <v>112566</v>
      </c>
    </row>
    <row r="7" spans="1:21" x14ac:dyDescent="0.3">
      <c r="A7" s="18">
        <f ca="1">INDIRECT("Data!A2",TRUE)</f>
        <v>46136</v>
      </c>
      <c r="B7" s="44">
        <f ca="1">INDIRECT("Data!L2",TRUE)</f>
        <v>110587</v>
      </c>
    </row>
  </sheetData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Module____21"/>
  <dimension ref="A1:U7"/>
  <sheetViews>
    <sheetView workbookViewId="0"/>
  </sheetViews>
  <sheetFormatPr defaultColWidth="9.109375" defaultRowHeight="14.4" x14ac:dyDescent="0.3"/>
  <cols>
    <col min="1" max="1" width="12.44140625" style="17" customWidth="1"/>
    <col min="2" max="2" width="19.6640625" style="17" customWidth="1"/>
    <col min="3" max="16384" width="9.109375" style="17"/>
  </cols>
  <sheetData>
    <row r="1" spans="1:21" ht="28.8" x14ac:dyDescent="0.3">
      <c r="A1" s="16" t="s">
        <v>0</v>
      </c>
      <c r="B1" s="4" t="s">
        <v>38</v>
      </c>
      <c r="U1" t="s">
        <v>9</v>
      </c>
    </row>
    <row r="2" spans="1:21" x14ac:dyDescent="0.3">
      <c r="A2" s="18">
        <f ca="1">INDIRECT("Data!A7",TRUE)</f>
        <v>46129</v>
      </c>
      <c r="B2" s="44">
        <f ca="1">INDIRECT("Data!J7",TRUE)</f>
        <v>252852</v>
      </c>
    </row>
    <row r="3" spans="1:21" x14ac:dyDescent="0.3">
      <c r="A3" s="18">
        <f ca="1">INDIRECT("Data!A6",TRUE)</f>
        <v>46132</v>
      </c>
      <c r="B3" s="44">
        <f ca="1">INDIRECT("Data!J6",TRUE)</f>
        <v>252425</v>
      </c>
    </row>
    <row r="4" spans="1:21" x14ac:dyDescent="0.3">
      <c r="A4" s="18">
        <f ca="1">INDIRECT("Data!A5",TRUE)</f>
        <v>46133</v>
      </c>
      <c r="B4" s="44">
        <f ca="1">INDIRECT("Data!J5",TRUE)</f>
        <v>250504</v>
      </c>
    </row>
    <row r="5" spans="1:21" x14ac:dyDescent="0.3">
      <c r="A5" s="18">
        <f ca="1">INDIRECT("Data!A4",TRUE)</f>
        <v>46134</v>
      </c>
      <c r="B5" s="44">
        <f ca="1">INDIRECT("Data!J4",TRUE)</f>
        <v>257130</v>
      </c>
    </row>
    <row r="6" spans="1:21" x14ac:dyDescent="0.3">
      <c r="A6" s="18">
        <f ca="1">INDIRECT("Data!A3",TRUE)</f>
        <v>46135</v>
      </c>
      <c r="B6" s="44">
        <f ca="1">INDIRECT("Data!J3",TRUE)</f>
        <v>253321</v>
      </c>
    </row>
    <row r="7" spans="1:21" x14ac:dyDescent="0.3">
      <c r="A7" s="18">
        <f ca="1">INDIRECT("Data!A2",TRUE)</f>
        <v>46136</v>
      </c>
      <c r="B7" s="44">
        <f ca="1">INDIRECT("Data!J2",TRUE)</f>
        <v>250026</v>
      </c>
    </row>
  </sheetData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Module____22"/>
  <dimension ref="A1:U7"/>
  <sheetViews>
    <sheetView zoomScaleNormal="100" workbookViewId="0"/>
  </sheetViews>
  <sheetFormatPr defaultColWidth="9.109375" defaultRowHeight="14.4" x14ac:dyDescent="0.3"/>
  <cols>
    <col min="1" max="1" width="12.44140625" style="17" customWidth="1"/>
    <col min="2" max="2" width="21.44140625" style="17" customWidth="1"/>
    <col min="3" max="16384" width="9.109375" style="17"/>
  </cols>
  <sheetData>
    <row r="1" spans="1:21" ht="28.8" x14ac:dyDescent="0.3">
      <c r="A1" s="16" t="s">
        <v>0</v>
      </c>
      <c r="B1" s="4" t="s">
        <v>39</v>
      </c>
      <c r="U1" t="s">
        <v>9</v>
      </c>
    </row>
    <row r="2" spans="1:21" x14ac:dyDescent="0.3">
      <c r="A2" s="18">
        <f ca="1">INDIRECT("Data!A7",TRUE)</f>
        <v>46129</v>
      </c>
      <c r="B2" s="44">
        <f ca="1">INDIRECT("Data!M7",TRUE)</f>
        <v>2026576</v>
      </c>
    </row>
    <row r="3" spans="1:21" x14ac:dyDescent="0.3">
      <c r="A3" s="18">
        <f ca="1">INDIRECT("Data!A6",TRUE)</f>
        <v>46132</v>
      </c>
      <c r="B3" s="44">
        <f ca="1">INDIRECT("Data!M6",TRUE)</f>
        <v>1994974</v>
      </c>
    </row>
    <row r="4" spans="1:21" x14ac:dyDescent="0.3">
      <c r="A4" s="18">
        <f ca="1">INDIRECT("Data!A5",TRUE)</f>
        <v>46133</v>
      </c>
      <c r="B4" s="44">
        <f ca="1">INDIRECT("Data!M5",TRUE)</f>
        <v>1984747</v>
      </c>
    </row>
    <row r="5" spans="1:21" x14ac:dyDescent="0.3">
      <c r="A5" s="18">
        <f ca="1">INDIRECT("Data!A4",TRUE)</f>
        <v>46134</v>
      </c>
      <c r="B5" s="44">
        <f ca="1">INDIRECT("Data!M4",TRUE)</f>
        <v>1988692</v>
      </c>
    </row>
    <row r="6" spans="1:21" x14ac:dyDescent="0.3">
      <c r="A6" s="18">
        <f ca="1">INDIRECT("Data!A3",TRUE)</f>
        <v>46135</v>
      </c>
      <c r="B6" s="44">
        <f ca="1">INDIRECT("Data!M3",TRUE)</f>
        <v>1990645</v>
      </c>
    </row>
    <row r="7" spans="1:21" x14ac:dyDescent="0.3">
      <c r="A7" s="18">
        <f ca="1">INDIRECT("Data!A2",TRUE)</f>
        <v>46136</v>
      </c>
      <c r="B7" s="44">
        <f ca="1">INDIRECT("Data!M2",TRUE)</f>
        <v>2000131</v>
      </c>
    </row>
  </sheetData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Module____23"/>
  <dimension ref="A1:U7"/>
  <sheetViews>
    <sheetView workbookViewId="0"/>
  </sheetViews>
  <sheetFormatPr defaultColWidth="9.109375" defaultRowHeight="14.4" x14ac:dyDescent="0.3"/>
  <cols>
    <col min="1" max="1" width="12.44140625" style="17" customWidth="1"/>
    <col min="2" max="2" width="20.88671875" style="17" customWidth="1"/>
    <col min="3" max="16384" width="9.109375" style="17"/>
  </cols>
  <sheetData>
    <row r="1" spans="1:21" ht="28.8" x14ac:dyDescent="0.3">
      <c r="A1" s="16" t="s">
        <v>0</v>
      </c>
      <c r="B1" s="4" t="s">
        <v>40</v>
      </c>
      <c r="U1" t="s">
        <v>9</v>
      </c>
    </row>
    <row r="2" spans="1:21" x14ac:dyDescent="0.3">
      <c r="A2" s="18">
        <f ca="1">INDIRECT("Data!A7",TRUE)</f>
        <v>46129</v>
      </c>
      <c r="B2" s="44">
        <f ca="1">INDIRECT("Data!N7",TRUE)</f>
        <v>1578791</v>
      </c>
    </row>
    <row r="3" spans="1:21" x14ac:dyDescent="0.3">
      <c r="A3" s="18">
        <f ca="1">INDIRECT("Data!A6",TRUE)</f>
        <v>46132</v>
      </c>
      <c r="B3" s="44">
        <f ca="1">INDIRECT("Data!N6",TRUE)</f>
        <v>1583233</v>
      </c>
    </row>
    <row r="4" spans="1:21" x14ac:dyDescent="0.3">
      <c r="A4" s="18">
        <f ca="1">INDIRECT("Data!A5",TRUE)</f>
        <v>46133</v>
      </c>
      <c r="B4" s="44">
        <f ca="1">INDIRECT("Data!N5",TRUE)</f>
        <v>1576663</v>
      </c>
    </row>
    <row r="5" spans="1:21" x14ac:dyDescent="0.3">
      <c r="A5" s="18">
        <f ca="1">INDIRECT("Data!A4",TRUE)</f>
        <v>46134</v>
      </c>
      <c r="B5" s="44">
        <f ca="1">INDIRECT("Data!N4",TRUE)</f>
        <v>1575557</v>
      </c>
    </row>
    <row r="6" spans="1:21" x14ac:dyDescent="0.3">
      <c r="A6" s="18">
        <f ca="1">INDIRECT("Data!A3",TRUE)</f>
        <v>46135</v>
      </c>
      <c r="B6" s="44">
        <f ca="1">INDIRECT("Data!N3",TRUE)</f>
        <v>1580834</v>
      </c>
    </row>
    <row r="7" spans="1:21" x14ac:dyDescent="0.3">
      <c r="A7" s="18">
        <f ca="1">INDIRECT("Data!A2",TRUE)</f>
        <v>46136</v>
      </c>
      <c r="B7" s="44">
        <f ca="1">INDIRECT("Data!N2",TRUE)</f>
        <v>1589567</v>
      </c>
    </row>
  </sheetData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Module____24"/>
  <dimension ref="A1:U7"/>
  <sheetViews>
    <sheetView zoomScaleNormal="100" workbookViewId="0"/>
  </sheetViews>
  <sheetFormatPr defaultColWidth="9.109375" defaultRowHeight="14.4" x14ac:dyDescent="0.3"/>
  <cols>
    <col min="1" max="1" width="12.44140625" style="17" customWidth="1"/>
    <col min="2" max="2" width="15.33203125" style="17" bestFit="1" customWidth="1"/>
    <col min="3" max="16384" width="9.109375" style="17"/>
  </cols>
  <sheetData>
    <row r="1" spans="1:21" ht="43.2" x14ac:dyDescent="0.3">
      <c r="A1" s="16" t="s">
        <v>0</v>
      </c>
      <c r="B1" s="4" t="s">
        <v>41</v>
      </c>
      <c r="U1" t="s">
        <v>9</v>
      </c>
    </row>
    <row r="2" spans="1:21" x14ac:dyDescent="0.3">
      <c r="A2" s="18">
        <f ca="1">INDIRECT("Data!A7",TRUE)</f>
        <v>46129</v>
      </c>
      <c r="B2" s="44">
        <f ca="1">INDIRECT("Data!R7",TRUE)</f>
        <v>1969043</v>
      </c>
    </row>
    <row r="3" spans="1:21" x14ac:dyDescent="0.3">
      <c r="A3" s="18">
        <f ca="1">INDIRECT("Data!A6",TRUE)</f>
        <v>46132</v>
      </c>
      <c r="B3" s="44">
        <f ca="1">INDIRECT("Data!R6",TRUE)</f>
        <v>1962204</v>
      </c>
    </row>
    <row r="4" spans="1:21" x14ac:dyDescent="0.3">
      <c r="A4" s="18">
        <f ca="1">INDIRECT("Data!A5",TRUE)</f>
        <v>46133</v>
      </c>
      <c r="B4" s="44">
        <f ca="1">INDIRECT("Data!R5",TRUE)</f>
        <v>1963317</v>
      </c>
    </row>
    <row r="5" spans="1:21" x14ac:dyDescent="0.3">
      <c r="A5" s="18">
        <f ca="1">INDIRECT("Data!A4",TRUE)</f>
        <v>46134</v>
      </c>
      <c r="B5" s="44">
        <f ca="1">INDIRECT("Data!r4",TRUE)</f>
        <v>1963408</v>
      </c>
    </row>
    <row r="6" spans="1:21" x14ac:dyDescent="0.3">
      <c r="A6" s="18">
        <f ca="1">INDIRECT("Data!A3",TRUE)</f>
        <v>46135</v>
      </c>
      <c r="B6" s="44">
        <f ca="1">INDIRECT("Data!R3",TRUE)</f>
        <v>1964936</v>
      </c>
    </row>
    <row r="7" spans="1:21" x14ac:dyDescent="0.3">
      <c r="A7" s="18">
        <f ca="1">INDIRECT("Data!A2",TRUE)</f>
        <v>46136</v>
      </c>
      <c r="B7" s="44">
        <f ca="1">INDIRECT("Data!R2",TRUE)</f>
        <v>1970654</v>
      </c>
    </row>
  </sheetData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Module____25"/>
  <dimension ref="A1:U7"/>
  <sheetViews>
    <sheetView zoomScaleNormal="100" workbookViewId="0">
      <selection activeCell="U25" sqref="U25"/>
    </sheetView>
  </sheetViews>
  <sheetFormatPr defaultColWidth="9.109375" defaultRowHeight="14.4" x14ac:dyDescent="0.3"/>
  <cols>
    <col min="1" max="1" width="12.44140625" style="17" customWidth="1"/>
    <col min="2" max="2" width="22.33203125" style="17" customWidth="1"/>
    <col min="3" max="16384" width="9.109375" style="17"/>
  </cols>
  <sheetData>
    <row r="1" spans="1:21" ht="36.75" customHeight="1" x14ac:dyDescent="0.3">
      <c r="A1" s="16" t="s">
        <v>0</v>
      </c>
      <c r="B1" s="4" t="s">
        <v>42</v>
      </c>
      <c r="U1" t="s">
        <v>9</v>
      </c>
    </row>
    <row r="2" spans="1:21" x14ac:dyDescent="0.3">
      <c r="A2" s="18">
        <f ca="1">INDIRECT("Data!A7",TRUE)</f>
        <v>46129</v>
      </c>
      <c r="B2" s="44">
        <f ca="1">INDIRECT("Data!Q7",TRUE)</f>
        <v>264625</v>
      </c>
    </row>
    <row r="3" spans="1:21" x14ac:dyDescent="0.3">
      <c r="A3" s="18">
        <f ca="1">INDIRECT("Data!A6",TRUE)</f>
        <v>46132</v>
      </c>
      <c r="B3" s="44">
        <f ca="1">INDIRECT("Data!Q6",TRUE)</f>
        <v>271088</v>
      </c>
    </row>
    <row r="4" spans="1:21" x14ac:dyDescent="0.3">
      <c r="A4" s="18">
        <f ca="1">INDIRECT("Data!A5",TRUE)</f>
        <v>46133</v>
      </c>
      <c r="B4" s="44">
        <f ca="1">INDIRECT("Data!Q5",TRUE)</f>
        <v>267620</v>
      </c>
    </row>
    <row r="5" spans="1:21" x14ac:dyDescent="0.3">
      <c r="A5" s="18">
        <f ca="1">INDIRECT("Data!A4",TRUE)</f>
        <v>46134</v>
      </c>
      <c r="B5" s="44">
        <f ca="1">INDIRECT("Data!Q4",TRUE)</f>
        <v>270960</v>
      </c>
    </row>
    <row r="6" spans="1:21" x14ac:dyDescent="0.3">
      <c r="A6" s="18">
        <f ca="1">INDIRECT("Data!A3",TRUE)</f>
        <v>46135</v>
      </c>
      <c r="B6" s="44">
        <f ca="1">INDIRECT("Data!Q3",TRUE)</f>
        <v>269869</v>
      </c>
    </row>
    <row r="7" spans="1:21" x14ac:dyDescent="0.3">
      <c r="A7" s="18">
        <f ca="1">INDIRECT("Data!A2",TRUE)</f>
        <v>46136</v>
      </c>
      <c r="B7" s="44">
        <f ca="1">INDIRECT("Data!Q2",TRUE)</f>
        <v>278000</v>
      </c>
    </row>
  </sheetData>
  <pageMargins left="0.7" right="0.7" top="0.75" bottom="0.75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Module____26"/>
  <dimension ref="A1:U7"/>
  <sheetViews>
    <sheetView zoomScaleNormal="100" workbookViewId="0"/>
  </sheetViews>
  <sheetFormatPr defaultColWidth="9.109375" defaultRowHeight="14.4" x14ac:dyDescent="0.3"/>
  <cols>
    <col min="1" max="1" width="12.44140625" style="17" customWidth="1"/>
    <col min="2" max="2" width="15.33203125" style="17" bestFit="1" customWidth="1"/>
    <col min="3" max="16384" width="9.109375" style="17"/>
  </cols>
  <sheetData>
    <row r="1" spans="1:21" ht="43.2" x14ac:dyDescent="0.3">
      <c r="A1" s="16" t="s">
        <v>0</v>
      </c>
      <c r="B1" s="4" t="s">
        <v>43</v>
      </c>
      <c r="U1" t="s">
        <v>9</v>
      </c>
    </row>
    <row r="2" spans="1:21" x14ac:dyDescent="0.3">
      <c r="A2" s="18">
        <f ca="1">INDIRECT("Data!A7",TRUE)</f>
        <v>46129</v>
      </c>
      <c r="B2" s="44">
        <f ca="1">INDIRECT("Data!P7",TRUE)</f>
        <v>71068</v>
      </c>
    </row>
    <row r="3" spans="1:21" x14ac:dyDescent="0.3">
      <c r="A3" s="18">
        <f ca="1">INDIRECT("Data!A6",TRUE)</f>
        <v>46132</v>
      </c>
      <c r="B3" s="44">
        <f ca="1">INDIRECT("Data!P6",TRUE)</f>
        <v>70536</v>
      </c>
    </row>
    <row r="4" spans="1:21" x14ac:dyDescent="0.3">
      <c r="A4" s="18">
        <f ca="1">INDIRECT("Data!A5",TRUE)</f>
        <v>46133</v>
      </c>
      <c r="B4" s="44">
        <f ca="1">INDIRECT("Data!P5",TRUE)</f>
        <v>71200</v>
      </c>
    </row>
    <row r="5" spans="1:21" x14ac:dyDescent="0.3">
      <c r="A5" s="18">
        <f ca="1">INDIRECT("Data!A4",TRUE)</f>
        <v>46134</v>
      </c>
      <c r="B5" s="44">
        <f ca="1">INDIRECT("Data!P4",TRUE)</f>
        <v>71644</v>
      </c>
    </row>
    <row r="6" spans="1:21" x14ac:dyDescent="0.3">
      <c r="A6" s="18">
        <f ca="1">INDIRECT("Data!A3",TRUE)</f>
        <v>46135</v>
      </c>
      <c r="B6" s="44">
        <f ca="1">INDIRECT("Data!P3",TRUE)</f>
        <v>73405</v>
      </c>
    </row>
    <row r="7" spans="1:21" x14ac:dyDescent="0.3">
      <c r="A7" s="18">
        <f ca="1">INDIRECT("Data!A2",TRUE)</f>
        <v>46136</v>
      </c>
      <c r="B7" s="44">
        <f ca="1">INDIRECT("Data!P2",TRUE)</f>
        <v>74259</v>
      </c>
    </row>
  </sheetData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B5ECB5-A759-4B9F-87BE-D902A3AB8A8B}">
  <sheetPr codeName="Module____30"/>
  <dimension ref="A1:U7"/>
  <sheetViews>
    <sheetView workbookViewId="0"/>
  </sheetViews>
  <sheetFormatPr defaultColWidth="9.109375" defaultRowHeight="14.4" x14ac:dyDescent="0.3"/>
  <cols>
    <col min="1" max="1" width="12.44140625" style="17" customWidth="1"/>
    <col min="2" max="2" width="15.33203125" style="17" bestFit="1" customWidth="1"/>
    <col min="3" max="16384" width="9.109375" style="17"/>
  </cols>
  <sheetData>
    <row r="1" spans="1:21" ht="57.6" x14ac:dyDescent="0.3">
      <c r="A1" s="16" t="s">
        <v>0</v>
      </c>
      <c r="B1" s="4" t="s">
        <v>47</v>
      </c>
      <c r="U1" t="s">
        <v>9</v>
      </c>
    </row>
    <row r="2" spans="1:21" x14ac:dyDescent="0.3">
      <c r="A2" s="18">
        <f ca="1">INDIRECT("Data!A7",TRUE)</f>
        <v>46129</v>
      </c>
      <c r="B2" s="44">
        <f ca="1">INDIRECT("Data!T7",TRUE)</f>
        <v>411483</v>
      </c>
    </row>
    <row r="3" spans="1:21" x14ac:dyDescent="0.3">
      <c r="A3" s="18">
        <f ca="1">INDIRECT("Data!A6",TRUE)</f>
        <v>46132</v>
      </c>
      <c r="B3" s="44">
        <f ca="1">INDIRECT("Data!T6",TRUE)</f>
        <v>412145</v>
      </c>
    </row>
    <row r="4" spans="1:21" x14ac:dyDescent="0.3">
      <c r="A4" s="18">
        <f ca="1">INDIRECT("Data!A5",TRUE)</f>
        <v>46133</v>
      </c>
      <c r="B4" s="44">
        <f ca="1">INDIRECT("Data!T5",TRUE)</f>
        <v>411435</v>
      </c>
    </row>
    <row r="5" spans="1:21" x14ac:dyDescent="0.3">
      <c r="A5" s="18">
        <f ca="1">INDIRECT("Data!A4",TRUE)</f>
        <v>46134</v>
      </c>
      <c r="B5" s="44">
        <f ca="1">INDIRECT("Data!T4",TRUE)</f>
        <v>409193</v>
      </c>
    </row>
    <row r="6" spans="1:21" x14ac:dyDescent="0.3">
      <c r="A6" s="18">
        <f ca="1">INDIRECT("Data!A3",TRUE)</f>
        <v>46135</v>
      </c>
      <c r="B6" s="44">
        <f ca="1">INDIRECT("Data!T3",TRUE)</f>
        <v>405726</v>
      </c>
    </row>
    <row r="7" spans="1:21" x14ac:dyDescent="0.3">
      <c r="A7" s="18">
        <f ca="1">INDIRECT("Data!A2",TRUE)</f>
        <v>46136</v>
      </c>
      <c r="B7" s="44">
        <f ca="1">INDIRECT("Data!T2",TRUE)</f>
        <v>405450</v>
      </c>
    </row>
  </sheetData>
  <pageMargins left="0.7" right="0.7" top="0.75" bottom="0.75" header="0.3" footer="0.3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Module____27"/>
  <dimension ref="A1:U7"/>
  <sheetViews>
    <sheetView workbookViewId="0"/>
  </sheetViews>
  <sheetFormatPr defaultColWidth="9.109375" defaultRowHeight="14.4" x14ac:dyDescent="0.3"/>
  <cols>
    <col min="1" max="1" width="12.44140625" style="17" customWidth="1"/>
    <col min="2" max="2" width="17.109375" style="17" customWidth="1"/>
    <col min="3" max="16384" width="9.109375" style="17"/>
  </cols>
  <sheetData>
    <row r="1" spans="1:21" ht="37.5" customHeight="1" x14ac:dyDescent="0.3">
      <c r="A1" s="16" t="s">
        <v>0</v>
      </c>
      <c r="B1" s="4" t="s">
        <v>44</v>
      </c>
      <c r="U1" t="s">
        <v>9</v>
      </c>
    </row>
    <row r="2" spans="1:21" x14ac:dyDescent="0.3">
      <c r="A2" s="18">
        <f ca="1">INDIRECT("Data!A7",TRUE)</f>
        <v>46129</v>
      </c>
      <c r="B2" s="44">
        <f ca="1">INDIRECT("Data!S7",TRUE)</f>
        <v>47714</v>
      </c>
    </row>
    <row r="3" spans="1:21" x14ac:dyDescent="0.3">
      <c r="A3" s="18">
        <f ca="1">INDIRECT("Data!A6",TRUE)</f>
        <v>46132</v>
      </c>
      <c r="B3" s="44">
        <f ca="1">INDIRECT("Data!S6",TRUE)</f>
        <v>44165</v>
      </c>
    </row>
    <row r="4" spans="1:21" x14ac:dyDescent="0.3">
      <c r="A4" s="18">
        <f ca="1">INDIRECT("Data!A5",TRUE)</f>
        <v>46133</v>
      </c>
      <c r="B4" s="44">
        <f ca="1">INDIRECT("Data!S5",TRUE)</f>
        <v>45187</v>
      </c>
    </row>
    <row r="5" spans="1:21" x14ac:dyDescent="0.3">
      <c r="A5" s="18">
        <f ca="1">INDIRECT("Data!A4",TRUE)</f>
        <v>46134</v>
      </c>
      <c r="B5" s="44">
        <f ca="1">INDIRECT("Data!S4",TRUE)</f>
        <v>45233</v>
      </c>
    </row>
    <row r="6" spans="1:21" x14ac:dyDescent="0.3">
      <c r="A6" s="18">
        <f ca="1">INDIRECT("Data!A3",TRUE)</f>
        <v>46135</v>
      </c>
      <c r="B6" s="44">
        <f ca="1">INDIRECT("Data!S3",TRUE)</f>
        <v>47834</v>
      </c>
    </row>
    <row r="7" spans="1:21" x14ac:dyDescent="0.3">
      <c r="A7" s="18">
        <f ca="1">INDIRECT("Data!A2",TRUE)</f>
        <v>46136</v>
      </c>
      <c r="B7" s="44">
        <f ca="1">INDIRECT("Data!S2",TRUE)</f>
        <v>47707</v>
      </c>
    </row>
  </sheetData>
  <pageMargins left="0.7" right="0.7" top="0.75" bottom="0.75" header="0.3" footer="0.3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Module____28"/>
  <dimension ref="A1:U7"/>
  <sheetViews>
    <sheetView workbookViewId="0"/>
  </sheetViews>
  <sheetFormatPr defaultColWidth="9.109375" defaultRowHeight="14.4" x14ac:dyDescent="0.3"/>
  <cols>
    <col min="1" max="1" width="12.44140625" style="17" customWidth="1"/>
    <col min="2" max="2" width="19.44140625" style="17" customWidth="1"/>
    <col min="3" max="16384" width="9.109375" style="17"/>
  </cols>
  <sheetData>
    <row r="1" spans="1:21" ht="36.75" customHeight="1" x14ac:dyDescent="0.3">
      <c r="A1" s="16" t="s">
        <v>0</v>
      </c>
      <c r="B1" s="4" t="s">
        <v>45</v>
      </c>
      <c r="U1" t="s">
        <v>9</v>
      </c>
    </row>
    <row r="2" spans="1:21" x14ac:dyDescent="0.3">
      <c r="A2" s="18">
        <f ca="1">INDIRECT("Data!A7",TRUE)</f>
        <v>46129</v>
      </c>
      <c r="B2" s="44">
        <f ca="1">INDIRECT("Data!O7",TRUE)</f>
        <v>25797</v>
      </c>
    </row>
    <row r="3" spans="1:21" x14ac:dyDescent="0.3">
      <c r="A3" s="18">
        <f ca="1">INDIRECT("Data!A6",TRUE)</f>
        <v>46132</v>
      </c>
      <c r="B3" s="44">
        <f ca="1">INDIRECT("Data!O6",TRUE)</f>
        <v>25406</v>
      </c>
    </row>
    <row r="4" spans="1:21" x14ac:dyDescent="0.3">
      <c r="A4" s="18">
        <f ca="1">INDIRECT("Data!A5",TRUE)</f>
        <v>46133</v>
      </c>
      <c r="B4" s="44">
        <f ca="1">INDIRECT("Data!O5",TRUE)</f>
        <v>24994</v>
      </c>
    </row>
    <row r="5" spans="1:21" x14ac:dyDescent="0.3">
      <c r="A5" s="18">
        <f ca="1">INDIRECT("Data!A4",TRUE)</f>
        <v>46134</v>
      </c>
      <c r="B5" s="44">
        <f ca="1">INDIRECT("Data!O4",TRUE)</f>
        <v>25238</v>
      </c>
    </row>
    <row r="6" spans="1:21" x14ac:dyDescent="0.3">
      <c r="A6" s="18">
        <f ca="1">INDIRECT("Data!A3",TRUE)</f>
        <v>46135</v>
      </c>
      <c r="B6" s="44">
        <f ca="1">INDIRECT("Data!O3",TRUE)</f>
        <v>24356</v>
      </c>
    </row>
    <row r="7" spans="1:21" x14ac:dyDescent="0.3">
      <c r="A7" s="18">
        <f ca="1">INDIRECT("Data!A2",TRUE)</f>
        <v>46136</v>
      </c>
      <c r="B7" s="44">
        <f ca="1">INDIRECT("Data!O2",TRUE)</f>
        <v>24543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21</vt:i4>
      </vt:variant>
    </vt:vector>
  </HeadingPairs>
  <TitlesOfParts>
    <vt:vector size="21" baseType="lpstr">
      <vt:lpstr>Data</vt:lpstr>
      <vt:lpstr>Main Panel</vt:lpstr>
      <vt:lpstr>USD (US) OI Chart</vt:lpstr>
      <vt:lpstr>EUR OI Chart</vt:lpstr>
      <vt:lpstr>GBP OI Chart</vt:lpstr>
      <vt:lpstr>JPY OI Chart</vt:lpstr>
      <vt:lpstr>CHF OI Chart</vt:lpstr>
      <vt:lpstr>AUD OI Chart</vt:lpstr>
      <vt:lpstr>NZD OI Chart</vt:lpstr>
      <vt:lpstr>CAD OI Chart</vt:lpstr>
      <vt:lpstr>Gold OI Chart</vt:lpstr>
      <vt:lpstr>Silver OI Chart</vt:lpstr>
      <vt:lpstr>Copper OI Chart</vt:lpstr>
      <vt:lpstr>OIL OI Chart</vt:lpstr>
      <vt:lpstr>N-Gas OI Chart</vt:lpstr>
      <vt:lpstr>E-mini S&amp;P 500 OI Chart</vt:lpstr>
      <vt:lpstr>E-mini Nadaq-100 OI Chart</vt:lpstr>
      <vt:lpstr>E-mini Dow ($5) OI Chart</vt:lpstr>
      <vt:lpstr>E-mini Russel OI Chart</vt:lpstr>
      <vt:lpstr>DAX OI Chart</vt:lpstr>
      <vt:lpstr>Bitcoin OI Chart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Slava</dc:creator>
  <cp:lastModifiedBy>Hussain Hussain</cp:lastModifiedBy>
  <cp:lastPrinted>2017-07-29T15:00:24Z</cp:lastPrinted>
  <dcterms:created xsi:type="dcterms:W3CDTF">2017-01-16T08:43:08Z</dcterms:created>
  <dcterms:modified xsi:type="dcterms:W3CDTF">2026-04-26T13:33:21Z</dcterms:modified>
</cp:coreProperties>
</file>